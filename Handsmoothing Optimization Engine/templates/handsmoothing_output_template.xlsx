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FAVRLA\PythonProjects\HandSmoothing_WAIS5\Data\"/>
    </mc:Choice>
  </mc:AlternateContent>
  <xr:revisionPtr revIDLastSave="0" documentId="8_{390AC09D-2C71-49EC-9C01-E94857DB43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dsmth" sheetId="1" r:id="rId1"/>
    <sheet name="freq" sheetId="2" r:id="rId2"/>
    <sheet name="dif" sheetId="3" r:id="rId3"/>
    <sheet name="smoot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36" i="1" s="1"/>
  <c r="C2" i="5"/>
  <c r="D2" i="5"/>
  <c r="E2" i="5"/>
  <c r="F2" i="5"/>
  <c r="E44" i="5" s="1"/>
  <c r="G2" i="5"/>
  <c r="H2" i="5"/>
  <c r="I2" i="5"/>
  <c r="H44" i="5" s="1"/>
  <c r="J2" i="5"/>
  <c r="K2" i="5"/>
  <c r="L2" i="5"/>
  <c r="K44" i="5" s="1"/>
  <c r="M2" i="5"/>
  <c r="N2" i="5"/>
  <c r="C3" i="5"/>
  <c r="D3" i="5"/>
  <c r="C45" i="5" s="1"/>
  <c r="E3" i="5"/>
  <c r="F3" i="5"/>
  <c r="G3" i="5"/>
  <c r="G23" i="5" s="1"/>
  <c r="H3" i="5"/>
  <c r="I3" i="5"/>
  <c r="J3" i="5"/>
  <c r="I45" i="5" s="1"/>
  <c r="K3" i="5"/>
  <c r="L3" i="5"/>
  <c r="M3" i="5"/>
  <c r="M45" i="5" s="1"/>
  <c r="N3" i="5"/>
  <c r="C4" i="5"/>
  <c r="D4" i="5"/>
  <c r="D25" i="5" s="1"/>
  <c r="E4" i="5"/>
  <c r="F4" i="5"/>
  <c r="F46" i="5" s="1"/>
  <c r="G4" i="5"/>
  <c r="H4" i="5"/>
  <c r="I4" i="5"/>
  <c r="I25" i="5" s="1"/>
  <c r="J4" i="5"/>
  <c r="K4" i="5"/>
  <c r="L4" i="5"/>
  <c r="L24" i="5" s="1"/>
  <c r="M4" i="5"/>
  <c r="N4" i="5"/>
  <c r="C5" i="5"/>
  <c r="D5" i="5"/>
  <c r="C47" i="5" s="1"/>
  <c r="E5" i="5"/>
  <c r="E25" i="5" s="1"/>
  <c r="F5" i="5"/>
  <c r="G5" i="5"/>
  <c r="H5" i="5"/>
  <c r="H26" i="5" s="1"/>
  <c r="I5" i="5"/>
  <c r="J5" i="5"/>
  <c r="J26" i="5" s="1"/>
  <c r="K5" i="5"/>
  <c r="L5" i="5"/>
  <c r="M5" i="5"/>
  <c r="M25" i="5" s="1"/>
  <c r="N5" i="5"/>
  <c r="C6" i="5"/>
  <c r="D6" i="5"/>
  <c r="D48" i="5" s="1"/>
  <c r="E6" i="5"/>
  <c r="F6" i="5"/>
  <c r="F26" i="5" s="1"/>
  <c r="G6" i="5"/>
  <c r="H6" i="5"/>
  <c r="I6" i="5"/>
  <c r="I27" i="5" s="1"/>
  <c r="J6" i="5"/>
  <c r="K6" i="5"/>
  <c r="L6" i="5"/>
  <c r="K48" i="5" s="1"/>
  <c r="M6" i="5"/>
  <c r="N6" i="5"/>
  <c r="C7" i="5"/>
  <c r="D7" i="5"/>
  <c r="E7" i="5"/>
  <c r="E28" i="5" s="1"/>
  <c r="F7" i="5"/>
  <c r="G7" i="5"/>
  <c r="F49" i="5" s="1"/>
  <c r="H7" i="5"/>
  <c r="H28" i="5" s="1"/>
  <c r="I7" i="5"/>
  <c r="J7" i="5"/>
  <c r="I49" i="5" s="1"/>
  <c r="K7" i="5"/>
  <c r="L7" i="5"/>
  <c r="M7" i="5"/>
  <c r="M28" i="5" s="1"/>
  <c r="N7" i="5"/>
  <c r="C8" i="5"/>
  <c r="D8" i="5"/>
  <c r="C50" i="5" s="1"/>
  <c r="E8" i="5"/>
  <c r="F8" i="5"/>
  <c r="E50" i="5" s="1"/>
  <c r="G8" i="5"/>
  <c r="G29" i="5" s="1"/>
  <c r="H8" i="5"/>
  <c r="I8" i="5"/>
  <c r="I29" i="5" s="1"/>
  <c r="J8" i="5"/>
  <c r="K8" i="5"/>
  <c r="L8" i="5"/>
  <c r="K50" i="5" s="1"/>
  <c r="M8" i="5"/>
  <c r="N8" i="5"/>
  <c r="N28" i="5" s="1"/>
  <c r="C9" i="5"/>
  <c r="D9" i="5"/>
  <c r="E9" i="5"/>
  <c r="D51" i="5" s="1"/>
  <c r="F9" i="5"/>
  <c r="G9" i="5"/>
  <c r="H9" i="5"/>
  <c r="H51" i="5" s="1"/>
  <c r="I9" i="5"/>
  <c r="J9" i="5"/>
  <c r="I51" i="5" s="1"/>
  <c r="K9" i="5"/>
  <c r="L9" i="5"/>
  <c r="M9" i="5"/>
  <c r="L51" i="5" s="1"/>
  <c r="N9" i="5"/>
  <c r="C10" i="5"/>
  <c r="D10" i="5"/>
  <c r="C52" i="5" s="1"/>
  <c r="E10" i="5"/>
  <c r="F10" i="5"/>
  <c r="E52" i="5" s="1"/>
  <c r="G10" i="5"/>
  <c r="G52" i="5" s="1"/>
  <c r="H10" i="5"/>
  <c r="I10" i="5"/>
  <c r="H52" i="5" s="1"/>
  <c r="J10" i="5"/>
  <c r="K10" i="5"/>
  <c r="L10" i="5"/>
  <c r="L52" i="5" s="1"/>
  <c r="M10" i="5"/>
  <c r="N10" i="5"/>
  <c r="N30" i="5" s="1"/>
  <c r="C11" i="5"/>
  <c r="D11" i="5"/>
  <c r="C53" i="5" s="1"/>
  <c r="E11" i="5"/>
  <c r="E53" i="5" s="1"/>
  <c r="F11" i="5"/>
  <c r="G11" i="5"/>
  <c r="F53" i="5" s="1"/>
  <c r="H11" i="5"/>
  <c r="I11" i="5"/>
  <c r="J11" i="5"/>
  <c r="I53" i="5" s="1"/>
  <c r="K11" i="5"/>
  <c r="L11" i="5"/>
  <c r="M11" i="5"/>
  <c r="M53" i="5" s="1"/>
  <c r="N11" i="5"/>
  <c r="C12" i="5"/>
  <c r="D12" i="5"/>
  <c r="E12" i="5"/>
  <c r="F12" i="5"/>
  <c r="E54" i="5" s="1"/>
  <c r="G12" i="5"/>
  <c r="H12" i="5"/>
  <c r="I12" i="5"/>
  <c r="I33" i="5" s="1"/>
  <c r="J12" i="5"/>
  <c r="K12" i="5"/>
  <c r="L12" i="5"/>
  <c r="M12" i="5"/>
  <c r="N12" i="5"/>
  <c r="M54" i="5" s="1"/>
  <c r="C13" i="5"/>
  <c r="D13" i="5"/>
  <c r="C55" i="5" s="1"/>
  <c r="E13" i="5"/>
  <c r="E33" i="5" s="1"/>
  <c r="F13" i="5"/>
  <c r="G13" i="5"/>
  <c r="H13" i="5"/>
  <c r="H34" i="5" s="1"/>
  <c r="I13" i="5"/>
  <c r="J13" i="5"/>
  <c r="I55" i="5" s="1"/>
  <c r="K13" i="5"/>
  <c r="L13" i="5"/>
  <c r="M13" i="5"/>
  <c r="M34" i="5" s="1"/>
  <c r="N13" i="5"/>
  <c r="C14" i="5"/>
  <c r="D14" i="5"/>
  <c r="C56" i="5" s="1"/>
  <c r="E14" i="5"/>
  <c r="F14" i="5"/>
  <c r="E56" i="5" s="1"/>
  <c r="G14" i="5"/>
  <c r="G56" i="5" s="1"/>
  <c r="H14" i="5"/>
  <c r="I14" i="5"/>
  <c r="I35" i="5" s="1"/>
  <c r="J14" i="5"/>
  <c r="K14" i="5"/>
  <c r="L14" i="5"/>
  <c r="K56" i="5" s="1"/>
  <c r="M14" i="5"/>
  <c r="N14" i="5"/>
  <c r="M56" i="5" s="1"/>
  <c r="C15" i="5"/>
  <c r="D15" i="5"/>
  <c r="E15" i="5"/>
  <c r="E36" i="5" s="1"/>
  <c r="F15" i="5"/>
  <c r="G15" i="5"/>
  <c r="F57" i="5" s="1"/>
  <c r="H15" i="5"/>
  <c r="H36" i="5" s="1"/>
  <c r="I15" i="5"/>
  <c r="J15" i="5"/>
  <c r="J35" i="5" s="1"/>
  <c r="K15" i="5"/>
  <c r="L15" i="5"/>
  <c r="M15" i="5"/>
  <c r="N15" i="5"/>
  <c r="C16" i="5"/>
  <c r="D16" i="5"/>
  <c r="E16" i="5"/>
  <c r="F16" i="5"/>
  <c r="E58" i="5" s="1"/>
  <c r="G16" i="5"/>
  <c r="H16" i="5"/>
  <c r="I16" i="5"/>
  <c r="I58" i="5" s="1"/>
  <c r="J16" i="5"/>
  <c r="K16" i="5"/>
  <c r="L16" i="5"/>
  <c r="L58" i="5" s="1"/>
  <c r="M16" i="5"/>
  <c r="N16" i="5"/>
  <c r="N36" i="5" s="1"/>
  <c r="C17" i="5"/>
  <c r="D17" i="5"/>
  <c r="D59" i="5" s="1"/>
  <c r="E17" i="5"/>
  <c r="F17" i="5"/>
  <c r="G17" i="5"/>
  <c r="F59" i="5" s="1"/>
  <c r="H17" i="5"/>
  <c r="I17" i="5"/>
  <c r="J17" i="5"/>
  <c r="I59" i="5" s="1"/>
  <c r="K17" i="5"/>
  <c r="L17" i="5"/>
  <c r="M17" i="5"/>
  <c r="M59" i="5" s="1"/>
  <c r="N17" i="5"/>
  <c r="C18" i="5"/>
  <c r="D18" i="5"/>
  <c r="C60" i="5" s="1"/>
  <c r="E18" i="5"/>
  <c r="F18" i="5"/>
  <c r="F38" i="5" s="1"/>
  <c r="G18" i="5"/>
  <c r="G60" i="5" s="1"/>
  <c r="H18" i="5"/>
  <c r="I18" i="5"/>
  <c r="I39" i="5" s="1"/>
  <c r="J18" i="5"/>
  <c r="K18" i="5"/>
  <c r="L18" i="5"/>
  <c r="L60" i="5" s="1"/>
  <c r="M18" i="5"/>
  <c r="N18" i="5"/>
  <c r="N38" i="5" s="1"/>
  <c r="C19" i="5"/>
  <c r="D19" i="5"/>
  <c r="E19" i="5"/>
  <c r="D61" i="5" s="1"/>
  <c r="F19" i="5"/>
  <c r="G19" i="5"/>
  <c r="H19" i="5"/>
  <c r="H61" i="5" s="1"/>
  <c r="I19" i="5"/>
  <c r="J19" i="5"/>
  <c r="I61" i="5" s="1"/>
  <c r="K19" i="5"/>
  <c r="L19" i="5"/>
  <c r="M19" i="5"/>
  <c r="M61" i="5" s="1"/>
  <c r="N19" i="5"/>
  <c r="C20" i="5"/>
  <c r="D20" i="5"/>
  <c r="D62" i="5" s="1"/>
  <c r="E20" i="5"/>
  <c r="F20" i="5"/>
  <c r="G20" i="5"/>
  <c r="H20" i="5"/>
  <c r="I20" i="5"/>
  <c r="I62" i="5" s="1"/>
  <c r="J20" i="5"/>
  <c r="K20" i="5"/>
  <c r="L20" i="5"/>
  <c r="K62" i="5" s="1"/>
  <c r="M20" i="5"/>
  <c r="N20" i="5"/>
  <c r="M62" i="5" s="1"/>
  <c r="B3" i="5"/>
  <c r="B4" i="5"/>
  <c r="B24" i="5" s="1"/>
  <c r="B5" i="5"/>
  <c r="B26" i="5" s="1"/>
  <c r="B6" i="5"/>
  <c r="B27" i="5" s="1"/>
  <c r="B7" i="5"/>
  <c r="B8" i="5"/>
  <c r="B9" i="5"/>
  <c r="B30" i="5" s="1"/>
  <c r="B10" i="5"/>
  <c r="B11" i="5"/>
  <c r="B32" i="5" s="1"/>
  <c r="B12" i="5"/>
  <c r="B33" i="5" s="1"/>
  <c r="B13" i="5"/>
  <c r="B34" i="5" s="1"/>
  <c r="B14" i="5"/>
  <c r="B35" i="5" s="1"/>
  <c r="B15" i="5"/>
  <c r="B16" i="5"/>
  <c r="B37" i="5" s="1"/>
  <c r="B17" i="5"/>
  <c r="B18" i="5"/>
  <c r="B19" i="5"/>
  <c r="B40" i="5" s="1"/>
  <c r="B20" i="5"/>
  <c r="B62" i="5" s="1"/>
  <c r="B2" i="5"/>
  <c r="C58" i="5"/>
  <c r="K34" i="5"/>
  <c r="C34" i="5"/>
  <c r="H55" i="5"/>
  <c r="F54" i="5"/>
  <c r="K53" i="5"/>
  <c r="H53" i="5"/>
  <c r="I31" i="5"/>
  <c r="L30" i="5"/>
  <c r="K30" i="5"/>
  <c r="F30" i="5"/>
  <c r="C30" i="5"/>
  <c r="L28" i="5"/>
  <c r="D28" i="5"/>
  <c r="K27" i="5"/>
  <c r="J27" i="5"/>
  <c r="C27" i="5"/>
  <c r="N26" i="5"/>
  <c r="G26" i="5"/>
  <c r="L25" i="5"/>
  <c r="K25" i="5"/>
  <c r="G46" i="5"/>
  <c r="C25" i="5"/>
  <c r="I44" i="5"/>
  <c r="G62" i="5"/>
  <c r="K59" i="5"/>
  <c r="G58" i="5"/>
  <c r="K55" i="5"/>
  <c r="K51" i="5"/>
  <c r="C51" i="5"/>
  <c r="G48" i="5"/>
  <c r="K47" i="5"/>
  <c r="K37" i="5"/>
  <c r="C37" i="5"/>
  <c r="G33" i="5"/>
  <c r="L32" i="5"/>
  <c r="K29" i="5"/>
  <c r="C29" i="5"/>
  <c r="M27" i="5"/>
  <c r="L62" i="5"/>
  <c r="J62" i="5"/>
  <c r="K61" i="5"/>
  <c r="G61" i="5"/>
  <c r="F61" i="5"/>
  <c r="K60" i="5"/>
  <c r="J60" i="5"/>
  <c r="G39" i="5"/>
  <c r="E60" i="5"/>
  <c r="B60" i="5"/>
  <c r="B39" i="5"/>
  <c r="L38" i="5"/>
  <c r="K38" i="5"/>
  <c r="H59" i="5"/>
  <c r="C38" i="5"/>
  <c r="B38" i="5"/>
  <c r="M58" i="5"/>
  <c r="H37" i="5"/>
  <c r="D58" i="5"/>
  <c r="M36" i="5"/>
  <c r="K36" i="5"/>
  <c r="I57" i="5"/>
  <c r="D36" i="5"/>
  <c r="C36" i="5"/>
  <c r="K35" i="5"/>
  <c r="H35" i="5"/>
  <c r="C35" i="5"/>
  <c r="L34" i="5"/>
  <c r="G34" i="5"/>
  <c r="F34" i="5"/>
  <c r="L33" i="5"/>
  <c r="K33" i="5"/>
  <c r="J33" i="5"/>
  <c r="C33" i="5"/>
  <c r="J52" i="5"/>
  <c r="B52" i="5"/>
  <c r="M51" i="5"/>
  <c r="G51" i="5"/>
  <c r="F51" i="5"/>
  <c r="E51" i="5"/>
  <c r="L50" i="5"/>
  <c r="J50" i="5"/>
  <c r="I50" i="5"/>
  <c r="D50" i="5"/>
  <c r="B50" i="5"/>
  <c r="B29" i="5"/>
  <c r="K28" i="5"/>
  <c r="H49" i="5"/>
  <c r="C28" i="5"/>
  <c r="B28" i="5"/>
  <c r="M48" i="5"/>
  <c r="H27" i="5"/>
  <c r="E48" i="5"/>
  <c r="M26" i="5"/>
  <c r="K26" i="5"/>
  <c r="I47" i="5"/>
  <c r="E26" i="5"/>
  <c r="C26" i="5"/>
  <c r="M46" i="5"/>
  <c r="H25" i="5"/>
  <c r="E46" i="5"/>
  <c r="L45" i="5"/>
  <c r="K45" i="5"/>
  <c r="H45" i="5"/>
  <c r="F45" i="5"/>
  <c r="E45" i="5"/>
  <c r="M44" i="5"/>
  <c r="J44" i="5"/>
  <c r="G44" i="5"/>
  <c r="D44" i="5"/>
  <c r="C44" i="5"/>
  <c r="B44" i="5"/>
  <c r="Q2" i="3"/>
  <c r="R2" i="3"/>
  <c r="S2" i="3"/>
  <c r="T2" i="3"/>
  <c r="U2" i="3"/>
  <c r="V2" i="3"/>
  <c r="W2" i="3"/>
  <c r="X2" i="3"/>
  <c r="Y2" i="3"/>
  <c r="Z2" i="3"/>
  <c r="AA2" i="3"/>
  <c r="AB2" i="3"/>
  <c r="Q3" i="3"/>
  <c r="R3" i="3"/>
  <c r="S3" i="3"/>
  <c r="T3" i="3"/>
  <c r="U3" i="3"/>
  <c r="V3" i="3"/>
  <c r="W3" i="3"/>
  <c r="X3" i="3"/>
  <c r="Y3" i="3"/>
  <c r="Z3" i="3"/>
  <c r="AA3" i="3"/>
  <c r="AB3" i="3"/>
  <c r="Q4" i="3"/>
  <c r="R4" i="3"/>
  <c r="S4" i="3"/>
  <c r="T4" i="3"/>
  <c r="U4" i="3"/>
  <c r="V4" i="3"/>
  <c r="W4" i="3"/>
  <c r="X4" i="3"/>
  <c r="Y4" i="3"/>
  <c r="Z4" i="3"/>
  <c r="AA4" i="3"/>
  <c r="AB4" i="3"/>
  <c r="Q5" i="3"/>
  <c r="R5" i="3"/>
  <c r="S5" i="3"/>
  <c r="T5" i="3"/>
  <c r="U5" i="3"/>
  <c r="V5" i="3"/>
  <c r="W5" i="3"/>
  <c r="X5" i="3"/>
  <c r="Y5" i="3"/>
  <c r="Z5" i="3"/>
  <c r="AA5" i="3"/>
  <c r="AB5" i="3"/>
  <c r="Q6" i="3"/>
  <c r="R6" i="3"/>
  <c r="S6" i="3"/>
  <c r="T6" i="3"/>
  <c r="U6" i="3"/>
  <c r="V6" i="3"/>
  <c r="W6" i="3"/>
  <c r="X6" i="3"/>
  <c r="Y6" i="3"/>
  <c r="Z6" i="3"/>
  <c r="AA6" i="3"/>
  <c r="AB6" i="3"/>
  <c r="Q7" i="3"/>
  <c r="R7" i="3"/>
  <c r="S7" i="3"/>
  <c r="T7" i="3"/>
  <c r="U7" i="3"/>
  <c r="V7" i="3"/>
  <c r="W7" i="3"/>
  <c r="X7" i="3"/>
  <c r="Y7" i="3"/>
  <c r="Z7" i="3"/>
  <c r="AA7" i="3"/>
  <c r="AB7" i="3"/>
  <c r="Q8" i="3"/>
  <c r="R8" i="3"/>
  <c r="S8" i="3"/>
  <c r="T8" i="3"/>
  <c r="U8" i="3"/>
  <c r="V8" i="3"/>
  <c r="W8" i="3"/>
  <c r="X8" i="3"/>
  <c r="Y8" i="3"/>
  <c r="Z8" i="3"/>
  <c r="AA8" i="3"/>
  <c r="AB8" i="3"/>
  <c r="Q9" i="3"/>
  <c r="R9" i="3"/>
  <c r="S9" i="3"/>
  <c r="T9" i="3"/>
  <c r="U9" i="3"/>
  <c r="V9" i="3"/>
  <c r="W9" i="3"/>
  <c r="X9" i="3"/>
  <c r="Y9" i="3"/>
  <c r="Z9" i="3"/>
  <c r="AA9" i="3"/>
  <c r="AB9" i="3"/>
  <c r="Q10" i="3"/>
  <c r="R10" i="3"/>
  <c r="S10" i="3"/>
  <c r="T10" i="3"/>
  <c r="U10" i="3"/>
  <c r="V10" i="3"/>
  <c r="W10" i="3"/>
  <c r="X10" i="3"/>
  <c r="Y10" i="3"/>
  <c r="Z10" i="3"/>
  <c r="AA10" i="3"/>
  <c r="AB10" i="3"/>
  <c r="Q11" i="3"/>
  <c r="R11" i="3"/>
  <c r="S11" i="3"/>
  <c r="T11" i="3"/>
  <c r="U11" i="3"/>
  <c r="V11" i="3"/>
  <c r="W11" i="3"/>
  <c r="X11" i="3"/>
  <c r="Y11" i="3"/>
  <c r="Z11" i="3"/>
  <c r="AA11" i="3"/>
  <c r="AB11" i="3"/>
  <c r="Q12" i="3"/>
  <c r="R12" i="3"/>
  <c r="S12" i="3"/>
  <c r="T12" i="3"/>
  <c r="U12" i="3"/>
  <c r="V12" i="3"/>
  <c r="W12" i="3"/>
  <c r="X12" i="3"/>
  <c r="Y12" i="3"/>
  <c r="Z12" i="3"/>
  <c r="AA12" i="3"/>
  <c r="AB12" i="3"/>
  <c r="Q13" i="3"/>
  <c r="R13" i="3"/>
  <c r="S13" i="3"/>
  <c r="T13" i="3"/>
  <c r="U13" i="3"/>
  <c r="V13" i="3"/>
  <c r="W13" i="3"/>
  <c r="X13" i="3"/>
  <c r="Y13" i="3"/>
  <c r="Z13" i="3"/>
  <c r="AA13" i="3"/>
  <c r="AB13" i="3"/>
  <c r="Q14" i="3"/>
  <c r="R14" i="3"/>
  <c r="S14" i="3"/>
  <c r="T14" i="3"/>
  <c r="U14" i="3"/>
  <c r="V14" i="3"/>
  <c r="W14" i="3"/>
  <c r="X14" i="3"/>
  <c r="Y14" i="3"/>
  <c r="Z14" i="3"/>
  <c r="AA14" i="3"/>
  <c r="AB14" i="3"/>
  <c r="Q15" i="3"/>
  <c r="R15" i="3"/>
  <c r="S15" i="3"/>
  <c r="T15" i="3"/>
  <c r="U15" i="3"/>
  <c r="V15" i="3"/>
  <c r="W15" i="3"/>
  <c r="X15" i="3"/>
  <c r="Y15" i="3"/>
  <c r="Z15" i="3"/>
  <c r="AA15" i="3"/>
  <c r="AB15" i="3"/>
  <c r="Q16" i="3"/>
  <c r="R16" i="3"/>
  <c r="S16" i="3"/>
  <c r="T16" i="3"/>
  <c r="U16" i="3"/>
  <c r="V16" i="3"/>
  <c r="W16" i="3"/>
  <c r="X16" i="3"/>
  <c r="Y16" i="3"/>
  <c r="Z16" i="3"/>
  <c r="AA16" i="3"/>
  <c r="AB16" i="3"/>
  <c r="Q17" i="3"/>
  <c r="R17" i="3"/>
  <c r="S17" i="3"/>
  <c r="T17" i="3"/>
  <c r="U17" i="3"/>
  <c r="V17" i="3"/>
  <c r="W17" i="3"/>
  <c r="X17" i="3"/>
  <c r="Y17" i="3"/>
  <c r="Z17" i="3"/>
  <c r="AA17" i="3"/>
  <c r="AB17" i="3"/>
  <c r="Q18" i="3"/>
  <c r="R18" i="3"/>
  <c r="S18" i="3"/>
  <c r="T18" i="3"/>
  <c r="U18" i="3"/>
  <c r="V18" i="3"/>
  <c r="W18" i="3"/>
  <c r="X18" i="3"/>
  <c r="Y18" i="3"/>
  <c r="Z18" i="3"/>
  <c r="AA18" i="3"/>
  <c r="AB18" i="3"/>
  <c r="Q19" i="3"/>
  <c r="R19" i="3"/>
  <c r="S19" i="3"/>
  <c r="T19" i="3"/>
  <c r="U19" i="3"/>
  <c r="V19" i="3"/>
  <c r="W19" i="3"/>
  <c r="X19" i="3"/>
  <c r="Y19" i="3"/>
  <c r="Z19" i="3"/>
  <c r="AA19" i="3"/>
  <c r="AB19" i="3"/>
  <c r="Q20" i="3"/>
  <c r="R20" i="3"/>
  <c r="S20" i="3"/>
  <c r="T20" i="3"/>
  <c r="U20" i="3"/>
  <c r="V20" i="3"/>
  <c r="W20" i="3"/>
  <c r="X20" i="3"/>
  <c r="Y20" i="3"/>
  <c r="Z20" i="3"/>
  <c r="AA20" i="3"/>
  <c r="AB20" i="3"/>
  <c r="Q21" i="3"/>
  <c r="R21" i="3"/>
  <c r="S21" i="3"/>
  <c r="T21" i="3"/>
  <c r="U21" i="3"/>
  <c r="V21" i="3"/>
  <c r="W21" i="3"/>
  <c r="X21" i="3"/>
  <c r="Y21" i="3"/>
  <c r="Z21" i="3"/>
  <c r="AA21" i="3"/>
  <c r="AB21" i="3"/>
  <c r="Q22" i="3"/>
  <c r="R22" i="3"/>
  <c r="S22" i="3"/>
  <c r="T22" i="3"/>
  <c r="U22" i="3"/>
  <c r="V22" i="3"/>
  <c r="W22" i="3"/>
  <c r="X22" i="3"/>
  <c r="Y22" i="3"/>
  <c r="Z22" i="3"/>
  <c r="AA22" i="3"/>
  <c r="AB22" i="3"/>
  <c r="Q23" i="3"/>
  <c r="R23" i="3"/>
  <c r="S23" i="3"/>
  <c r="T23" i="3"/>
  <c r="U23" i="3"/>
  <c r="V23" i="3"/>
  <c r="W23" i="3"/>
  <c r="X23" i="3"/>
  <c r="Y23" i="3"/>
  <c r="Z23" i="3"/>
  <c r="AA23" i="3"/>
  <c r="AB23" i="3"/>
  <c r="Q24" i="3"/>
  <c r="R24" i="3"/>
  <c r="S24" i="3"/>
  <c r="T24" i="3"/>
  <c r="U24" i="3"/>
  <c r="V24" i="3"/>
  <c r="W24" i="3"/>
  <c r="X24" i="3"/>
  <c r="Y24" i="3"/>
  <c r="Z24" i="3"/>
  <c r="AA24" i="3"/>
  <c r="AB24" i="3"/>
  <c r="Q25" i="3"/>
  <c r="R25" i="3"/>
  <c r="S25" i="3"/>
  <c r="T25" i="3"/>
  <c r="U25" i="3"/>
  <c r="V25" i="3"/>
  <c r="W25" i="3"/>
  <c r="X25" i="3"/>
  <c r="Y25" i="3"/>
  <c r="Z25" i="3"/>
  <c r="AA25" i="3"/>
  <c r="AB25" i="3"/>
  <c r="Q26" i="3"/>
  <c r="R26" i="3"/>
  <c r="S26" i="3"/>
  <c r="T26" i="3"/>
  <c r="U26" i="3"/>
  <c r="V26" i="3"/>
  <c r="W26" i="3"/>
  <c r="X26" i="3"/>
  <c r="Y26" i="3"/>
  <c r="Z26" i="3"/>
  <c r="AA26" i="3"/>
  <c r="AB26" i="3"/>
  <c r="Q27" i="3"/>
  <c r="R27" i="3"/>
  <c r="S27" i="3"/>
  <c r="T27" i="3"/>
  <c r="U27" i="3"/>
  <c r="V27" i="3"/>
  <c r="W27" i="3"/>
  <c r="X27" i="3"/>
  <c r="Y27" i="3"/>
  <c r="Z27" i="3"/>
  <c r="AA27" i="3"/>
  <c r="AB27" i="3"/>
  <c r="Q28" i="3"/>
  <c r="R28" i="3"/>
  <c r="S28" i="3"/>
  <c r="T28" i="3"/>
  <c r="U28" i="3"/>
  <c r="V28" i="3"/>
  <c r="W28" i="3"/>
  <c r="X28" i="3"/>
  <c r="Y28" i="3"/>
  <c r="Z28" i="3"/>
  <c r="AA28" i="3"/>
  <c r="AB28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P18" i="1"/>
  <c r="N29" i="2"/>
  <c r="M29" i="2"/>
  <c r="M39" i="1" s="1"/>
  <c r="L29" i="2"/>
  <c r="K29" i="2"/>
  <c r="J29" i="2"/>
  <c r="I29" i="2"/>
  <c r="I39" i="1" s="1"/>
  <c r="H29" i="2"/>
  <c r="G29" i="2"/>
  <c r="G39" i="1" s="1"/>
  <c r="F29" i="2"/>
  <c r="E29" i="2"/>
  <c r="E39" i="1" s="1"/>
  <c r="D29" i="2"/>
  <c r="D30" i="1" s="1"/>
  <c r="C29" i="2"/>
  <c r="B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AB3" i="2"/>
  <c r="AA3" i="2"/>
  <c r="Z3" i="2"/>
  <c r="Y3" i="2"/>
  <c r="X3" i="2"/>
  <c r="W3" i="2"/>
  <c r="V3" i="2"/>
  <c r="U3" i="2"/>
  <c r="G30" i="2" s="1"/>
  <c r="T3" i="2"/>
  <c r="S3" i="2"/>
  <c r="R3" i="2"/>
  <c r="Q3" i="2"/>
  <c r="P3" i="2"/>
  <c r="AB2" i="2"/>
  <c r="AA2" i="2"/>
  <c r="Z2" i="2"/>
  <c r="L30" i="2" s="1"/>
  <c r="Y2" i="2"/>
  <c r="X2" i="2"/>
  <c r="W2" i="2"/>
  <c r="V2" i="2"/>
  <c r="H30" i="2" s="1"/>
  <c r="U2" i="2"/>
  <c r="T2" i="2"/>
  <c r="S2" i="2"/>
  <c r="R2" i="2"/>
  <c r="D30" i="2" s="1"/>
  <c r="Q2" i="2"/>
  <c r="P2" i="2"/>
  <c r="N38" i="1"/>
  <c r="N39" i="1"/>
  <c r="M38" i="1"/>
  <c r="L38" i="1"/>
  <c r="L39" i="1"/>
  <c r="K38" i="1"/>
  <c r="K39" i="1"/>
  <c r="J38" i="1"/>
  <c r="J39" i="1"/>
  <c r="I38" i="1"/>
  <c r="H38" i="1"/>
  <c r="H39" i="1"/>
  <c r="G38" i="1"/>
  <c r="F38" i="1"/>
  <c r="F39" i="1"/>
  <c r="E38" i="1"/>
  <c r="D38" i="1"/>
  <c r="C38" i="1"/>
  <c r="C39" i="1"/>
  <c r="B38" i="1"/>
  <c r="B3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N30" i="1"/>
  <c r="N36" i="1" s="1"/>
  <c r="M30" i="1"/>
  <c r="M36" i="1" s="1"/>
  <c r="L30" i="1"/>
  <c r="L36" i="1"/>
  <c r="K30" i="1"/>
  <c r="K32" i="1" s="1"/>
  <c r="J30" i="1"/>
  <c r="J36" i="1" s="1"/>
  <c r="I30" i="1"/>
  <c r="I36" i="1" s="1"/>
  <c r="H30" i="1"/>
  <c r="H36" i="1"/>
  <c r="F30" i="1"/>
  <c r="F36" i="1" s="1"/>
  <c r="E30" i="1"/>
  <c r="E36" i="1" s="1"/>
  <c r="C30" i="1"/>
  <c r="C32" i="1" s="1"/>
  <c r="M34" i="1"/>
  <c r="L34" i="1"/>
  <c r="H34" i="1"/>
  <c r="E34" i="1"/>
  <c r="L32" i="1"/>
  <c r="J32" i="1"/>
  <c r="H32" i="1"/>
  <c r="AA28" i="1"/>
  <c r="Z28" i="1"/>
  <c r="Y28" i="1"/>
  <c r="X28" i="1"/>
  <c r="W28" i="1"/>
  <c r="V28" i="1"/>
  <c r="U28" i="1"/>
  <c r="T28" i="1"/>
  <c r="S28" i="1"/>
  <c r="R28" i="1"/>
  <c r="Q28" i="1"/>
  <c r="P28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A27" i="1"/>
  <c r="Z27" i="1"/>
  <c r="Y27" i="1"/>
  <c r="X27" i="1"/>
  <c r="W27" i="1"/>
  <c r="V27" i="1"/>
  <c r="U27" i="1"/>
  <c r="T27" i="1"/>
  <c r="S27" i="1"/>
  <c r="R27" i="1"/>
  <c r="Q27" i="1"/>
  <c r="P27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A26" i="1"/>
  <c r="Z26" i="1"/>
  <c r="Y26" i="1"/>
  <c r="X26" i="1"/>
  <c r="W26" i="1"/>
  <c r="V26" i="1"/>
  <c r="U26" i="1"/>
  <c r="T26" i="1"/>
  <c r="S26" i="1"/>
  <c r="R26" i="1"/>
  <c r="Q26" i="1"/>
  <c r="P26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A25" i="1"/>
  <c r="Z25" i="1"/>
  <c r="Y25" i="1"/>
  <c r="X25" i="1"/>
  <c r="W25" i="1"/>
  <c r="V25" i="1"/>
  <c r="U25" i="1"/>
  <c r="T25" i="1"/>
  <c r="S25" i="1"/>
  <c r="R25" i="1"/>
  <c r="Q25" i="1"/>
  <c r="P25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A24" i="1"/>
  <c r="Z24" i="1"/>
  <c r="Y24" i="1"/>
  <c r="X24" i="1"/>
  <c r="W24" i="1"/>
  <c r="V24" i="1"/>
  <c r="U24" i="1"/>
  <c r="T24" i="1"/>
  <c r="S24" i="1"/>
  <c r="R24" i="1"/>
  <c r="Q24" i="1"/>
  <c r="P24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A23" i="1"/>
  <c r="Z23" i="1"/>
  <c r="Y23" i="1"/>
  <c r="X23" i="1"/>
  <c r="W23" i="1"/>
  <c r="V23" i="1"/>
  <c r="U23" i="1"/>
  <c r="T23" i="1"/>
  <c r="S23" i="1"/>
  <c r="R23" i="1"/>
  <c r="Q23" i="1"/>
  <c r="P23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A22" i="1"/>
  <c r="Z22" i="1"/>
  <c r="Y22" i="1"/>
  <c r="X22" i="1"/>
  <c r="W22" i="1"/>
  <c r="V22" i="1"/>
  <c r="U22" i="1"/>
  <c r="T22" i="1"/>
  <c r="S22" i="1"/>
  <c r="R22" i="1"/>
  <c r="Q22" i="1"/>
  <c r="P22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A21" i="1"/>
  <c r="Z21" i="1"/>
  <c r="Y21" i="1"/>
  <c r="X21" i="1"/>
  <c r="W21" i="1"/>
  <c r="V21" i="1"/>
  <c r="U21" i="1"/>
  <c r="T21" i="1"/>
  <c r="S21" i="1"/>
  <c r="R21" i="1"/>
  <c r="Q21" i="1"/>
  <c r="P21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A20" i="1"/>
  <c r="Z20" i="1"/>
  <c r="Y20" i="1"/>
  <c r="X20" i="1"/>
  <c r="W20" i="1"/>
  <c r="V20" i="1"/>
  <c r="U20" i="1"/>
  <c r="T20" i="1"/>
  <c r="S20" i="1"/>
  <c r="R20" i="1"/>
  <c r="Q20" i="1"/>
  <c r="P20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A19" i="1"/>
  <c r="Z19" i="1"/>
  <c r="Y19" i="1"/>
  <c r="X19" i="1"/>
  <c r="W19" i="1"/>
  <c r="V19" i="1"/>
  <c r="U19" i="1"/>
  <c r="T19" i="1"/>
  <c r="S19" i="1"/>
  <c r="R19" i="1"/>
  <c r="Q19" i="1"/>
  <c r="P19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A18" i="1"/>
  <c r="Z18" i="1"/>
  <c r="Y18" i="1"/>
  <c r="X18" i="1"/>
  <c r="W18" i="1"/>
  <c r="V18" i="1"/>
  <c r="U18" i="1"/>
  <c r="T18" i="1"/>
  <c r="S18" i="1"/>
  <c r="R18" i="1"/>
  <c r="Q18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A17" i="1"/>
  <c r="Z17" i="1"/>
  <c r="Y17" i="1"/>
  <c r="X17" i="1"/>
  <c r="W17" i="1"/>
  <c r="V17" i="1"/>
  <c r="U17" i="1"/>
  <c r="T17" i="1"/>
  <c r="S17" i="1"/>
  <c r="R17" i="1"/>
  <c r="Q17" i="1"/>
  <c r="P17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A16" i="1"/>
  <c r="Z16" i="1"/>
  <c r="Y16" i="1"/>
  <c r="X16" i="1"/>
  <c r="W16" i="1"/>
  <c r="V16" i="1"/>
  <c r="U16" i="1"/>
  <c r="T16" i="1"/>
  <c r="S16" i="1"/>
  <c r="R16" i="1"/>
  <c r="Q16" i="1"/>
  <c r="P16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A15" i="1"/>
  <c r="Z15" i="1"/>
  <c r="Y15" i="1"/>
  <c r="X15" i="1"/>
  <c r="W15" i="1"/>
  <c r="V15" i="1"/>
  <c r="U15" i="1"/>
  <c r="T15" i="1"/>
  <c r="S15" i="1"/>
  <c r="R15" i="1"/>
  <c r="Q15" i="1"/>
  <c r="P15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A14" i="1"/>
  <c r="Z14" i="1"/>
  <c r="Y14" i="1"/>
  <c r="X14" i="1"/>
  <c r="W14" i="1"/>
  <c r="V14" i="1"/>
  <c r="U14" i="1"/>
  <c r="T14" i="1"/>
  <c r="S14" i="1"/>
  <c r="R14" i="1"/>
  <c r="Q14" i="1"/>
  <c r="P14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A13" i="1"/>
  <c r="Z13" i="1"/>
  <c r="Y13" i="1"/>
  <c r="X13" i="1"/>
  <c r="W13" i="1"/>
  <c r="V13" i="1"/>
  <c r="U13" i="1"/>
  <c r="T13" i="1"/>
  <c r="S13" i="1"/>
  <c r="R13" i="1"/>
  <c r="Q13" i="1"/>
  <c r="P13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A12" i="1"/>
  <c r="Z12" i="1"/>
  <c r="Y12" i="1"/>
  <c r="X12" i="1"/>
  <c r="W12" i="1"/>
  <c r="V12" i="1"/>
  <c r="U12" i="1"/>
  <c r="T12" i="1"/>
  <c r="S12" i="1"/>
  <c r="R12" i="1"/>
  <c r="Q12" i="1"/>
  <c r="P12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A11" i="1"/>
  <c r="Z11" i="1"/>
  <c r="Y11" i="1"/>
  <c r="X11" i="1"/>
  <c r="W11" i="1"/>
  <c r="V11" i="1"/>
  <c r="U11" i="1"/>
  <c r="T11" i="1"/>
  <c r="S11" i="1"/>
  <c r="R11" i="1"/>
  <c r="Q11" i="1"/>
  <c r="P11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A10" i="1"/>
  <c r="Z10" i="1"/>
  <c r="Y10" i="1"/>
  <c r="X10" i="1"/>
  <c r="W10" i="1"/>
  <c r="V10" i="1"/>
  <c r="U10" i="1"/>
  <c r="T10" i="1"/>
  <c r="S10" i="1"/>
  <c r="R10" i="1"/>
  <c r="Q10" i="1"/>
  <c r="P10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A9" i="1"/>
  <c r="Z9" i="1"/>
  <c r="Y9" i="1"/>
  <c r="X9" i="1"/>
  <c r="W9" i="1"/>
  <c r="V9" i="1"/>
  <c r="U9" i="1"/>
  <c r="T9" i="1"/>
  <c r="S9" i="1"/>
  <c r="R9" i="1"/>
  <c r="Q9" i="1"/>
  <c r="P9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A8" i="1"/>
  <c r="Z8" i="1"/>
  <c r="Y8" i="1"/>
  <c r="X8" i="1"/>
  <c r="W8" i="1"/>
  <c r="V8" i="1"/>
  <c r="U8" i="1"/>
  <c r="T8" i="1"/>
  <c r="S8" i="1"/>
  <c r="R8" i="1"/>
  <c r="Q8" i="1"/>
  <c r="P8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A7" i="1"/>
  <c r="Z7" i="1"/>
  <c r="Y7" i="1"/>
  <c r="X7" i="1"/>
  <c r="W7" i="1"/>
  <c r="V7" i="1"/>
  <c r="U7" i="1"/>
  <c r="T7" i="1"/>
  <c r="S7" i="1"/>
  <c r="R7" i="1"/>
  <c r="Q7" i="1"/>
  <c r="P7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A6" i="1"/>
  <c r="Z6" i="1"/>
  <c r="Y6" i="1"/>
  <c r="X6" i="1"/>
  <c r="W6" i="1"/>
  <c r="V6" i="1"/>
  <c r="U6" i="1"/>
  <c r="T6" i="1"/>
  <c r="S6" i="1"/>
  <c r="R6" i="1"/>
  <c r="Q6" i="1"/>
  <c r="P6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A5" i="1"/>
  <c r="Z5" i="1"/>
  <c r="Y5" i="1"/>
  <c r="X5" i="1"/>
  <c r="W5" i="1"/>
  <c r="V5" i="1"/>
  <c r="U5" i="1"/>
  <c r="T5" i="1"/>
  <c r="S5" i="1"/>
  <c r="R5" i="1"/>
  <c r="Q5" i="1"/>
  <c r="P5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A4" i="1"/>
  <c r="Z4" i="1"/>
  <c r="Y4" i="1"/>
  <c r="X4" i="1"/>
  <c r="W4" i="1"/>
  <c r="V4" i="1"/>
  <c r="U4" i="1"/>
  <c r="T4" i="1"/>
  <c r="S4" i="1"/>
  <c r="R4" i="1"/>
  <c r="Q4" i="1"/>
  <c r="P4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A3" i="1"/>
  <c r="Z3" i="1"/>
  <c r="Y3" i="1"/>
  <c r="X3" i="1"/>
  <c r="W3" i="1"/>
  <c r="V3" i="1"/>
  <c r="U3" i="1"/>
  <c r="T3" i="1"/>
  <c r="S3" i="1"/>
  <c r="R3" i="1"/>
  <c r="Q3" i="1"/>
  <c r="P3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A2" i="1"/>
  <c r="Z2" i="1"/>
  <c r="Y2" i="1"/>
  <c r="X2" i="1"/>
  <c r="W2" i="1"/>
  <c r="V2" i="1"/>
  <c r="U2" i="1"/>
  <c r="T2" i="1"/>
  <c r="S2" i="1"/>
  <c r="R2" i="1"/>
  <c r="Q2" i="1"/>
  <c r="P2" i="1"/>
  <c r="N30" i="2"/>
  <c r="N40" i="1" s="1"/>
  <c r="M30" i="2"/>
  <c r="M40" i="1" s="1"/>
  <c r="K30" i="2"/>
  <c r="K40" i="1" s="1"/>
  <c r="J30" i="2"/>
  <c r="J40" i="1" s="1"/>
  <c r="I30" i="2"/>
  <c r="I40" i="1" s="1"/>
  <c r="F30" i="2"/>
  <c r="F40" i="1" s="1"/>
  <c r="E30" i="2"/>
  <c r="E40" i="1" s="1"/>
  <c r="C30" i="2"/>
  <c r="C40" i="1" s="1"/>
  <c r="B30" i="2"/>
  <c r="K31" i="1"/>
  <c r="K37" i="1" s="1"/>
  <c r="C31" i="1"/>
  <c r="C37" i="1" s="1"/>
  <c r="C59" i="5" l="1"/>
  <c r="D52" i="5"/>
  <c r="D39" i="1"/>
  <c r="D36" i="1"/>
  <c r="D34" i="1"/>
  <c r="D32" i="1"/>
  <c r="D32" i="5"/>
  <c r="D24" i="5"/>
  <c r="C62" i="5"/>
  <c r="D45" i="5"/>
  <c r="D33" i="5"/>
  <c r="G37" i="5"/>
  <c r="G30" i="1"/>
  <c r="G27" i="5"/>
  <c r="F62" i="5"/>
  <c r="G31" i="5"/>
  <c r="G35" i="5"/>
  <c r="G59" i="5"/>
  <c r="G45" i="5"/>
  <c r="G53" i="5"/>
  <c r="I52" i="5"/>
  <c r="N34" i="5"/>
  <c r="M60" i="5"/>
  <c r="I60" i="5"/>
  <c r="L44" i="5"/>
  <c r="L26" i="5"/>
  <c r="L48" i="5"/>
  <c r="K52" i="5"/>
  <c r="E34" i="5"/>
  <c r="F36" i="5"/>
  <c r="D60" i="5"/>
  <c r="E62" i="5"/>
  <c r="I23" i="5"/>
  <c r="F28" i="5"/>
  <c r="D30" i="5"/>
  <c r="K58" i="5"/>
  <c r="L40" i="5"/>
  <c r="C48" i="5"/>
  <c r="M50" i="5"/>
  <c r="D53" i="5"/>
  <c r="H33" i="5"/>
  <c r="I37" i="5"/>
  <c r="H62" i="5"/>
  <c r="M33" i="5"/>
  <c r="D26" i="5"/>
  <c r="L36" i="5"/>
  <c r="E27" i="5"/>
  <c r="J34" i="5"/>
  <c r="M52" i="5"/>
  <c r="L59" i="5"/>
  <c r="H47" i="5"/>
  <c r="G49" i="5"/>
  <c r="H29" i="5"/>
  <c r="L53" i="5"/>
  <c r="D34" i="5"/>
  <c r="D38" i="5"/>
  <c r="E61" i="5"/>
  <c r="B36" i="5"/>
  <c r="B31" i="5"/>
  <c r="B23" i="5"/>
  <c r="B25" i="5"/>
  <c r="J25" i="5"/>
  <c r="C61" i="5"/>
  <c r="L61" i="5"/>
  <c r="G25" i="5"/>
  <c r="E35" i="5"/>
  <c r="D40" i="5"/>
  <c r="G54" i="5"/>
  <c r="D56" i="5"/>
  <c r="L56" i="5"/>
  <c r="G57" i="5"/>
  <c r="B58" i="5"/>
  <c r="J58" i="5"/>
  <c r="E59" i="5"/>
  <c r="H60" i="5"/>
  <c r="M35" i="5"/>
  <c r="H57" i="5"/>
  <c r="H23" i="5"/>
  <c r="C24" i="5"/>
  <c r="K24" i="5"/>
  <c r="F25" i="5"/>
  <c r="N25" i="5"/>
  <c r="I26" i="5"/>
  <c r="D27" i="5"/>
  <c r="L27" i="5"/>
  <c r="G28" i="5"/>
  <c r="J29" i="5"/>
  <c r="E30" i="5"/>
  <c r="M30" i="5"/>
  <c r="H31" i="5"/>
  <c r="C32" i="5"/>
  <c r="K32" i="5"/>
  <c r="F33" i="5"/>
  <c r="N33" i="5"/>
  <c r="I34" i="5"/>
  <c r="D35" i="5"/>
  <c r="L35" i="5"/>
  <c r="G36" i="5"/>
  <c r="J37" i="5"/>
  <c r="E38" i="5"/>
  <c r="M38" i="5"/>
  <c r="H39" i="5"/>
  <c r="C40" i="5"/>
  <c r="K40" i="5"/>
  <c r="F44" i="5"/>
  <c r="B45" i="5"/>
  <c r="J45" i="5"/>
  <c r="B47" i="5"/>
  <c r="J47" i="5"/>
  <c r="F48" i="5"/>
  <c r="B49" i="5"/>
  <c r="J49" i="5"/>
  <c r="F50" i="5"/>
  <c r="B51" i="5"/>
  <c r="J51" i="5"/>
  <c r="F52" i="5"/>
  <c r="B53" i="5"/>
  <c r="J53" i="5"/>
  <c r="B55" i="5"/>
  <c r="J55" i="5"/>
  <c r="F56" i="5"/>
  <c r="B57" i="5"/>
  <c r="J57" i="5"/>
  <c r="F58" i="5"/>
  <c r="B59" i="5"/>
  <c r="J59" i="5"/>
  <c r="F60" i="5"/>
  <c r="B61" i="5"/>
  <c r="J61" i="5"/>
  <c r="C49" i="5"/>
  <c r="G50" i="5"/>
  <c r="C57" i="5"/>
  <c r="J23" i="5"/>
  <c r="E24" i="5"/>
  <c r="M24" i="5"/>
  <c r="F27" i="5"/>
  <c r="N27" i="5"/>
  <c r="I28" i="5"/>
  <c r="D29" i="5"/>
  <c r="L29" i="5"/>
  <c r="G30" i="5"/>
  <c r="J31" i="5"/>
  <c r="E32" i="5"/>
  <c r="M32" i="5"/>
  <c r="F35" i="5"/>
  <c r="N35" i="5"/>
  <c r="I36" i="5"/>
  <c r="D37" i="5"/>
  <c r="L37" i="5"/>
  <c r="G38" i="5"/>
  <c r="J39" i="5"/>
  <c r="E40" i="5"/>
  <c r="M40" i="5"/>
  <c r="H46" i="5"/>
  <c r="D47" i="5"/>
  <c r="L47" i="5"/>
  <c r="H48" i="5"/>
  <c r="D49" i="5"/>
  <c r="L49" i="5"/>
  <c r="H50" i="5"/>
  <c r="H54" i="5"/>
  <c r="D55" i="5"/>
  <c r="L55" i="5"/>
  <c r="H56" i="5"/>
  <c r="D57" i="5"/>
  <c r="L57" i="5"/>
  <c r="H58" i="5"/>
  <c r="K49" i="5"/>
  <c r="K57" i="5"/>
  <c r="C23" i="5"/>
  <c r="K23" i="5"/>
  <c r="F24" i="5"/>
  <c r="N24" i="5"/>
  <c r="J28" i="5"/>
  <c r="E29" i="5"/>
  <c r="M29" i="5"/>
  <c r="H30" i="5"/>
  <c r="C31" i="5"/>
  <c r="K31" i="5"/>
  <c r="F32" i="5"/>
  <c r="N32" i="5"/>
  <c r="J36" i="5"/>
  <c r="E37" i="5"/>
  <c r="M37" i="5"/>
  <c r="H38" i="5"/>
  <c r="C39" i="5"/>
  <c r="K39" i="5"/>
  <c r="F40" i="5"/>
  <c r="N40" i="5"/>
  <c r="I46" i="5"/>
  <c r="E47" i="5"/>
  <c r="M47" i="5"/>
  <c r="I48" i="5"/>
  <c r="E49" i="5"/>
  <c r="M49" i="5"/>
  <c r="I54" i="5"/>
  <c r="E55" i="5"/>
  <c r="M55" i="5"/>
  <c r="I56" i="5"/>
  <c r="E57" i="5"/>
  <c r="M57" i="5"/>
  <c r="D23" i="5"/>
  <c r="L23" i="5"/>
  <c r="G24" i="5"/>
  <c r="F29" i="5"/>
  <c r="N29" i="5"/>
  <c r="I30" i="5"/>
  <c r="D31" i="5"/>
  <c r="L31" i="5"/>
  <c r="G32" i="5"/>
  <c r="F37" i="5"/>
  <c r="N37" i="5"/>
  <c r="I38" i="5"/>
  <c r="D39" i="5"/>
  <c r="L39" i="5"/>
  <c r="G40" i="5"/>
  <c r="B46" i="5"/>
  <c r="J46" i="5"/>
  <c r="F47" i="5"/>
  <c r="B48" i="5"/>
  <c r="J48" i="5"/>
  <c r="B54" i="5"/>
  <c r="J54" i="5"/>
  <c r="F55" i="5"/>
  <c r="B56" i="5"/>
  <c r="J56" i="5"/>
  <c r="E23" i="5"/>
  <c r="M23" i="5"/>
  <c r="H24" i="5"/>
  <c r="J30" i="5"/>
  <c r="E31" i="5"/>
  <c r="M31" i="5"/>
  <c r="H32" i="5"/>
  <c r="J38" i="5"/>
  <c r="E39" i="5"/>
  <c r="M39" i="5"/>
  <c r="H40" i="5"/>
  <c r="C46" i="5"/>
  <c r="K46" i="5"/>
  <c r="G47" i="5"/>
  <c r="C54" i="5"/>
  <c r="K54" i="5"/>
  <c r="G55" i="5"/>
  <c r="F23" i="5"/>
  <c r="N23" i="5"/>
  <c r="I24" i="5"/>
  <c r="F31" i="5"/>
  <c r="N31" i="5"/>
  <c r="I32" i="5"/>
  <c r="F39" i="5"/>
  <c r="N39" i="5"/>
  <c r="I40" i="5"/>
  <c r="D46" i="5"/>
  <c r="L46" i="5"/>
  <c r="D54" i="5"/>
  <c r="L54" i="5"/>
  <c r="J24" i="5"/>
  <c r="J32" i="5"/>
  <c r="J40" i="5"/>
  <c r="H31" i="1"/>
  <c r="H40" i="1"/>
  <c r="D31" i="1"/>
  <c r="D40" i="1"/>
  <c r="G40" i="1"/>
  <c r="L40" i="1"/>
  <c r="L31" i="1"/>
  <c r="O30" i="2"/>
  <c r="C35" i="1"/>
  <c r="K35" i="1"/>
  <c r="E32" i="1"/>
  <c r="M32" i="1"/>
  <c r="C36" i="1"/>
  <c r="G36" i="1"/>
  <c r="K36" i="1"/>
  <c r="B40" i="1"/>
  <c r="F32" i="1"/>
  <c r="I34" i="1"/>
  <c r="J34" i="1"/>
  <c r="O29" i="2"/>
  <c r="O30" i="1" s="1"/>
  <c r="I31" i="1"/>
  <c r="M31" i="1"/>
  <c r="J31" i="1"/>
  <c r="N31" i="1"/>
  <c r="C34" i="1"/>
  <c r="K34" i="1"/>
  <c r="E31" i="1"/>
  <c r="N32" i="1"/>
  <c r="F31" i="1"/>
  <c r="C33" i="1"/>
  <c r="K33" i="1"/>
  <c r="I32" i="1"/>
  <c r="F34" i="1"/>
  <c r="N34" i="1"/>
  <c r="B32" i="1"/>
  <c r="B34" i="1"/>
  <c r="B31" i="1"/>
  <c r="O31" i="1" l="1"/>
  <c r="O35" i="1" s="1"/>
  <c r="G32" i="1"/>
  <c r="G34" i="1"/>
  <c r="G31" i="1"/>
  <c r="N33" i="1"/>
  <c r="N35" i="1"/>
  <c r="N37" i="1"/>
  <c r="J33" i="1"/>
  <c r="J37" i="1"/>
  <c r="J35" i="1"/>
  <c r="M33" i="1"/>
  <c r="M35" i="1"/>
  <c r="M37" i="1"/>
  <c r="H37" i="1"/>
  <c r="H33" i="1"/>
  <c r="H35" i="1"/>
  <c r="F35" i="1"/>
  <c r="F37" i="1"/>
  <c r="F33" i="1"/>
  <c r="I35" i="1"/>
  <c r="I33" i="1"/>
  <c r="I37" i="1"/>
  <c r="G37" i="1"/>
  <c r="G35" i="1"/>
  <c r="G33" i="1"/>
  <c r="O33" i="1"/>
  <c r="O37" i="1"/>
  <c r="O34" i="1"/>
  <c r="O32" i="1"/>
  <c r="O36" i="1"/>
  <c r="E33" i="1"/>
  <c r="E35" i="1"/>
  <c r="E37" i="1"/>
  <c r="L37" i="1"/>
  <c r="L35" i="1"/>
  <c r="L33" i="1"/>
  <c r="D37" i="1"/>
  <c r="D35" i="1"/>
  <c r="D33" i="1"/>
  <c r="B37" i="1"/>
  <c r="B35" i="1"/>
  <c r="B33" i="1"/>
</calcChain>
</file>

<file path=xl/sharedStrings.xml><?xml version="1.0" encoding="utf-8"?>
<sst xmlns="http://schemas.openxmlformats.org/spreadsheetml/2006/main" count="745" uniqueCount="129">
  <si>
    <t>mrtot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</si>
  <si>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</si>
  <si>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</si>
  <si>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</si>
  <si>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</si>
  <si>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</si>
  <si>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</si>
  <si>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</si>
  <si>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</si>
  <si>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</si>
  <si>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</si>
  <si>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</si>
  <si>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</si>
  <si>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</si>
  <si>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ReverseCross</t>
  </si>
  <si>
    <t>c1_2</t>
  </si>
  <si>
    <t>c2_3</t>
  </si>
  <si>
    <t>c3_4</t>
  </si>
  <si>
    <t>c4_5</t>
  </si>
  <si>
    <t>c5_6</t>
  </si>
  <si>
    <t>c6_7</t>
  </si>
  <si>
    <t>c7_8</t>
  </si>
  <si>
    <t>c8_9</t>
  </si>
  <si>
    <t>c9_10</t>
  </si>
  <si>
    <t>c10_11</t>
  </si>
  <si>
    <t>c11_12</t>
  </si>
  <si>
    <t>c12_13</t>
  </si>
  <si>
    <t>ReverseDown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</si>
  <si>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</si>
  <si>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</si>
  <si>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</si>
  <si>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</si>
  <si>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</si>
  <si>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</si>
  <si>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</si>
  <si>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</si>
  <si>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</si>
  <si>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</si>
  <si>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</si>
  <si>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</si>
  <si>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</si>
  <si>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QA</t>
  </si>
  <si>
    <t/>
  </si>
  <si>
    <t>RIGHT</t>
  </si>
  <si>
    <t>N</t>
  </si>
  <si>
    <t>MEAN</t>
  </si>
  <si>
    <t>SD</t>
  </si>
  <si>
    <t>IDEALm</t>
  </si>
  <si>
    <t>IDEALs</t>
  </si>
  <si>
    <t>STANDARDm</t>
  </si>
  <si>
    <t>STANDARDs</t>
  </si>
  <si>
    <t>EXCEPIONm</t>
  </si>
  <si>
    <t>EXCEPIONs</t>
  </si>
  <si>
    <t>N1</t>
  </si>
  <si>
    <t>MEAN1</t>
  </si>
  <si>
    <t>SD1</t>
  </si>
  <si>
    <t>frq1</t>
  </si>
  <si>
    <t>frq2</t>
  </si>
  <si>
    <t>frq3</t>
  </si>
  <si>
    <t>frq4</t>
  </si>
  <si>
    <t>frq5</t>
  </si>
  <si>
    <t>frq6</t>
  </si>
  <si>
    <t>frq7</t>
  </si>
  <si>
    <t>frq8</t>
  </si>
  <si>
    <t>frq9</t>
  </si>
  <si>
    <t>frq10</t>
  </si>
  <si>
    <t>frq11</t>
  </si>
  <si>
    <t>frq12</t>
  </si>
  <si>
    <t>frq13</t>
  </si>
  <si>
    <t>SS_Sq</t>
  </si>
  <si>
    <t>ssq1</t>
  </si>
  <si>
    <t>ssq2</t>
  </si>
  <si>
    <t>ssq3</t>
  </si>
  <si>
    <t>ssq4</t>
  </si>
  <si>
    <t>ssq5</t>
  </si>
  <si>
    <t>ssq6</t>
  </si>
  <si>
    <t>ssq7</t>
  </si>
  <si>
    <t>ssq8</t>
  </si>
  <si>
    <t>ssq9</t>
  </si>
  <si>
    <t>ssq10</t>
  </si>
  <si>
    <t>ssq11</t>
  </si>
  <si>
    <t>ssq12</t>
  </si>
  <si>
    <t>ssq13</t>
  </si>
  <si>
    <t>.</t>
  </si>
  <si>
    <t>wais5_mr_raw</t>
  </si>
  <si>
    <t>ss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</si>
  <si>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</si>
  <si>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</si>
  <si>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</si>
  <si>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</si>
  <si>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</si>
  <si>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</si>
  <si>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</si>
  <si>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</si>
  <si>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</si>
  <si>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</si>
  <si>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</si>
  <si>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</si>
  <si>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</si>
  <si>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1v2</t>
  </si>
  <si>
    <t>2v3</t>
  </si>
  <si>
    <t>3v4</t>
  </si>
  <si>
    <t>4v5</t>
  </si>
  <si>
    <t>5v6</t>
  </si>
  <si>
    <t>6v7</t>
  </si>
  <si>
    <t>7v8</t>
  </si>
  <si>
    <t>8v9</t>
  </si>
  <si>
    <t>9v10</t>
  </si>
  <si>
    <t>10v11</t>
  </si>
  <si>
    <t>11v12</t>
  </si>
  <si>
    <t>12v13</t>
  </si>
  <si>
    <t>13v14</t>
  </si>
  <si>
    <t>14v15</t>
  </si>
  <si>
    <t>15v16</t>
  </si>
  <si>
    <t>16v17</t>
  </si>
  <si>
    <t>17v18</t>
  </si>
  <si>
    <t>18v19</t>
  </si>
  <si>
    <t>g1v2</t>
  </si>
  <si>
    <t>g2v3</t>
  </si>
  <si>
    <t>g3v4</t>
  </si>
  <si>
    <t>g4v5</t>
  </si>
  <si>
    <t>g5v6</t>
  </si>
  <si>
    <t>g6v7</t>
  </si>
  <si>
    <t>g7v8</t>
  </si>
  <si>
    <t>g8v9</t>
  </si>
  <si>
    <t>g9v10</t>
  </si>
  <si>
    <t>g10v11</t>
  </si>
  <si>
    <t>g11v12</t>
  </si>
  <si>
    <t>g12v13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</si>
</sst>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9.5"/>
      <color rgb="FF000000"/>
      <name val="Arial"/>
    </font>
    <font>
      <b/>
      <sz val="9.5"/>
      <color rgb="FF112277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9.5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2" fontId="3" fillId="4" borderId="2" xfId="0" applyNumberFormat="1" applyFont="1" applyFill="1" applyBorder="1" applyAlignment="1">
      <alignment horizontal="left"/>
    </xf>
    <xf numFmtId="0" fontId="4" fillId="0" borderId="3" xfId="0" applyFont="1" applyBorder="1" applyAlignment="1">
      <alignment horizontal="right" vertical="top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5" borderId="4" xfId="0" applyFont="1" applyFill="1" applyBorder="1" applyAlignment="1">
      <alignment horizontal="center" vertical="top"/>
    </xf>
    <xf numFmtId="0" fontId="6" fillId="0" borderId="0" xfId="1"/>
    <xf numFmtId="0" fontId="6" fillId="2" borderId="0" xfId="1" applyFill="1" applyAlignment="1">
      <alignment horizontal="left"/>
    </xf>
    <xf numFmtId="0" fontId="7" fillId="0" borderId="0" xfId="1" applyFont="1"/>
    <xf numFmtId="0" fontId="8" fillId="2" borderId="0" xfId="1" applyFont="1" applyFill="1" applyAlignment="1">
      <alignment horizontal="left"/>
    </xf>
    <xf numFmtId="0" fontId="8" fillId="0" borderId="0" xfId="1" applyFont="1"/>
    <xf numFmtId="0" fontId="4" fillId="6" borderId="4" xfId="0" applyFont="1" applyFill="1" applyBorder="1" applyAlignment="1">
      <alignment horizontal="center" vertical="top"/>
    </xf>
    <xf numFmtId="0" fontId="2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164" fontId="3" fillId="6" borderId="2" xfId="0" applyNumberFormat="1" applyFont="1" applyFill="1" applyBorder="1" applyAlignment="1">
      <alignment horizontal="left"/>
    </xf>
    <xf numFmtId="0" fontId="5" fillId="6" borderId="0" xfId="0" applyFont="1" applyFill="1" applyAlignment="1">
      <alignment horizontal="center"/>
    </xf>
  </cellXfs>
  <cellStyles count="2">
    <cellStyle name="Normal" xfId="0" builtinId="0"/>
    <cellStyle name="Normal 2" xfId="1" xr:uid="{60B79A4E-197A-403D-9194-BB389C8150D8}"/>
  </cellStyles>
  <dxfs count="4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9933"/>
        </patternFill>
      </fill>
    </dxf>
    <dxf>
      <fill>
        <patternFill>
          <bgColor rgb="FF00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0"/>
  <sheetViews>
    <sheetView tabSelected="1" zoomScale="80" zoomScaleNormal="80" workbookViewId="0">
      <selection activeCell="P35" sqref="P35"/>
    </sheetView>
  </sheetViews>
  <sheetFormatPr defaultColWidth="6.42578125" defaultRowHeight="16.5" customHeight="1" x14ac:dyDescent="0.2"/>
  <cols>
    <col min="1" max="1" width="14.28515625" style="10" customWidth="1"/>
    <col min="2" max="4" width="6.42578125" style="10"/>
    <col min="5" max="5" width="6.42578125" style="24"/>
    <col min="6" max="14" width="6.42578125" style="10"/>
    <col min="15" max="15" width="18.140625" style="10" customWidth="1"/>
    <col min="16" max="16" width="8.28515625" style="10" customWidth="1"/>
    <col min="17" max="18" width="6.42578125" style="10"/>
    <col min="19" max="19" width="14.140625" style="10" customWidth="1"/>
    <col min="20" max="20" width="14.7109375" style="10" customWidth="1"/>
    <col min="21" max="21" width="13" style="10" customWidth="1"/>
    <col min="22" max="22" width="15.140625" style="10" customWidth="1"/>
    <col min="23" max="25" width="12.5703125" style="10" customWidth="1"/>
    <col min="26" max="26" width="11.85546875" style="10" customWidth="1"/>
    <col min="27" max="27" width="13" style="10" customWidth="1"/>
    <col min="28" max="28" width="15" style="10" customWidth="1"/>
    <col min="29" max="16384" width="6.42578125" style="10"/>
  </cols>
  <sheetData>
    <row r="1" spans="1:69" ht="16.5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20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9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ht="16.5" customHeight="1" x14ac:dyDescent="0.2">
      <c r="A2" s="11">
        <v>0</v>
      </c>
      <c r="B2" s="3">
        <v>1</v>
      </c>
      <c r="C2" s="3">
        <v>1</v>
      </c>
      <c r="D2" s="3">
        <v>1</v>
      </c>
      <c r="E2" s="21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4">
        <v>1</v>
      </c>
      <c r="N2" s="4">
        <v>1</v>
      </c>
      <c r="O2" s="12" t="s">
        <v>42</v>
      </c>
      <c r="P2" s="4">
        <f t="shared" ref="P2:P28" si="0">B2-C2</f>
        <v>0</v>
      </c>
      <c r="Q2" s="4">
        <f t="shared" ref="Q2:Q28" si="1">C2-D2</f>
        <v>0</v>
      </c>
      <c r="R2" s="4">
        <f t="shared" ref="R2:R28" si="2">D2-E2</f>
        <v>0</v>
      </c>
      <c r="S2" s="4">
        <f t="shared" ref="S2:S28" si="3">E2-F2</f>
        <v>0</v>
      </c>
      <c r="T2" s="4">
        <f t="shared" ref="T2:T28" si="4">F2-G2</f>
        <v>0</v>
      </c>
      <c r="U2" s="4">
        <f t="shared" ref="U2:U28" si="5">G2-H2</f>
        <v>0</v>
      </c>
      <c r="V2" s="4">
        <f t="shared" ref="V2:V28" si="6">H2-I2</f>
        <v>0</v>
      </c>
      <c r="W2" s="4">
        <f t="shared" ref="W2:W28" si="7">I2-J2</f>
        <v>0</v>
      </c>
      <c r="X2" s="4">
        <f t="shared" ref="X2:X28" si="8">J2-K2</f>
        <v>0</v>
      </c>
      <c r="Y2" s="4">
        <f t="shared" ref="Y2:Y28" si="9">K2-L2</f>
        <v>0</v>
      </c>
      <c r="Z2" s="4">
        <f t="shared" ref="Z2:Z28" si="10">L2-M2</f>
        <v>0</v>
      </c>
      <c r="AA2" s="4">
        <f t="shared" ref="AA2:AA28" si="11">M2-N2</f>
        <v>0</v>
      </c>
      <c r="AB2" s="4" t="s">
        <v>42</v>
      </c>
      <c r="AC2" s="4">
        <f t="shared" ref="AC2:AC27" si="12">B3-B2</f>
        <v>0</v>
      </c>
      <c r="AD2" s="4">
        <f t="shared" ref="AD2:AD27" si="13">C3-C2</f>
        <v>0</v>
      </c>
      <c r="AE2" s="4">
        <f t="shared" ref="AE2:AE27" si="14">D3-D2</f>
        <v>0</v>
      </c>
      <c r="AF2" s="4">
        <f t="shared" ref="AF2:AF27" si="15">E3-E2</f>
        <v>1</v>
      </c>
      <c r="AG2" s="4">
        <f t="shared" ref="AG2:AG27" si="16">F3-F2</f>
        <v>1</v>
      </c>
      <c r="AH2" s="4">
        <f t="shared" ref="AH2:AH27" si="17">G3-G2</f>
        <v>1</v>
      </c>
      <c r="AI2" s="4">
        <f t="shared" ref="AI2:AI27" si="18">H3-H2</f>
        <v>1</v>
      </c>
      <c r="AJ2" s="4">
        <f t="shared" ref="AJ2:AJ27" si="19">I3-I2</f>
        <v>1</v>
      </c>
      <c r="AK2" s="4">
        <f t="shared" ref="AK2:AK27" si="20">J3-J2</f>
        <v>2</v>
      </c>
      <c r="AL2" s="4">
        <f t="shared" ref="AL2:AL27" si="21">K3-K2</f>
        <v>2</v>
      </c>
      <c r="AM2" s="4">
        <f t="shared" ref="AM2:AM27" si="22">L3-L2</f>
        <v>1</v>
      </c>
      <c r="AN2" s="4">
        <f t="shared" ref="AN2:AN27" si="23">M3-M2</f>
        <v>0</v>
      </c>
      <c r="AO2" s="4">
        <f t="shared" ref="AO2:AO27" si="24">N3-N2</f>
        <v>0</v>
      </c>
      <c r="AP2" s="4" t="s">
        <v>43</v>
      </c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</row>
    <row r="3" spans="1:69" ht="16.5" customHeight="1" x14ac:dyDescent="0.2">
      <c r="A3" s="11">
        <v>1</v>
      </c>
      <c r="B3" s="3">
        <v>1</v>
      </c>
      <c r="C3" s="3">
        <v>1</v>
      </c>
      <c r="D3" s="3">
        <v>1</v>
      </c>
      <c r="E3" s="21">
        <v>2</v>
      </c>
      <c r="F3" s="3">
        <v>2</v>
      </c>
      <c r="G3" s="3">
        <v>2</v>
      </c>
      <c r="H3" s="3">
        <v>2</v>
      </c>
      <c r="I3" s="3">
        <v>2</v>
      </c>
      <c r="J3" s="3">
        <v>3</v>
      </c>
      <c r="K3" s="3">
        <v>3</v>
      </c>
      <c r="L3" s="3">
        <v>2</v>
      </c>
      <c r="M3" s="4">
        <v>1</v>
      </c>
      <c r="N3" s="4">
        <v>1</v>
      </c>
      <c r="O3" s="12" t="s">
        <v>42</v>
      </c>
      <c r="P3" s="4">
        <f t="shared" si="0"/>
        <v>0</v>
      </c>
      <c r="Q3" s="4">
        <f t="shared" si="1"/>
        <v>0</v>
      </c>
      <c r="R3" s="4">
        <f t="shared" si="2"/>
        <v>-1</v>
      </c>
      <c r="S3" s="4">
        <f t="shared" si="3"/>
        <v>0</v>
      </c>
      <c r="T3" s="4">
        <f t="shared" si="4"/>
        <v>0</v>
      </c>
      <c r="U3" s="4">
        <f t="shared" si="5"/>
        <v>0</v>
      </c>
      <c r="V3" s="4">
        <f t="shared" si="6"/>
        <v>0</v>
      </c>
      <c r="W3" s="4">
        <f t="shared" si="7"/>
        <v>-1</v>
      </c>
      <c r="X3" s="4">
        <f t="shared" si="8"/>
        <v>0</v>
      </c>
      <c r="Y3" s="4">
        <f t="shared" si="9"/>
        <v>1</v>
      </c>
      <c r="Z3" s="4">
        <f t="shared" si="10"/>
        <v>1</v>
      </c>
      <c r="AA3" s="4">
        <f t="shared" si="11"/>
        <v>0</v>
      </c>
      <c r="AB3" s="4" t="s">
        <v>42</v>
      </c>
      <c r="AC3" s="4">
        <f t="shared" si="12"/>
        <v>1</v>
      </c>
      <c r="AD3" s="4">
        <f t="shared" si="13"/>
        <v>1</v>
      </c>
      <c r="AE3" s="4">
        <f t="shared" si="14"/>
        <v>1</v>
      </c>
      <c r="AF3" s="4">
        <f t="shared" si="15"/>
        <v>0</v>
      </c>
      <c r="AG3" s="4">
        <f t="shared" si="16"/>
        <v>0</v>
      </c>
      <c r="AH3" s="4">
        <f t="shared" si="17"/>
        <v>0</v>
      </c>
      <c r="AI3" s="4">
        <f t="shared" si="18"/>
        <v>1</v>
      </c>
      <c r="AJ3" s="4">
        <f t="shared" si="19"/>
        <v>1</v>
      </c>
      <c r="AK3" s="4">
        <f t="shared" si="20"/>
        <v>0</v>
      </c>
      <c r="AL3" s="4">
        <f t="shared" si="21"/>
        <v>0</v>
      </c>
      <c r="AM3" s="4">
        <f t="shared" si="22"/>
        <v>1</v>
      </c>
      <c r="AN3" s="4">
        <f t="shared" si="23"/>
        <v>2</v>
      </c>
      <c r="AO3" s="4">
        <f t="shared" si="24"/>
        <v>3</v>
      </c>
      <c r="AP3" s="4" t="s">
        <v>43</v>
      </c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</row>
    <row r="4" spans="1:69" ht="16.5" customHeight="1" x14ac:dyDescent="0.2">
      <c r="A4" s="11">
        <v>2</v>
      </c>
      <c r="B4" s="3">
        <v>2</v>
      </c>
      <c r="C4" s="3">
        <v>2</v>
      </c>
      <c r="D4" s="3">
        <v>2</v>
      </c>
      <c r="E4" s="21">
        <v>2</v>
      </c>
      <c r="F4" s="3">
        <v>2</v>
      </c>
      <c r="G4" s="3">
        <v>2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4">
        <v>3</v>
      </c>
      <c r="N4" s="4">
        <v>4</v>
      </c>
      <c r="O4" s="12" t="s">
        <v>42</v>
      </c>
      <c r="P4" s="4">
        <f t="shared" si="0"/>
        <v>0</v>
      </c>
      <c r="Q4" s="4">
        <f t="shared" si="1"/>
        <v>0</v>
      </c>
      <c r="R4" s="4">
        <f t="shared" si="2"/>
        <v>0</v>
      </c>
      <c r="S4" s="4">
        <f t="shared" si="3"/>
        <v>0</v>
      </c>
      <c r="T4" s="4">
        <f t="shared" si="4"/>
        <v>0</v>
      </c>
      <c r="U4" s="4">
        <f t="shared" si="5"/>
        <v>-1</v>
      </c>
      <c r="V4" s="4">
        <f t="shared" si="6"/>
        <v>0</v>
      </c>
      <c r="W4" s="4">
        <f t="shared" si="7"/>
        <v>0</v>
      </c>
      <c r="X4" s="4">
        <f t="shared" si="8"/>
        <v>0</v>
      </c>
      <c r="Y4" s="4">
        <f t="shared" si="9"/>
        <v>0</v>
      </c>
      <c r="Z4" s="4">
        <f t="shared" si="10"/>
        <v>0</v>
      </c>
      <c r="AA4" s="4">
        <f t="shared" si="11"/>
        <v>-1</v>
      </c>
      <c r="AB4" s="4" t="s">
        <v>42</v>
      </c>
      <c r="AC4" s="4">
        <f t="shared" si="12"/>
        <v>0</v>
      </c>
      <c r="AD4" s="4">
        <f t="shared" si="13"/>
        <v>0</v>
      </c>
      <c r="AE4" s="4">
        <f t="shared" si="14"/>
        <v>0</v>
      </c>
      <c r="AF4" s="4">
        <f t="shared" si="15"/>
        <v>1</v>
      </c>
      <c r="AG4" s="4">
        <f t="shared" si="16"/>
        <v>1</v>
      </c>
      <c r="AH4" s="4">
        <f t="shared" si="17"/>
        <v>1</v>
      </c>
      <c r="AI4" s="4">
        <f t="shared" si="18"/>
        <v>0</v>
      </c>
      <c r="AJ4" s="4">
        <f t="shared" si="19"/>
        <v>0</v>
      </c>
      <c r="AK4" s="4">
        <f t="shared" si="20"/>
        <v>1</v>
      </c>
      <c r="AL4" s="4">
        <f t="shared" si="21"/>
        <v>1</v>
      </c>
      <c r="AM4" s="4">
        <f t="shared" si="22"/>
        <v>1</v>
      </c>
      <c r="AN4" s="4">
        <f t="shared" si="23"/>
        <v>2</v>
      </c>
      <c r="AO4" s="4">
        <f t="shared" si="24"/>
        <v>2</v>
      </c>
      <c r="AP4" s="4" t="s">
        <v>43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</row>
    <row r="5" spans="1:69" ht="16.5" customHeight="1" x14ac:dyDescent="0.2">
      <c r="A5" s="11">
        <v>3</v>
      </c>
      <c r="B5" s="3">
        <v>2</v>
      </c>
      <c r="C5" s="3">
        <v>2</v>
      </c>
      <c r="D5" s="3">
        <v>2</v>
      </c>
      <c r="E5" s="21">
        <v>3</v>
      </c>
      <c r="F5" s="3">
        <v>3</v>
      </c>
      <c r="G5" s="3">
        <v>3</v>
      </c>
      <c r="H5" s="3">
        <v>3</v>
      </c>
      <c r="I5" s="3">
        <v>3</v>
      </c>
      <c r="J5" s="3">
        <v>4</v>
      </c>
      <c r="K5" s="3">
        <v>4</v>
      </c>
      <c r="L5" s="3">
        <v>4</v>
      </c>
      <c r="M5" s="4">
        <v>5</v>
      </c>
      <c r="N5" s="4">
        <v>6</v>
      </c>
      <c r="O5" s="12" t="s">
        <v>42</v>
      </c>
      <c r="P5" s="4">
        <f t="shared" si="0"/>
        <v>0</v>
      </c>
      <c r="Q5" s="4">
        <f t="shared" si="1"/>
        <v>0</v>
      </c>
      <c r="R5" s="4">
        <f t="shared" si="2"/>
        <v>-1</v>
      </c>
      <c r="S5" s="4">
        <f t="shared" si="3"/>
        <v>0</v>
      </c>
      <c r="T5" s="4">
        <f t="shared" si="4"/>
        <v>0</v>
      </c>
      <c r="U5" s="4">
        <f t="shared" si="5"/>
        <v>0</v>
      </c>
      <c r="V5" s="4">
        <f t="shared" si="6"/>
        <v>0</v>
      </c>
      <c r="W5" s="4">
        <f t="shared" si="7"/>
        <v>-1</v>
      </c>
      <c r="X5" s="4">
        <f t="shared" si="8"/>
        <v>0</v>
      </c>
      <c r="Y5" s="4">
        <f t="shared" si="9"/>
        <v>0</v>
      </c>
      <c r="Z5" s="4">
        <f t="shared" si="10"/>
        <v>-1</v>
      </c>
      <c r="AA5" s="4">
        <f t="shared" si="11"/>
        <v>-1</v>
      </c>
      <c r="AB5" s="4" t="s">
        <v>42</v>
      </c>
      <c r="AC5" s="4">
        <f t="shared" si="12"/>
        <v>1</v>
      </c>
      <c r="AD5" s="4">
        <f t="shared" si="13"/>
        <v>1</v>
      </c>
      <c r="AE5" s="4">
        <f t="shared" si="14"/>
        <v>1</v>
      </c>
      <c r="AF5" s="4">
        <f t="shared" si="15"/>
        <v>0</v>
      </c>
      <c r="AG5" s="4">
        <f t="shared" si="16"/>
        <v>0</v>
      </c>
      <c r="AH5" s="4">
        <f t="shared" si="17"/>
        <v>0</v>
      </c>
      <c r="AI5" s="4">
        <f t="shared" si="18"/>
        <v>1</v>
      </c>
      <c r="AJ5" s="4">
        <f t="shared" si="19"/>
        <v>1</v>
      </c>
      <c r="AK5" s="4">
        <f t="shared" si="20"/>
        <v>0</v>
      </c>
      <c r="AL5" s="4">
        <f t="shared" si="21"/>
        <v>1</v>
      </c>
      <c r="AM5" s="4">
        <f t="shared" si="22"/>
        <v>1</v>
      </c>
      <c r="AN5" s="4">
        <f t="shared" si="23"/>
        <v>1</v>
      </c>
      <c r="AO5" s="4">
        <f t="shared" si="24"/>
        <v>1</v>
      </c>
      <c r="AP5" s="4" t="s">
        <v>43</v>
      </c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</row>
    <row r="6" spans="1:69" ht="16.5" customHeight="1" x14ac:dyDescent="0.2">
      <c r="A6" s="11">
        <v>4</v>
      </c>
      <c r="B6" s="3">
        <v>3</v>
      </c>
      <c r="C6" s="3">
        <v>3</v>
      </c>
      <c r="D6" s="3">
        <v>3</v>
      </c>
      <c r="E6" s="21">
        <v>3</v>
      </c>
      <c r="F6" s="3">
        <v>3</v>
      </c>
      <c r="G6" s="3">
        <v>3</v>
      </c>
      <c r="H6" s="3">
        <v>4</v>
      </c>
      <c r="I6" s="3">
        <v>4</v>
      </c>
      <c r="J6" s="3">
        <v>4</v>
      </c>
      <c r="K6" s="3">
        <v>5</v>
      </c>
      <c r="L6" s="3">
        <v>5</v>
      </c>
      <c r="M6" s="4">
        <v>6</v>
      </c>
      <c r="N6" s="4">
        <v>7</v>
      </c>
      <c r="O6" s="12" t="s">
        <v>42</v>
      </c>
      <c r="P6" s="4">
        <f t="shared" si="0"/>
        <v>0</v>
      </c>
      <c r="Q6" s="4">
        <f t="shared" si="1"/>
        <v>0</v>
      </c>
      <c r="R6" s="4">
        <f t="shared" si="2"/>
        <v>0</v>
      </c>
      <c r="S6" s="4">
        <f t="shared" si="3"/>
        <v>0</v>
      </c>
      <c r="T6" s="4">
        <f t="shared" si="4"/>
        <v>0</v>
      </c>
      <c r="U6" s="4">
        <f t="shared" si="5"/>
        <v>-1</v>
      </c>
      <c r="V6" s="4">
        <f t="shared" si="6"/>
        <v>0</v>
      </c>
      <c r="W6" s="4">
        <f t="shared" si="7"/>
        <v>0</v>
      </c>
      <c r="X6" s="4">
        <f t="shared" si="8"/>
        <v>-1</v>
      </c>
      <c r="Y6" s="4">
        <f t="shared" si="9"/>
        <v>0</v>
      </c>
      <c r="Z6" s="4">
        <f t="shared" si="10"/>
        <v>-1</v>
      </c>
      <c r="AA6" s="4">
        <f t="shared" si="11"/>
        <v>-1</v>
      </c>
      <c r="AB6" s="4" t="s">
        <v>42</v>
      </c>
      <c r="AC6" s="4">
        <f t="shared" si="12"/>
        <v>0</v>
      </c>
      <c r="AD6" s="4">
        <f t="shared" si="13"/>
        <v>0</v>
      </c>
      <c r="AE6" s="4">
        <f t="shared" si="14"/>
        <v>0</v>
      </c>
      <c r="AF6" s="4">
        <f t="shared" si="15"/>
        <v>0</v>
      </c>
      <c r="AG6" s="4">
        <f t="shared" si="16"/>
        <v>1</v>
      </c>
      <c r="AH6" s="4">
        <f t="shared" si="17"/>
        <v>1</v>
      </c>
      <c r="AI6" s="4">
        <f t="shared" si="18"/>
        <v>0</v>
      </c>
      <c r="AJ6" s="4">
        <f t="shared" si="19"/>
        <v>0</v>
      </c>
      <c r="AK6" s="4">
        <f t="shared" si="20"/>
        <v>1</v>
      </c>
      <c r="AL6" s="4">
        <f t="shared" si="21"/>
        <v>0</v>
      </c>
      <c r="AM6" s="4">
        <f t="shared" si="22"/>
        <v>1</v>
      </c>
      <c r="AN6" s="4">
        <f t="shared" si="23"/>
        <v>0</v>
      </c>
      <c r="AO6" s="4">
        <f t="shared" si="24"/>
        <v>0</v>
      </c>
      <c r="AP6" s="4" t="s">
        <v>43</v>
      </c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</row>
    <row r="7" spans="1:69" ht="16.5" customHeight="1" x14ac:dyDescent="0.2">
      <c r="A7" s="11">
        <v>5</v>
      </c>
      <c r="B7" s="3">
        <v>3</v>
      </c>
      <c r="C7" s="3">
        <v>3</v>
      </c>
      <c r="D7" s="3">
        <v>3</v>
      </c>
      <c r="E7" s="21">
        <v>3</v>
      </c>
      <c r="F7" s="3">
        <v>4</v>
      </c>
      <c r="G7" s="3">
        <v>4</v>
      </c>
      <c r="H7" s="3">
        <v>4</v>
      </c>
      <c r="I7" s="3">
        <v>4</v>
      </c>
      <c r="J7" s="3">
        <v>5</v>
      </c>
      <c r="K7" s="3">
        <v>5</v>
      </c>
      <c r="L7" s="3">
        <v>6</v>
      </c>
      <c r="M7" s="4">
        <v>6</v>
      </c>
      <c r="N7" s="4">
        <v>7</v>
      </c>
      <c r="O7" s="12" t="s">
        <v>42</v>
      </c>
      <c r="P7" s="4">
        <f t="shared" si="0"/>
        <v>0</v>
      </c>
      <c r="Q7" s="4">
        <f t="shared" si="1"/>
        <v>0</v>
      </c>
      <c r="R7" s="4">
        <f t="shared" si="2"/>
        <v>0</v>
      </c>
      <c r="S7" s="4">
        <f t="shared" si="3"/>
        <v>-1</v>
      </c>
      <c r="T7" s="4">
        <f t="shared" si="4"/>
        <v>0</v>
      </c>
      <c r="U7" s="4">
        <f t="shared" si="5"/>
        <v>0</v>
      </c>
      <c r="V7" s="4">
        <f t="shared" si="6"/>
        <v>0</v>
      </c>
      <c r="W7" s="4">
        <f t="shared" si="7"/>
        <v>-1</v>
      </c>
      <c r="X7" s="4">
        <f t="shared" si="8"/>
        <v>0</v>
      </c>
      <c r="Y7" s="4">
        <f t="shared" si="9"/>
        <v>-1</v>
      </c>
      <c r="Z7" s="4">
        <f t="shared" si="10"/>
        <v>0</v>
      </c>
      <c r="AA7" s="4">
        <f t="shared" si="11"/>
        <v>-1</v>
      </c>
      <c r="AB7" s="4" t="s">
        <v>42</v>
      </c>
      <c r="AC7" s="4">
        <f t="shared" si="12"/>
        <v>1</v>
      </c>
      <c r="AD7" s="4">
        <f t="shared" si="13"/>
        <v>1</v>
      </c>
      <c r="AE7" s="4">
        <f t="shared" si="14"/>
        <v>1</v>
      </c>
      <c r="AF7" s="4">
        <f t="shared" si="15"/>
        <v>1</v>
      </c>
      <c r="AG7" s="4">
        <f t="shared" si="16"/>
        <v>0</v>
      </c>
      <c r="AH7" s="4">
        <f t="shared" si="17"/>
        <v>0</v>
      </c>
      <c r="AI7" s="4">
        <f t="shared" si="18"/>
        <v>0</v>
      </c>
      <c r="AJ7" s="4">
        <f t="shared" si="19"/>
        <v>1</v>
      </c>
      <c r="AK7" s="4">
        <f t="shared" si="20"/>
        <v>0</v>
      </c>
      <c r="AL7" s="4">
        <f t="shared" si="21"/>
        <v>1</v>
      </c>
      <c r="AM7" s="4">
        <f t="shared" si="22"/>
        <v>0</v>
      </c>
      <c r="AN7" s="4">
        <f t="shared" si="23"/>
        <v>1</v>
      </c>
      <c r="AO7" s="4">
        <f t="shared" si="24"/>
        <v>1</v>
      </c>
      <c r="AP7" s="4" t="s">
        <v>43</v>
      </c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</row>
    <row r="8" spans="1:69" ht="16.5" customHeight="1" x14ac:dyDescent="0.2">
      <c r="A8" s="11">
        <v>6</v>
      </c>
      <c r="B8" s="3">
        <v>4</v>
      </c>
      <c r="C8" s="3">
        <v>4</v>
      </c>
      <c r="D8" s="3">
        <v>4</v>
      </c>
      <c r="E8" s="21">
        <v>4</v>
      </c>
      <c r="F8" s="3">
        <v>4</v>
      </c>
      <c r="G8" s="3">
        <v>4</v>
      </c>
      <c r="H8" s="3">
        <v>4</v>
      </c>
      <c r="I8" s="3">
        <v>5</v>
      </c>
      <c r="J8" s="3">
        <v>5</v>
      </c>
      <c r="K8" s="3">
        <v>6</v>
      </c>
      <c r="L8" s="3">
        <v>6</v>
      </c>
      <c r="M8" s="4">
        <v>7</v>
      </c>
      <c r="N8" s="4">
        <v>8</v>
      </c>
      <c r="O8" s="12" t="s">
        <v>42</v>
      </c>
      <c r="P8" s="4">
        <f t="shared" si="0"/>
        <v>0</v>
      </c>
      <c r="Q8" s="4">
        <f t="shared" si="1"/>
        <v>0</v>
      </c>
      <c r="R8" s="4">
        <f t="shared" si="2"/>
        <v>0</v>
      </c>
      <c r="S8" s="4">
        <f t="shared" si="3"/>
        <v>0</v>
      </c>
      <c r="T8" s="4">
        <f t="shared" si="4"/>
        <v>0</v>
      </c>
      <c r="U8" s="4">
        <f t="shared" si="5"/>
        <v>0</v>
      </c>
      <c r="V8" s="4">
        <f t="shared" si="6"/>
        <v>-1</v>
      </c>
      <c r="W8" s="4">
        <f t="shared" si="7"/>
        <v>0</v>
      </c>
      <c r="X8" s="4">
        <f t="shared" si="8"/>
        <v>-1</v>
      </c>
      <c r="Y8" s="4">
        <f t="shared" si="9"/>
        <v>0</v>
      </c>
      <c r="Z8" s="4">
        <f t="shared" si="10"/>
        <v>-1</v>
      </c>
      <c r="AA8" s="4">
        <f t="shared" si="11"/>
        <v>-1</v>
      </c>
      <c r="AB8" s="4" t="s">
        <v>42</v>
      </c>
      <c r="AC8" s="4">
        <f t="shared" si="12"/>
        <v>0</v>
      </c>
      <c r="AD8" s="4">
        <f t="shared" si="13"/>
        <v>0</v>
      </c>
      <c r="AE8" s="4">
        <f t="shared" si="14"/>
        <v>0</v>
      </c>
      <c r="AF8" s="4">
        <f t="shared" si="15"/>
        <v>0</v>
      </c>
      <c r="AG8" s="4">
        <f t="shared" si="16"/>
        <v>0</v>
      </c>
      <c r="AH8" s="4">
        <f t="shared" si="17"/>
        <v>1</v>
      </c>
      <c r="AI8" s="4">
        <f t="shared" si="18"/>
        <v>1</v>
      </c>
      <c r="AJ8" s="4">
        <f t="shared" si="19"/>
        <v>0</v>
      </c>
      <c r="AK8" s="4">
        <f t="shared" si="20"/>
        <v>1</v>
      </c>
      <c r="AL8" s="4">
        <f t="shared" si="21"/>
        <v>0</v>
      </c>
      <c r="AM8" s="4">
        <f t="shared" si="22"/>
        <v>1</v>
      </c>
      <c r="AN8" s="4">
        <f t="shared" si="23"/>
        <v>1</v>
      </c>
      <c r="AO8" s="4">
        <f t="shared" si="24"/>
        <v>1</v>
      </c>
      <c r="AP8" s="4" t="s">
        <v>43</v>
      </c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</row>
    <row r="9" spans="1:69" ht="16.5" customHeight="1" x14ac:dyDescent="0.2">
      <c r="A9" s="11">
        <v>7</v>
      </c>
      <c r="B9" s="3">
        <v>4</v>
      </c>
      <c r="C9" s="3">
        <v>4</v>
      </c>
      <c r="D9" s="3">
        <v>4</v>
      </c>
      <c r="E9" s="21">
        <v>4</v>
      </c>
      <c r="F9" s="3">
        <v>4</v>
      </c>
      <c r="G9" s="3">
        <v>5</v>
      </c>
      <c r="H9" s="3">
        <v>5</v>
      </c>
      <c r="I9" s="3">
        <v>5</v>
      </c>
      <c r="J9" s="3">
        <v>6</v>
      </c>
      <c r="K9" s="3">
        <v>6</v>
      </c>
      <c r="L9" s="3">
        <v>7</v>
      </c>
      <c r="M9" s="4">
        <v>8</v>
      </c>
      <c r="N9" s="4">
        <v>9</v>
      </c>
      <c r="O9" s="12" t="s">
        <v>42</v>
      </c>
      <c r="P9" s="4">
        <f t="shared" si="0"/>
        <v>0</v>
      </c>
      <c r="Q9" s="4">
        <f t="shared" si="1"/>
        <v>0</v>
      </c>
      <c r="R9" s="4">
        <f t="shared" si="2"/>
        <v>0</v>
      </c>
      <c r="S9" s="4">
        <f t="shared" si="3"/>
        <v>0</v>
      </c>
      <c r="T9" s="4">
        <f t="shared" si="4"/>
        <v>-1</v>
      </c>
      <c r="U9" s="4">
        <f t="shared" si="5"/>
        <v>0</v>
      </c>
      <c r="V9" s="4">
        <f t="shared" si="6"/>
        <v>0</v>
      </c>
      <c r="W9" s="4">
        <f t="shared" si="7"/>
        <v>-1</v>
      </c>
      <c r="X9" s="4">
        <f t="shared" si="8"/>
        <v>0</v>
      </c>
      <c r="Y9" s="4">
        <f t="shared" si="9"/>
        <v>-1</v>
      </c>
      <c r="Z9" s="4">
        <f t="shared" si="10"/>
        <v>-1</v>
      </c>
      <c r="AA9" s="4">
        <f t="shared" si="11"/>
        <v>-1</v>
      </c>
      <c r="AB9" s="4" t="s">
        <v>42</v>
      </c>
      <c r="AC9" s="4">
        <f t="shared" si="12"/>
        <v>1</v>
      </c>
      <c r="AD9" s="4">
        <f t="shared" si="13"/>
        <v>1</v>
      </c>
      <c r="AE9" s="4">
        <f t="shared" si="14"/>
        <v>1</v>
      </c>
      <c r="AF9" s="4">
        <f t="shared" si="15"/>
        <v>1</v>
      </c>
      <c r="AG9" s="4">
        <f t="shared" si="16"/>
        <v>1</v>
      </c>
      <c r="AH9" s="4">
        <f t="shared" si="17"/>
        <v>0</v>
      </c>
      <c r="AI9" s="4">
        <f t="shared" si="18"/>
        <v>0</v>
      </c>
      <c r="AJ9" s="4">
        <f t="shared" si="19"/>
        <v>1</v>
      </c>
      <c r="AK9" s="4">
        <f t="shared" si="20"/>
        <v>1</v>
      </c>
      <c r="AL9" s="4">
        <f t="shared" si="21"/>
        <v>1</v>
      </c>
      <c r="AM9" s="4">
        <f t="shared" si="22"/>
        <v>1</v>
      </c>
      <c r="AN9" s="4">
        <f t="shared" si="23"/>
        <v>1</v>
      </c>
      <c r="AO9" s="4">
        <f t="shared" si="24"/>
        <v>0</v>
      </c>
      <c r="AP9" s="4" t="s">
        <v>43</v>
      </c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</row>
    <row r="10" spans="1:69" ht="16.5" customHeight="1" x14ac:dyDescent="0.2">
      <c r="A10" s="11">
        <v>8</v>
      </c>
      <c r="B10" s="3">
        <v>5</v>
      </c>
      <c r="C10" s="3">
        <v>5</v>
      </c>
      <c r="D10" s="3">
        <v>5</v>
      </c>
      <c r="E10" s="21">
        <v>5</v>
      </c>
      <c r="F10" s="3">
        <v>5</v>
      </c>
      <c r="G10" s="3">
        <v>5</v>
      </c>
      <c r="H10" s="3">
        <v>5</v>
      </c>
      <c r="I10" s="3">
        <v>6</v>
      </c>
      <c r="J10" s="3">
        <v>7</v>
      </c>
      <c r="K10" s="3">
        <v>7</v>
      </c>
      <c r="L10" s="3">
        <v>8</v>
      </c>
      <c r="M10" s="4">
        <v>9</v>
      </c>
      <c r="N10" s="4">
        <v>9</v>
      </c>
      <c r="O10" s="12" t="s">
        <v>42</v>
      </c>
      <c r="P10" s="4">
        <f t="shared" si="0"/>
        <v>0</v>
      </c>
      <c r="Q10" s="4">
        <f t="shared" si="1"/>
        <v>0</v>
      </c>
      <c r="R10" s="4">
        <f t="shared" si="2"/>
        <v>0</v>
      </c>
      <c r="S10" s="4">
        <f t="shared" si="3"/>
        <v>0</v>
      </c>
      <c r="T10" s="4">
        <f t="shared" si="4"/>
        <v>0</v>
      </c>
      <c r="U10" s="4">
        <f t="shared" si="5"/>
        <v>0</v>
      </c>
      <c r="V10" s="4">
        <f t="shared" si="6"/>
        <v>-1</v>
      </c>
      <c r="W10" s="4">
        <f t="shared" si="7"/>
        <v>-1</v>
      </c>
      <c r="X10" s="4">
        <f t="shared" si="8"/>
        <v>0</v>
      </c>
      <c r="Y10" s="4">
        <f t="shared" si="9"/>
        <v>-1</v>
      </c>
      <c r="Z10" s="4">
        <f t="shared" si="10"/>
        <v>-1</v>
      </c>
      <c r="AA10" s="4">
        <f t="shared" si="11"/>
        <v>0</v>
      </c>
      <c r="AB10" s="4" t="s">
        <v>42</v>
      </c>
      <c r="AC10" s="4">
        <f t="shared" si="12"/>
        <v>0</v>
      </c>
      <c r="AD10" s="4">
        <f t="shared" si="13"/>
        <v>0</v>
      </c>
      <c r="AE10" s="4">
        <f t="shared" si="14"/>
        <v>0</v>
      </c>
      <c r="AF10" s="4">
        <f t="shared" si="15"/>
        <v>0</v>
      </c>
      <c r="AG10" s="4">
        <f t="shared" si="16"/>
        <v>0</v>
      </c>
      <c r="AH10" s="4">
        <f t="shared" si="17"/>
        <v>1</v>
      </c>
      <c r="AI10" s="4">
        <f t="shared" si="18"/>
        <v>1</v>
      </c>
      <c r="AJ10" s="4">
        <f t="shared" si="19"/>
        <v>1</v>
      </c>
      <c r="AK10" s="4">
        <f t="shared" si="20"/>
        <v>0</v>
      </c>
      <c r="AL10" s="4">
        <f t="shared" si="21"/>
        <v>1</v>
      </c>
      <c r="AM10" s="4">
        <f t="shared" si="22"/>
        <v>0</v>
      </c>
      <c r="AN10" s="4">
        <f t="shared" si="23"/>
        <v>0</v>
      </c>
      <c r="AO10" s="4">
        <f t="shared" si="24"/>
        <v>1</v>
      </c>
      <c r="AP10" s="4" t="s">
        <v>43</v>
      </c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</row>
    <row r="11" spans="1:69" ht="16.5" customHeight="1" x14ac:dyDescent="0.2">
      <c r="A11" s="11">
        <v>9</v>
      </c>
      <c r="B11" s="3">
        <v>5</v>
      </c>
      <c r="C11" s="3">
        <v>5</v>
      </c>
      <c r="D11" s="3">
        <v>5</v>
      </c>
      <c r="E11" s="21">
        <v>5</v>
      </c>
      <c r="F11" s="3">
        <v>5</v>
      </c>
      <c r="G11" s="3">
        <v>6</v>
      </c>
      <c r="H11" s="3">
        <v>6</v>
      </c>
      <c r="I11" s="3">
        <v>7</v>
      </c>
      <c r="J11" s="3">
        <v>7</v>
      </c>
      <c r="K11" s="3">
        <v>8</v>
      </c>
      <c r="L11" s="3">
        <v>8</v>
      </c>
      <c r="M11" s="4">
        <v>9</v>
      </c>
      <c r="N11" s="4">
        <v>10</v>
      </c>
      <c r="O11" s="12" t="s">
        <v>42</v>
      </c>
      <c r="P11" s="4">
        <f t="shared" si="0"/>
        <v>0</v>
      </c>
      <c r="Q11" s="4">
        <f t="shared" si="1"/>
        <v>0</v>
      </c>
      <c r="R11" s="4">
        <f t="shared" si="2"/>
        <v>0</v>
      </c>
      <c r="S11" s="4">
        <f t="shared" si="3"/>
        <v>0</v>
      </c>
      <c r="T11" s="4">
        <f t="shared" si="4"/>
        <v>-1</v>
      </c>
      <c r="U11" s="4">
        <f t="shared" si="5"/>
        <v>0</v>
      </c>
      <c r="V11" s="4">
        <f t="shared" si="6"/>
        <v>-1</v>
      </c>
      <c r="W11" s="4">
        <f t="shared" si="7"/>
        <v>0</v>
      </c>
      <c r="X11" s="4">
        <f t="shared" si="8"/>
        <v>-1</v>
      </c>
      <c r="Y11" s="4">
        <f t="shared" si="9"/>
        <v>0</v>
      </c>
      <c r="Z11" s="4">
        <f t="shared" si="10"/>
        <v>-1</v>
      </c>
      <c r="AA11" s="4">
        <f t="shared" si="11"/>
        <v>-1</v>
      </c>
      <c r="AB11" s="4" t="s">
        <v>42</v>
      </c>
      <c r="AC11" s="4">
        <f t="shared" si="12"/>
        <v>1</v>
      </c>
      <c r="AD11" s="4">
        <f t="shared" si="13"/>
        <v>1</v>
      </c>
      <c r="AE11" s="4">
        <f t="shared" si="14"/>
        <v>1</v>
      </c>
      <c r="AF11" s="4">
        <f t="shared" si="15"/>
        <v>1</v>
      </c>
      <c r="AG11" s="4">
        <f t="shared" si="16"/>
        <v>1</v>
      </c>
      <c r="AH11" s="4">
        <f t="shared" si="17"/>
        <v>0</v>
      </c>
      <c r="AI11" s="4">
        <f t="shared" si="18"/>
        <v>1</v>
      </c>
      <c r="AJ11" s="4">
        <f t="shared" si="19"/>
        <v>0</v>
      </c>
      <c r="AK11" s="4">
        <f t="shared" si="20"/>
        <v>1</v>
      </c>
      <c r="AL11" s="4">
        <f t="shared" si="21"/>
        <v>0</v>
      </c>
      <c r="AM11" s="4">
        <f t="shared" si="22"/>
        <v>1</v>
      </c>
      <c r="AN11" s="4">
        <f t="shared" si="23"/>
        <v>1</v>
      </c>
      <c r="AO11" s="4">
        <f t="shared" si="24"/>
        <v>0</v>
      </c>
      <c r="AP11" s="4" t="s">
        <v>43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</row>
    <row r="12" spans="1:69" ht="16.5" customHeight="1" x14ac:dyDescent="0.2">
      <c r="A12" s="11">
        <v>10</v>
      </c>
      <c r="B12" s="3">
        <v>6</v>
      </c>
      <c r="C12" s="3">
        <v>6</v>
      </c>
      <c r="D12" s="3">
        <v>6</v>
      </c>
      <c r="E12" s="21">
        <v>6</v>
      </c>
      <c r="F12" s="3">
        <v>6</v>
      </c>
      <c r="G12" s="3">
        <v>6</v>
      </c>
      <c r="H12" s="3">
        <v>7</v>
      </c>
      <c r="I12" s="3">
        <v>7</v>
      </c>
      <c r="J12" s="3">
        <v>8</v>
      </c>
      <c r="K12" s="3">
        <v>8</v>
      </c>
      <c r="L12" s="3">
        <v>9</v>
      </c>
      <c r="M12" s="4">
        <v>10</v>
      </c>
      <c r="N12" s="4">
        <v>10</v>
      </c>
      <c r="O12" s="12" t="s">
        <v>42</v>
      </c>
      <c r="P12" s="4">
        <f t="shared" si="0"/>
        <v>0</v>
      </c>
      <c r="Q12" s="4">
        <f t="shared" si="1"/>
        <v>0</v>
      </c>
      <c r="R12" s="4">
        <f t="shared" si="2"/>
        <v>0</v>
      </c>
      <c r="S12" s="4">
        <f t="shared" si="3"/>
        <v>0</v>
      </c>
      <c r="T12" s="4">
        <f t="shared" si="4"/>
        <v>0</v>
      </c>
      <c r="U12" s="4">
        <f t="shared" si="5"/>
        <v>-1</v>
      </c>
      <c r="V12" s="4">
        <f t="shared" si="6"/>
        <v>0</v>
      </c>
      <c r="W12" s="4">
        <f t="shared" si="7"/>
        <v>-1</v>
      </c>
      <c r="X12" s="4">
        <f t="shared" si="8"/>
        <v>0</v>
      </c>
      <c r="Y12" s="4">
        <f t="shared" si="9"/>
        <v>-1</v>
      </c>
      <c r="Z12" s="4">
        <f t="shared" si="10"/>
        <v>-1</v>
      </c>
      <c r="AA12" s="4">
        <f t="shared" si="11"/>
        <v>0</v>
      </c>
      <c r="AB12" s="4" t="s">
        <v>42</v>
      </c>
      <c r="AC12" s="4">
        <f t="shared" si="12"/>
        <v>1</v>
      </c>
      <c r="AD12" s="4">
        <f t="shared" si="13"/>
        <v>1</v>
      </c>
      <c r="AE12" s="4">
        <f t="shared" si="14"/>
        <v>0</v>
      </c>
      <c r="AF12" s="4">
        <f t="shared" si="15"/>
        <v>0</v>
      </c>
      <c r="AG12" s="4">
        <f t="shared" si="16"/>
        <v>1</v>
      </c>
      <c r="AH12" s="4">
        <f t="shared" si="17"/>
        <v>1</v>
      </c>
      <c r="AI12" s="4">
        <f t="shared" si="18"/>
        <v>0</v>
      </c>
      <c r="AJ12" s="4">
        <f t="shared" si="19"/>
        <v>1</v>
      </c>
      <c r="AK12" s="4">
        <f t="shared" si="20"/>
        <v>0</v>
      </c>
      <c r="AL12" s="4">
        <f t="shared" si="21"/>
        <v>1</v>
      </c>
      <c r="AM12" s="4">
        <f t="shared" si="22"/>
        <v>1</v>
      </c>
      <c r="AN12" s="4">
        <f t="shared" si="23"/>
        <v>0</v>
      </c>
      <c r="AO12" s="4">
        <f t="shared" si="24"/>
        <v>1</v>
      </c>
      <c r="AP12" s="4" t="s">
        <v>43</v>
      </c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</row>
    <row r="13" spans="1:69" ht="16.5" customHeight="1" x14ac:dyDescent="0.2">
      <c r="A13" s="11">
        <v>11</v>
      </c>
      <c r="B13" s="3">
        <v>7</v>
      </c>
      <c r="C13" s="3">
        <v>7</v>
      </c>
      <c r="D13" s="3">
        <v>6</v>
      </c>
      <c r="E13" s="21">
        <v>6</v>
      </c>
      <c r="F13" s="3">
        <v>7</v>
      </c>
      <c r="G13" s="3">
        <v>7</v>
      </c>
      <c r="H13" s="3">
        <v>7</v>
      </c>
      <c r="I13" s="3">
        <v>8</v>
      </c>
      <c r="J13" s="3">
        <v>8</v>
      </c>
      <c r="K13" s="3">
        <v>9</v>
      </c>
      <c r="L13" s="3">
        <v>10</v>
      </c>
      <c r="M13" s="4">
        <v>10</v>
      </c>
      <c r="N13" s="4">
        <v>11</v>
      </c>
      <c r="O13" s="12" t="s">
        <v>42</v>
      </c>
      <c r="P13" s="4">
        <f t="shared" si="0"/>
        <v>0</v>
      </c>
      <c r="Q13" s="4">
        <f t="shared" si="1"/>
        <v>1</v>
      </c>
      <c r="R13" s="4">
        <f t="shared" si="2"/>
        <v>0</v>
      </c>
      <c r="S13" s="4">
        <f t="shared" si="3"/>
        <v>-1</v>
      </c>
      <c r="T13" s="4">
        <f t="shared" si="4"/>
        <v>0</v>
      </c>
      <c r="U13" s="4">
        <f t="shared" si="5"/>
        <v>0</v>
      </c>
      <c r="V13" s="4">
        <f t="shared" si="6"/>
        <v>-1</v>
      </c>
      <c r="W13" s="4">
        <f t="shared" si="7"/>
        <v>0</v>
      </c>
      <c r="X13" s="4">
        <f t="shared" si="8"/>
        <v>-1</v>
      </c>
      <c r="Y13" s="4">
        <f t="shared" si="9"/>
        <v>-1</v>
      </c>
      <c r="Z13" s="4">
        <f t="shared" si="10"/>
        <v>0</v>
      </c>
      <c r="AA13" s="4">
        <f t="shared" si="11"/>
        <v>-1</v>
      </c>
      <c r="AB13" s="4" t="s">
        <v>42</v>
      </c>
      <c r="AC13" s="4">
        <f t="shared" si="12"/>
        <v>0</v>
      </c>
      <c r="AD13" s="4">
        <f t="shared" si="13"/>
        <v>0</v>
      </c>
      <c r="AE13" s="4">
        <f t="shared" si="14"/>
        <v>1</v>
      </c>
      <c r="AF13" s="4">
        <f t="shared" si="15"/>
        <v>1</v>
      </c>
      <c r="AG13" s="4">
        <f t="shared" si="16"/>
        <v>0</v>
      </c>
      <c r="AH13" s="4">
        <f t="shared" si="17"/>
        <v>0</v>
      </c>
      <c r="AI13" s="4">
        <f t="shared" si="18"/>
        <v>1</v>
      </c>
      <c r="AJ13" s="4">
        <f t="shared" si="19"/>
        <v>0</v>
      </c>
      <c r="AK13" s="4">
        <f t="shared" si="20"/>
        <v>1</v>
      </c>
      <c r="AL13" s="4">
        <f t="shared" si="21"/>
        <v>1</v>
      </c>
      <c r="AM13" s="4">
        <f t="shared" si="22"/>
        <v>0</v>
      </c>
      <c r="AN13" s="4">
        <f t="shared" si="23"/>
        <v>1</v>
      </c>
      <c r="AO13" s="4">
        <f t="shared" si="24"/>
        <v>0</v>
      </c>
      <c r="AP13" s="4" t="s">
        <v>43</v>
      </c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</row>
    <row r="14" spans="1:69" ht="16.5" customHeight="1" x14ac:dyDescent="0.2">
      <c r="A14" s="11">
        <v>12</v>
      </c>
      <c r="B14" s="3">
        <v>7</v>
      </c>
      <c r="C14" s="3">
        <v>7</v>
      </c>
      <c r="D14" s="3">
        <v>7</v>
      </c>
      <c r="E14" s="21">
        <v>7</v>
      </c>
      <c r="F14" s="3">
        <v>7</v>
      </c>
      <c r="G14" s="3">
        <v>7</v>
      </c>
      <c r="H14" s="3">
        <v>8</v>
      </c>
      <c r="I14" s="3">
        <v>8</v>
      </c>
      <c r="J14" s="3">
        <v>9</v>
      </c>
      <c r="K14" s="3">
        <v>10</v>
      </c>
      <c r="L14" s="3">
        <v>10</v>
      </c>
      <c r="M14" s="4">
        <v>11</v>
      </c>
      <c r="N14" s="4">
        <v>11</v>
      </c>
      <c r="O14" s="12" t="s">
        <v>42</v>
      </c>
      <c r="P14" s="4">
        <f t="shared" si="0"/>
        <v>0</v>
      </c>
      <c r="Q14" s="4">
        <f t="shared" si="1"/>
        <v>0</v>
      </c>
      <c r="R14" s="4">
        <f t="shared" si="2"/>
        <v>0</v>
      </c>
      <c r="S14" s="4">
        <f t="shared" si="3"/>
        <v>0</v>
      </c>
      <c r="T14" s="4">
        <f t="shared" si="4"/>
        <v>0</v>
      </c>
      <c r="U14" s="4">
        <f t="shared" si="5"/>
        <v>-1</v>
      </c>
      <c r="V14" s="4">
        <f t="shared" si="6"/>
        <v>0</v>
      </c>
      <c r="W14" s="4">
        <f t="shared" si="7"/>
        <v>-1</v>
      </c>
      <c r="X14" s="4">
        <f t="shared" si="8"/>
        <v>-1</v>
      </c>
      <c r="Y14" s="4">
        <f t="shared" si="9"/>
        <v>0</v>
      </c>
      <c r="Z14" s="4">
        <f t="shared" si="10"/>
        <v>-1</v>
      </c>
      <c r="AA14" s="4">
        <f t="shared" si="11"/>
        <v>0</v>
      </c>
      <c r="AB14" s="4" t="s">
        <v>42</v>
      </c>
      <c r="AC14" s="4">
        <f t="shared" si="12"/>
        <v>1</v>
      </c>
      <c r="AD14" s="4">
        <f t="shared" si="13"/>
        <v>1</v>
      </c>
      <c r="AE14" s="4">
        <f t="shared" si="14"/>
        <v>1</v>
      </c>
      <c r="AF14" s="4">
        <f t="shared" si="15"/>
        <v>0</v>
      </c>
      <c r="AG14" s="4">
        <f t="shared" si="16"/>
        <v>1</v>
      </c>
      <c r="AH14" s="4">
        <f t="shared" si="17"/>
        <v>1</v>
      </c>
      <c r="AI14" s="4">
        <f t="shared" si="18"/>
        <v>0</v>
      </c>
      <c r="AJ14" s="4">
        <f t="shared" si="19"/>
        <v>1</v>
      </c>
      <c r="AK14" s="4">
        <f t="shared" si="20"/>
        <v>1</v>
      </c>
      <c r="AL14" s="4">
        <f t="shared" si="21"/>
        <v>0</v>
      </c>
      <c r="AM14" s="4">
        <f t="shared" si="22"/>
        <v>1</v>
      </c>
      <c r="AN14" s="4">
        <f t="shared" si="23"/>
        <v>0</v>
      </c>
      <c r="AO14" s="4">
        <f t="shared" si="24"/>
        <v>1</v>
      </c>
      <c r="AP14" s="4" t="s">
        <v>43</v>
      </c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</row>
    <row r="15" spans="1:69" ht="16.5" customHeight="1" x14ac:dyDescent="0.2">
      <c r="A15" s="11">
        <v>13</v>
      </c>
      <c r="B15" s="3">
        <v>8</v>
      </c>
      <c r="C15" s="3">
        <v>8</v>
      </c>
      <c r="D15" s="3">
        <v>8</v>
      </c>
      <c r="E15" s="21">
        <v>7</v>
      </c>
      <c r="F15" s="3">
        <v>8</v>
      </c>
      <c r="G15" s="3">
        <v>8</v>
      </c>
      <c r="H15" s="3">
        <v>8</v>
      </c>
      <c r="I15" s="3">
        <v>9</v>
      </c>
      <c r="J15" s="3">
        <v>10</v>
      </c>
      <c r="K15" s="3">
        <v>10</v>
      </c>
      <c r="L15" s="3">
        <v>11</v>
      </c>
      <c r="M15" s="4">
        <v>11</v>
      </c>
      <c r="N15" s="4">
        <v>12</v>
      </c>
      <c r="O15" s="12" t="s">
        <v>42</v>
      </c>
      <c r="P15" s="4">
        <f t="shared" si="0"/>
        <v>0</v>
      </c>
      <c r="Q15" s="4">
        <f t="shared" si="1"/>
        <v>0</v>
      </c>
      <c r="R15" s="4">
        <f t="shared" si="2"/>
        <v>1</v>
      </c>
      <c r="S15" s="4">
        <f t="shared" si="3"/>
        <v>-1</v>
      </c>
      <c r="T15" s="4">
        <f t="shared" si="4"/>
        <v>0</v>
      </c>
      <c r="U15" s="4">
        <f t="shared" si="5"/>
        <v>0</v>
      </c>
      <c r="V15" s="4">
        <f t="shared" si="6"/>
        <v>-1</v>
      </c>
      <c r="W15" s="4">
        <f t="shared" si="7"/>
        <v>-1</v>
      </c>
      <c r="X15" s="4">
        <f t="shared" si="8"/>
        <v>0</v>
      </c>
      <c r="Y15" s="4">
        <f t="shared" si="9"/>
        <v>-1</v>
      </c>
      <c r="Z15" s="4">
        <f t="shared" si="10"/>
        <v>0</v>
      </c>
      <c r="AA15" s="4">
        <f t="shared" si="11"/>
        <v>-1</v>
      </c>
      <c r="AB15" s="4" t="s">
        <v>42</v>
      </c>
      <c r="AC15" s="4">
        <f t="shared" si="12"/>
        <v>0</v>
      </c>
      <c r="AD15" s="4">
        <f t="shared" si="13"/>
        <v>0</v>
      </c>
      <c r="AE15" s="4">
        <f t="shared" si="14"/>
        <v>0</v>
      </c>
      <c r="AF15" s="4">
        <f t="shared" si="15"/>
        <v>1</v>
      </c>
      <c r="AG15" s="4">
        <f t="shared" si="16"/>
        <v>0</v>
      </c>
      <c r="AH15" s="4">
        <f t="shared" si="17"/>
        <v>0</v>
      </c>
      <c r="AI15" s="4">
        <f t="shared" si="18"/>
        <v>1</v>
      </c>
      <c r="AJ15" s="4">
        <f t="shared" si="19"/>
        <v>0</v>
      </c>
      <c r="AK15" s="4">
        <f t="shared" si="20"/>
        <v>0</v>
      </c>
      <c r="AL15" s="4">
        <f t="shared" si="21"/>
        <v>1</v>
      </c>
      <c r="AM15" s="4">
        <f t="shared" si="22"/>
        <v>0</v>
      </c>
      <c r="AN15" s="4">
        <f t="shared" si="23"/>
        <v>1</v>
      </c>
      <c r="AO15" s="4">
        <f t="shared" si="24"/>
        <v>0</v>
      </c>
      <c r="AP15" s="4" t="s">
        <v>43</v>
      </c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</row>
    <row r="16" spans="1:69" ht="16.5" customHeight="1" x14ac:dyDescent="0.2">
      <c r="A16" s="11">
        <v>14</v>
      </c>
      <c r="B16" s="3">
        <v>8</v>
      </c>
      <c r="C16" s="3">
        <v>8</v>
      </c>
      <c r="D16" s="3">
        <v>8</v>
      </c>
      <c r="E16" s="21">
        <v>8</v>
      </c>
      <c r="F16" s="3">
        <v>8</v>
      </c>
      <c r="G16" s="3">
        <v>8</v>
      </c>
      <c r="H16" s="3">
        <v>9</v>
      </c>
      <c r="I16" s="3">
        <v>9</v>
      </c>
      <c r="J16" s="3">
        <v>10</v>
      </c>
      <c r="K16" s="3">
        <v>11</v>
      </c>
      <c r="L16" s="3">
        <v>11</v>
      </c>
      <c r="M16" s="4">
        <v>12</v>
      </c>
      <c r="N16" s="4">
        <v>12</v>
      </c>
      <c r="O16" s="12" t="s">
        <v>42</v>
      </c>
      <c r="P16" s="4">
        <f t="shared" si="0"/>
        <v>0</v>
      </c>
      <c r="Q16" s="4">
        <f t="shared" si="1"/>
        <v>0</v>
      </c>
      <c r="R16" s="4">
        <f t="shared" si="2"/>
        <v>0</v>
      </c>
      <c r="S16" s="4">
        <f t="shared" si="3"/>
        <v>0</v>
      </c>
      <c r="T16" s="4">
        <f t="shared" si="4"/>
        <v>0</v>
      </c>
      <c r="U16" s="4">
        <f t="shared" si="5"/>
        <v>-1</v>
      </c>
      <c r="V16" s="4">
        <f t="shared" si="6"/>
        <v>0</v>
      </c>
      <c r="W16" s="4">
        <f t="shared" si="7"/>
        <v>-1</v>
      </c>
      <c r="X16" s="4">
        <f t="shared" si="8"/>
        <v>-1</v>
      </c>
      <c r="Y16" s="4">
        <f t="shared" si="9"/>
        <v>0</v>
      </c>
      <c r="Z16" s="4">
        <f t="shared" si="10"/>
        <v>-1</v>
      </c>
      <c r="AA16" s="4">
        <f t="shared" si="11"/>
        <v>0</v>
      </c>
      <c r="AB16" s="4" t="s">
        <v>42</v>
      </c>
      <c r="AC16" s="4">
        <f t="shared" si="12"/>
        <v>1</v>
      </c>
      <c r="AD16" s="4">
        <f t="shared" si="13"/>
        <v>1</v>
      </c>
      <c r="AE16" s="4">
        <f t="shared" si="14"/>
        <v>1</v>
      </c>
      <c r="AF16" s="4">
        <f t="shared" si="15"/>
        <v>0</v>
      </c>
      <c r="AG16" s="4">
        <f t="shared" si="16"/>
        <v>1</v>
      </c>
      <c r="AH16" s="4">
        <f t="shared" si="17"/>
        <v>1</v>
      </c>
      <c r="AI16" s="4">
        <f t="shared" si="18"/>
        <v>0</v>
      </c>
      <c r="AJ16" s="4">
        <f t="shared" si="19"/>
        <v>1</v>
      </c>
      <c r="AK16" s="4">
        <f t="shared" si="20"/>
        <v>1</v>
      </c>
      <c r="AL16" s="4">
        <f t="shared" si="21"/>
        <v>0</v>
      </c>
      <c r="AM16" s="4">
        <f t="shared" si="22"/>
        <v>1</v>
      </c>
      <c r="AN16" s="4">
        <f t="shared" si="23"/>
        <v>0</v>
      </c>
      <c r="AO16" s="4">
        <f t="shared" si="24"/>
        <v>0</v>
      </c>
      <c r="AP16" s="4" t="s">
        <v>43</v>
      </c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</row>
    <row r="17" spans="1:69" ht="16.5" customHeight="1" x14ac:dyDescent="0.2">
      <c r="A17" s="11">
        <v>15</v>
      </c>
      <c r="B17" s="3">
        <v>9</v>
      </c>
      <c r="C17" s="3">
        <v>9</v>
      </c>
      <c r="D17" s="3">
        <v>9</v>
      </c>
      <c r="E17" s="21">
        <v>8</v>
      </c>
      <c r="F17" s="3">
        <v>9</v>
      </c>
      <c r="G17" s="3">
        <v>9</v>
      </c>
      <c r="H17" s="3">
        <v>9</v>
      </c>
      <c r="I17" s="3">
        <v>10</v>
      </c>
      <c r="J17" s="3">
        <v>11</v>
      </c>
      <c r="K17" s="3">
        <v>11</v>
      </c>
      <c r="L17" s="3">
        <v>12</v>
      </c>
      <c r="M17" s="4">
        <v>12</v>
      </c>
      <c r="N17" s="4">
        <v>12</v>
      </c>
      <c r="O17" s="12" t="s">
        <v>42</v>
      </c>
      <c r="P17" s="4">
        <f t="shared" si="0"/>
        <v>0</v>
      </c>
      <c r="Q17" s="4">
        <f t="shared" si="1"/>
        <v>0</v>
      </c>
      <c r="R17" s="4">
        <f t="shared" si="2"/>
        <v>1</v>
      </c>
      <c r="S17" s="4">
        <f t="shared" si="3"/>
        <v>-1</v>
      </c>
      <c r="T17" s="4">
        <f t="shared" si="4"/>
        <v>0</v>
      </c>
      <c r="U17" s="4">
        <f t="shared" si="5"/>
        <v>0</v>
      </c>
      <c r="V17" s="4">
        <f t="shared" si="6"/>
        <v>-1</v>
      </c>
      <c r="W17" s="4">
        <f t="shared" si="7"/>
        <v>-1</v>
      </c>
      <c r="X17" s="4">
        <f t="shared" si="8"/>
        <v>0</v>
      </c>
      <c r="Y17" s="4">
        <f t="shared" si="9"/>
        <v>-1</v>
      </c>
      <c r="Z17" s="4">
        <f t="shared" si="10"/>
        <v>0</v>
      </c>
      <c r="AA17" s="4">
        <f t="shared" si="11"/>
        <v>0</v>
      </c>
      <c r="AB17" s="4" t="s">
        <v>42</v>
      </c>
      <c r="AC17" s="4">
        <f t="shared" si="12"/>
        <v>1</v>
      </c>
      <c r="AD17" s="4">
        <f t="shared" si="13"/>
        <v>0</v>
      </c>
      <c r="AE17" s="4">
        <f t="shared" si="14"/>
        <v>0</v>
      </c>
      <c r="AF17" s="4">
        <f t="shared" si="15"/>
        <v>1</v>
      </c>
      <c r="AG17" s="4">
        <f t="shared" si="16"/>
        <v>0</v>
      </c>
      <c r="AH17" s="4">
        <f t="shared" si="17"/>
        <v>0</v>
      </c>
      <c r="AI17" s="4">
        <f t="shared" si="18"/>
        <v>1</v>
      </c>
      <c r="AJ17" s="4">
        <f t="shared" si="19"/>
        <v>1</v>
      </c>
      <c r="AK17" s="4">
        <f t="shared" si="20"/>
        <v>0</v>
      </c>
      <c r="AL17" s="4">
        <f t="shared" si="21"/>
        <v>1</v>
      </c>
      <c r="AM17" s="4">
        <f t="shared" si="22"/>
        <v>0</v>
      </c>
      <c r="AN17" s="4">
        <f t="shared" si="23"/>
        <v>1</v>
      </c>
      <c r="AO17" s="4">
        <f t="shared" si="24"/>
        <v>1</v>
      </c>
      <c r="AP17" s="4" t="s">
        <v>43</v>
      </c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</row>
    <row r="18" spans="1:69" ht="16.5" customHeight="1" x14ac:dyDescent="0.2">
      <c r="A18" s="11">
        <v>16</v>
      </c>
      <c r="B18" s="3">
        <v>10</v>
      </c>
      <c r="C18" s="3">
        <v>9</v>
      </c>
      <c r="D18" s="3">
        <v>9</v>
      </c>
      <c r="E18" s="21">
        <v>9</v>
      </c>
      <c r="F18" s="3">
        <v>9</v>
      </c>
      <c r="G18" s="3">
        <v>9</v>
      </c>
      <c r="H18" s="3">
        <v>10</v>
      </c>
      <c r="I18" s="3">
        <v>11</v>
      </c>
      <c r="J18" s="3">
        <v>11</v>
      </c>
      <c r="K18" s="3">
        <v>12</v>
      </c>
      <c r="L18" s="3">
        <v>12</v>
      </c>
      <c r="M18" s="4">
        <v>13</v>
      </c>
      <c r="N18" s="4">
        <v>13</v>
      </c>
      <c r="O18" s="12" t="s">
        <v>42</v>
      </c>
      <c r="P18" s="4">
        <f>B18-C18</f>
        <v>1</v>
      </c>
      <c r="Q18" s="4">
        <f t="shared" si="1"/>
        <v>0</v>
      </c>
      <c r="R18" s="4">
        <f t="shared" si="2"/>
        <v>0</v>
      </c>
      <c r="S18" s="4">
        <f t="shared" si="3"/>
        <v>0</v>
      </c>
      <c r="T18" s="4">
        <f t="shared" si="4"/>
        <v>0</v>
      </c>
      <c r="U18" s="4">
        <f t="shared" si="5"/>
        <v>-1</v>
      </c>
      <c r="V18" s="4">
        <f t="shared" si="6"/>
        <v>-1</v>
      </c>
      <c r="W18" s="4">
        <f t="shared" si="7"/>
        <v>0</v>
      </c>
      <c r="X18" s="4">
        <f t="shared" si="8"/>
        <v>-1</v>
      </c>
      <c r="Y18" s="4">
        <f t="shared" si="9"/>
        <v>0</v>
      </c>
      <c r="Z18" s="4">
        <f t="shared" si="10"/>
        <v>-1</v>
      </c>
      <c r="AA18" s="4">
        <f t="shared" si="11"/>
        <v>0</v>
      </c>
      <c r="AB18" s="4" t="s">
        <v>42</v>
      </c>
      <c r="AC18" s="4">
        <f t="shared" si="12"/>
        <v>0</v>
      </c>
      <c r="AD18" s="4">
        <f t="shared" si="13"/>
        <v>1</v>
      </c>
      <c r="AE18" s="4">
        <f t="shared" si="14"/>
        <v>1</v>
      </c>
      <c r="AF18" s="4">
        <f t="shared" si="15"/>
        <v>1</v>
      </c>
      <c r="AG18" s="4">
        <f t="shared" si="16"/>
        <v>1</v>
      </c>
      <c r="AH18" s="4">
        <f t="shared" si="17"/>
        <v>1</v>
      </c>
      <c r="AI18" s="4">
        <f t="shared" si="18"/>
        <v>0</v>
      </c>
      <c r="AJ18" s="4">
        <f t="shared" si="19"/>
        <v>0</v>
      </c>
      <c r="AK18" s="4">
        <f t="shared" si="20"/>
        <v>1</v>
      </c>
      <c r="AL18" s="4">
        <f t="shared" si="21"/>
        <v>1</v>
      </c>
      <c r="AM18" s="4">
        <f t="shared" si="22"/>
        <v>1</v>
      </c>
      <c r="AN18" s="4">
        <f t="shared" si="23"/>
        <v>0</v>
      </c>
      <c r="AO18" s="4">
        <f t="shared" si="24"/>
        <v>0</v>
      </c>
      <c r="AP18" s="4" t="s">
        <v>43</v>
      </c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</row>
    <row r="19" spans="1:69" ht="16.5" customHeight="1" x14ac:dyDescent="0.2">
      <c r="A19" s="11">
        <v>17</v>
      </c>
      <c r="B19" s="3">
        <v>10</v>
      </c>
      <c r="C19" s="3">
        <v>10</v>
      </c>
      <c r="D19" s="3">
        <v>10</v>
      </c>
      <c r="E19" s="21">
        <v>10</v>
      </c>
      <c r="F19" s="3">
        <v>10</v>
      </c>
      <c r="G19" s="3">
        <v>10</v>
      </c>
      <c r="H19" s="3">
        <v>10</v>
      </c>
      <c r="I19" s="3">
        <v>11</v>
      </c>
      <c r="J19" s="3">
        <v>12</v>
      </c>
      <c r="K19" s="3">
        <v>13</v>
      </c>
      <c r="L19" s="3">
        <v>13</v>
      </c>
      <c r="M19" s="4">
        <v>13</v>
      </c>
      <c r="N19" s="4">
        <v>13</v>
      </c>
      <c r="O19" s="12" t="s">
        <v>42</v>
      </c>
      <c r="P19" s="4">
        <f t="shared" si="0"/>
        <v>0</v>
      </c>
      <c r="Q19" s="4">
        <f t="shared" si="1"/>
        <v>0</v>
      </c>
      <c r="R19" s="4">
        <f t="shared" si="2"/>
        <v>0</v>
      </c>
      <c r="S19" s="4">
        <f t="shared" si="3"/>
        <v>0</v>
      </c>
      <c r="T19" s="4">
        <f t="shared" si="4"/>
        <v>0</v>
      </c>
      <c r="U19" s="4">
        <f t="shared" si="5"/>
        <v>0</v>
      </c>
      <c r="V19" s="4">
        <f t="shared" si="6"/>
        <v>-1</v>
      </c>
      <c r="W19" s="4">
        <f t="shared" si="7"/>
        <v>-1</v>
      </c>
      <c r="X19" s="4">
        <f t="shared" si="8"/>
        <v>-1</v>
      </c>
      <c r="Y19" s="4">
        <f t="shared" si="9"/>
        <v>0</v>
      </c>
      <c r="Z19" s="4">
        <f t="shared" si="10"/>
        <v>0</v>
      </c>
      <c r="AA19" s="4">
        <f t="shared" si="11"/>
        <v>0</v>
      </c>
      <c r="AB19" s="4" t="s">
        <v>42</v>
      </c>
      <c r="AC19" s="4">
        <f t="shared" si="12"/>
        <v>1</v>
      </c>
      <c r="AD19" s="4">
        <f t="shared" si="13"/>
        <v>1</v>
      </c>
      <c r="AE19" s="4">
        <f t="shared" si="14"/>
        <v>0</v>
      </c>
      <c r="AF19" s="4">
        <f t="shared" si="15"/>
        <v>0</v>
      </c>
      <c r="AG19" s="4">
        <f t="shared" si="16"/>
        <v>0</v>
      </c>
      <c r="AH19" s="4">
        <f t="shared" si="17"/>
        <v>0</v>
      </c>
      <c r="AI19" s="4">
        <f t="shared" si="18"/>
        <v>1</v>
      </c>
      <c r="AJ19" s="4">
        <f t="shared" si="19"/>
        <v>1</v>
      </c>
      <c r="AK19" s="4">
        <f t="shared" si="20"/>
        <v>1</v>
      </c>
      <c r="AL19" s="4">
        <f t="shared" si="21"/>
        <v>0</v>
      </c>
      <c r="AM19" s="4">
        <f t="shared" si="22"/>
        <v>0</v>
      </c>
      <c r="AN19" s="4">
        <f t="shared" si="23"/>
        <v>1</v>
      </c>
      <c r="AO19" s="4">
        <f t="shared" si="24"/>
        <v>1</v>
      </c>
      <c r="AP19" s="4" t="s">
        <v>43</v>
      </c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</row>
    <row r="20" spans="1:69" ht="16.5" customHeight="1" x14ac:dyDescent="0.2">
      <c r="A20" s="11">
        <v>18</v>
      </c>
      <c r="B20" s="3">
        <v>11</v>
      </c>
      <c r="C20" s="3">
        <v>11</v>
      </c>
      <c r="D20" s="3">
        <v>10</v>
      </c>
      <c r="E20" s="21">
        <v>10</v>
      </c>
      <c r="F20" s="3">
        <v>10</v>
      </c>
      <c r="G20" s="3">
        <v>10</v>
      </c>
      <c r="H20" s="3">
        <v>11</v>
      </c>
      <c r="I20" s="3">
        <v>12</v>
      </c>
      <c r="J20" s="3">
        <v>13</v>
      </c>
      <c r="K20" s="3">
        <v>13</v>
      </c>
      <c r="L20" s="3">
        <v>13</v>
      </c>
      <c r="M20" s="4">
        <v>14</v>
      </c>
      <c r="N20" s="4">
        <v>14</v>
      </c>
      <c r="O20" s="12" t="s">
        <v>42</v>
      </c>
      <c r="P20" s="4">
        <f t="shared" si="0"/>
        <v>0</v>
      </c>
      <c r="Q20" s="4">
        <f t="shared" si="1"/>
        <v>1</v>
      </c>
      <c r="R20" s="4">
        <f t="shared" si="2"/>
        <v>0</v>
      </c>
      <c r="S20" s="4">
        <f t="shared" si="3"/>
        <v>0</v>
      </c>
      <c r="T20" s="4">
        <f t="shared" si="4"/>
        <v>0</v>
      </c>
      <c r="U20" s="4">
        <f t="shared" si="5"/>
        <v>-1</v>
      </c>
      <c r="V20" s="4">
        <f t="shared" si="6"/>
        <v>-1</v>
      </c>
      <c r="W20" s="4">
        <f t="shared" si="7"/>
        <v>-1</v>
      </c>
      <c r="X20" s="4">
        <f t="shared" si="8"/>
        <v>0</v>
      </c>
      <c r="Y20" s="4">
        <f t="shared" si="9"/>
        <v>0</v>
      </c>
      <c r="Z20" s="4">
        <f t="shared" si="10"/>
        <v>-1</v>
      </c>
      <c r="AA20" s="4">
        <f t="shared" si="11"/>
        <v>0</v>
      </c>
      <c r="AB20" s="4" t="s">
        <v>42</v>
      </c>
      <c r="AC20" s="4">
        <f t="shared" si="12"/>
        <v>1</v>
      </c>
      <c r="AD20" s="4">
        <f t="shared" si="13"/>
        <v>0</v>
      </c>
      <c r="AE20" s="4">
        <f t="shared" si="14"/>
        <v>1</v>
      </c>
      <c r="AF20" s="4">
        <f t="shared" si="15"/>
        <v>1</v>
      </c>
      <c r="AG20" s="4">
        <f t="shared" si="16"/>
        <v>1</v>
      </c>
      <c r="AH20" s="4">
        <f t="shared" si="17"/>
        <v>1</v>
      </c>
      <c r="AI20" s="4">
        <f t="shared" si="18"/>
        <v>1</v>
      </c>
      <c r="AJ20" s="4">
        <f t="shared" si="19"/>
        <v>1</v>
      </c>
      <c r="AK20" s="4">
        <f t="shared" si="20"/>
        <v>0</v>
      </c>
      <c r="AL20" s="4">
        <f t="shared" si="21"/>
        <v>1</v>
      </c>
      <c r="AM20" s="4">
        <f t="shared" si="22"/>
        <v>1</v>
      </c>
      <c r="AN20" s="4">
        <f t="shared" si="23"/>
        <v>0</v>
      </c>
      <c r="AO20" s="4">
        <f t="shared" si="24"/>
        <v>0</v>
      </c>
      <c r="AP20" s="4" t="s">
        <v>43</v>
      </c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</row>
    <row r="21" spans="1:69" ht="16.5" customHeight="1" x14ac:dyDescent="0.2">
      <c r="A21" s="11">
        <v>19</v>
      </c>
      <c r="B21" s="3">
        <v>12</v>
      </c>
      <c r="C21" s="3">
        <v>11</v>
      </c>
      <c r="D21" s="3">
        <v>11</v>
      </c>
      <c r="E21" s="21">
        <v>11</v>
      </c>
      <c r="F21" s="3">
        <v>11</v>
      </c>
      <c r="G21" s="3">
        <v>11</v>
      </c>
      <c r="H21" s="3">
        <v>12</v>
      </c>
      <c r="I21" s="3">
        <v>13</v>
      </c>
      <c r="J21" s="3">
        <v>13</v>
      </c>
      <c r="K21" s="3">
        <v>14</v>
      </c>
      <c r="L21" s="3">
        <v>14</v>
      </c>
      <c r="M21" s="4">
        <v>14</v>
      </c>
      <c r="N21" s="4">
        <v>14</v>
      </c>
      <c r="O21" s="12" t="s">
        <v>42</v>
      </c>
      <c r="P21" s="4">
        <f t="shared" si="0"/>
        <v>1</v>
      </c>
      <c r="Q21" s="4">
        <f t="shared" si="1"/>
        <v>0</v>
      </c>
      <c r="R21" s="4">
        <f t="shared" si="2"/>
        <v>0</v>
      </c>
      <c r="S21" s="4">
        <f t="shared" si="3"/>
        <v>0</v>
      </c>
      <c r="T21" s="4">
        <f t="shared" si="4"/>
        <v>0</v>
      </c>
      <c r="U21" s="4">
        <f t="shared" si="5"/>
        <v>-1</v>
      </c>
      <c r="V21" s="4">
        <f t="shared" si="6"/>
        <v>-1</v>
      </c>
      <c r="W21" s="4">
        <f t="shared" si="7"/>
        <v>0</v>
      </c>
      <c r="X21" s="4">
        <f t="shared" si="8"/>
        <v>-1</v>
      </c>
      <c r="Y21" s="4">
        <f t="shared" si="9"/>
        <v>0</v>
      </c>
      <c r="Z21" s="4">
        <f t="shared" si="10"/>
        <v>0</v>
      </c>
      <c r="AA21" s="4">
        <f t="shared" si="11"/>
        <v>0</v>
      </c>
      <c r="AB21" s="4" t="s">
        <v>42</v>
      </c>
      <c r="AC21" s="4">
        <f t="shared" si="12"/>
        <v>0</v>
      </c>
      <c r="AD21" s="4">
        <f t="shared" si="13"/>
        <v>1</v>
      </c>
      <c r="AE21" s="4">
        <f t="shared" si="14"/>
        <v>1</v>
      </c>
      <c r="AF21" s="4">
        <f t="shared" si="15"/>
        <v>0</v>
      </c>
      <c r="AG21" s="4">
        <f t="shared" si="16"/>
        <v>0</v>
      </c>
      <c r="AH21" s="4">
        <f t="shared" si="17"/>
        <v>1</v>
      </c>
      <c r="AI21" s="4">
        <f t="shared" si="18"/>
        <v>0</v>
      </c>
      <c r="AJ21" s="4">
        <f t="shared" si="19"/>
        <v>0</v>
      </c>
      <c r="AK21" s="4">
        <f t="shared" si="20"/>
        <v>1</v>
      </c>
      <c r="AL21" s="4">
        <f t="shared" si="21"/>
        <v>0</v>
      </c>
      <c r="AM21" s="4">
        <f t="shared" si="22"/>
        <v>1</v>
      </c>
      <c r="AN21" s="4">
        <f t="shared" si="23"/>
        <v>1</v>
      </c>
      <c r="AO21" s="4">
        <f t="shared" si="24"/>
        <v>1</v>
      </c>
      <c r="AP21" s="4" t="s">
        <v>43</v>
      </c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</row>
    <row r="22" spans="1:69" ht="16.5" customHeight="1" x14ac:dyDescent="0.2">
      <c r="A22" s="11">
        <v>20</v>
      </c>
      <c r="B22" s="3">
        <v>12</v>
      </c>
      <c r="C22" s="3">
        <v>12</v>
      </c>
      <c r="D22" s="3">
        <v>12</v>
      </c>
      <c r="E22" s="21">
        <v>11</v>
      </c>
      <c r="F22" s="3">
        <v>11</v>
      </c>
      <c r="G22" s="3">
        <v>12</v>
      </c>
      <c r="H22" s="3">
        <v>12</v>
      </c>
      <c r="I22" s="3">
        <v>13</v>
      </c>
      <c r="J22" s="3">
        <v>14</v>
      </c>
      <c r="K22" s="3">
        <v>14</v>
      </c>
      <c r="L22" s="3">
        <v>15</v>
      </c>
      <c r="M22" s="4">
        <v>15</v>
      </c>
      <c r="N22" s="4">
        <v>15</v>
      </c>
      <c r="O22" s="12" t="s">
        <v>42</v>
      </c>
      <c r="P22" s="4">
        <f t="shared" si="0"/>
        <v>0</v>
      </c>
      <c r="Q22" s="4">
        <f t="shared" si="1"/>
        <v>0</v>
      </c>
      <c r="R22" s="4">
        <f t="shared" si="2"/>
        <v>1</v>
      </c>
      <c r="S22" s="4">
        <f t="shared" si="3"/>
        <v>0</v>
      </c>
      <c r="T22" s="4">
        <f t="shared" si="4"/>
        <v>-1</v>
      </c>
      <c r="U22" s="4">
        <f t="shared" si="5"/>
        <v>0</v>
      </c>
      <c r="V22" s="4">
        <f t="shared" si="6"/>
        <v>-1</v>
      </c>
      <c r="W22" s="4">
        <f t="shared" si="7"/>
        <v>-1</v>
      </c>
      <c r="X22" s="4">
        <f t="shared" si="8"/>
        <v>0</v>
      </c>
      <c r="Y22" s="4">
        <f t="shared" si="9"/>
        <v>-1</v>
      </c>
      <c r="Z22" s="4">
        <f t="shared" si="10"/>
        <v>0</v>
      </c>
      <c r="AA22" s="4">
        <f t="shared" si="11"/>
        <v>0</v>
      </c>
      <c r="AB22" s="4" t="s">
        <v>42</v>
      </c>
      <c r="AC22" s="4">
        <f t="shared" si="12"/>
        <v>1</v>
      </c>
      <c r="AD22" s="4">
        <f t="shared" si="13"/>
        <v>1</v>
      </c>
      <c r="AE22" s="4">
        <f t="shared" si="14"/>
        <v>0</v>
      </c>
      <c r="AF22" s="4">
        <f t="shared" si="15"/>
        <v>1</v>
      </c>
      <c r="AG22" s="4">
        <f t="shared" si="16"/>
        <v>1</v>
      </c>
      <c r="AH22" s="4">
        <f t="shared" si="17"/>
        <v>0</v>
      </c>
      <c r="AI22" s="4">
        <f t="shared" si="18"/>
        <v>1</v>
      </c>
      <c r="AJ22" s="4">
        <f t="shared" si="19"/>
        <v>1</v>
      </c>
      <c r="AK22" s="4">
        <f t="shared" si="20"/>
        <v>1</v>
      </c>
      <c r="AL22" s="4">
        <f t="shared" si="21"/>
        <v>1</v>
      </c>
      <c r="AM22" s="4">
        <f t="shared" si="22"/>
        <v>0</v>
      </c>
      <c r="AN22" s="4">
        <f t="shared" si="23"/>
        <v>0</v>
      </c>
      <c r="AO22" s="4">
        <f t="shared" si="24"/>
        <v>0</v>
      </c>
      <c r="AP22" s="4" t="s">
        <v>43</v>
      </c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</row>
    <row r="23" spans="1:69" ht="16.5" customHeight="1" x14ac:dyDescent="0.2">
      <c r="A23" s="11">
        <v>21</v>
      </c>
      <c r="B23" s="3">
        <v>13</v>
      </c>
      <c r="C23" s="3">
        <v>13</v>
      </c>
      <c r="D23" s="3">
        <v>12</v>
      </c>
      <c r="E23" s="21">
        <v>12</v>
      </c>
      <c r="F23" s="3">
        <v>12</v>
      </c>
      <c r="G23" s="3">
        <v>12</v>
      </c>
      <c r="H23" s="3">
        <v>13</v>
      </c>
      <c r="I23" s="3">
        <v>14</v>
      </c>
      <c r="J23" s="3">
        <v>15</v>
      </c>
      <c r="K23" s="3">
        <v>15</v>
      </c>
      <c r="L23" s="3">
        <v>15</v>
      </c>
      <c r="M23" s="4">
        <v>15</v>
      </c>
      <c r="N23" s="4">
        <v>15</v>
      </c>
      <c r="O23" s="12" t="s">
        <v>42</v>
      </c>
      <c r="P23" s="4">
        <f t="shared" si="0"/>
        <v>0</v>
      </c>
      <c r="Q23" s="4">
        <f t="shared" si="1"/>
        <v>1</v>
      </c>
      <c r="R23" s="4">
        <f t="shared" si="2"/>
        <v>0</v>
      </c>
      <c r="S23" s="4">
        <f t="shared" si="3"/>
        <v>0</v>
      </c>
      <c r="T23" s="4">
        <f t="shared" si="4"/>
        <v>0</v>
      </c>
      <c r="U23" s="4">
        <f t="shared" si="5"/>
        <v>-1</v>
      </c>
      <c r="V23" s="4">
        <f t="shared" si="6"/>
        <v>-1</v>
      </c>
      <c r="W23" s="4">
        <f t="shared" si="7"/>
        <v>-1</v>
      </c>
      <c r="X23" s="4">
        <f t="shared" si="8"/>
        <v>0</v>
      </c>
      <c r="Y23" s="4">
        <f t="shared" si="9"/>
        <v>0</v>
      </c>
      <c r="Z23" s="4">
        <f t="shared" si="10"/>
        <v>0</v>
      </c>
      <c r="AA23" s="4">
        <f t="shared" si="11"/>
        <v>0</v>
      </c>
      <c r="AB23" s="4" t="s">
        <v>42</v>
      </c>
      <c r="AC23" s="4">
        <f t="shared" si="12"/>
        <v>1</v>
      </c>
      <c r="AD23" s="4">
        <f t="shared" si="13"/>
        <v>1</v>
      </c>
      <c r="AE23" s="4">
        <f t="shared" si="14"/>
        <v>1</v>
      </c>
      <c r="AF23" s="4">
        <f t="shared" si="15"/>
        <v>1</v>
      </c>
      <c r="AG23" s="4">
        <f t="shared" si="16"/>
        <v>1</v>
      </c>
      <c r="AH23" s="4">
        <f t="shared" si="17"/>
        <v>1</v>
      </c>
      <c r="AI23" s="4">
        <f t="shared" si="18"/>
        <v>1</v>
      </c>
      <c r="AJ23" s="4">
        <f t="shared" si="19"/>
        <v>1</v>
      </c>
      <c r="AK23" s="4">
        <f t="shared" si="20"/>
        <v>0</v>
      </c>
      <c r="AL23" s="4">
        <f t="shared" si="21"/>
        <v>0</v>
      </c>
      <c r="AM23" s="4">
        <f t="shared" si="22"/>
        <v>1</v>
      </c>
      <c r="AN23" s="4">
        <f t="shared" si="23"/>
        <v>1</v>
      </c>
      <c r="AO23" s="4">
        <f t="shared" si="24"/>
        <v>1</v>
      </c>
      <c r="AP23" s="4" t="s">
        <v>43</v>
      </c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</row>
    <row r="24" spans="1:69" ht="16.5" customHeight="1" x14ac:dyDescent="0.2">
      <c r="A24" s="11">
        <v>22</v>
      </c>
      <c r="B24" s="3">
        <v>14</v>
      </c>
      <c r="C24" s="3">
        <v>14</v>
      </c>
      <c r="D24" s="3">
        <v>13</v>
      </c>
      <c r="E24" s="21">
        <v>13</v>
      </c>
      <c r="F24" s="3">
        <v>13</v>
      </c>
      <c r="G24" s="3">
        <v>13</v>
      </c>
      <c r="H24" s="3">
        <v>14</v>
      </c>
      <c r="I24" s="3">
        <v>15</v>
      </c>
      <c r="J24" s="3">
        <v>15</v>
      </c>
      <c r="K24" s="3">
        <v>15</v>
      </c>
      <c r="L24" s="3">
        <v>16</v>
      </c>
      <c r="M24" s="4">
        <v>16</v>
      </c>
      <c r="N24" s="4">
        <v>16</v>
      </c>
      <c r="O24" s="12" t="s">
        <v>42</v>
      </c>
      <c r="P24" s="4">
        <f t="shared" si="0"/>
        <v>0</v>
      </c>
      <c r="Q24" s="4">
        <f t="shared" si="1"/>
        <v>1</v>
      </c>
      <c r="R24" s="4">
        <f t="shared" si="2"/>
        <v>0</v>
      </c>
      <c r="S24" s="4">
        <f t="shared" si="3"/>
        <v>0</v>
      </c>
      <c r="T24" s="4">
        <f t="shared" si="4"/>
        <v>0</v>
      </c>
      <c r="U24" s="4">
        <f t="shared" si="5"/>
        <v>-1</v>
      </c>
      <c r="V24" s="4">
        <f t="shared" si="6"/>
        <v>-1</v>
      </c>
      <c r="W24" s="4">
        <f t="shared" si="7"/>
        <v>0</v>
      </c>
      <c r="X24" s="4">
        <f t="shared" si="8"/>
        <v>0</v>
      </c>
      <c r="Y24" s="4">
        <f t="shared" si="9"/>
        <v>-1</v>
      </c>
      <c r="Z24" s="4">
        <f t="shared" si="10"/>
        <v>0</v>
      </c>
      <c r="AA24" s="4">
        <f t="shared" si="11"/>
        <v>0</v>
      </c>
      <c r="AB24" s="4" t="s">
        <v>42</v>
      </c>
      <c r="AC24" s="4">
        <f t="shared" si="12"/>
        <v>1</v>
      </c>
      <c r="AD24" s="4">
        <f t="shared" si="13"/>
        <v>1</v>
      </c>
      <c r="AE24" s="4">
        <f t="shared" si="14"/>
        <v>1</v>
      </c>
      <c r="AF24" s="4">
        <f t="shared" si="15"/>
        <v>1</v>
      </c>
      <c r="AG24" s="4">
        <f t="shared" si="16"/>
        <v>1</v>
      </c>
      <c r="AH24" s="4">
        <f t="shared" si="17"/>
        <v>1</v>
      </c>
      <c r="AI24" s="4">
        <f t="shared" si="18"/>
        <v>1</v>
      </c>
      <c r="AJ24" s="4">
        <f t="shared" si="19"/>
        <v>1</v>
      </c>
      <c r="AK24" s="4">
        <f t="shared" si="20"/>
        <v>1</v>
      </c>
      <c r="AL24" s="4">
        <f t="shared" si="21"/>
        <v>1</v>
      </c>
      <c r="AM24" s="4">
        <f t="shared" si="22"/>
        <v>0</v>
      </c>
      <c r="AN24" s="4">
        <f t="shared" si="23"/>
        <v>0</v>
      </c>
      <c r="AO24" s="4">
        <f t="shared" si="24"/>
        <v>0</v>
      </c>
      <c r="AP24" s="4" t="s">
        <v>43</v>
      </c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</row>
    <row r="25" spans="1:69" ht="16.5" customHeight="1" x14ac:dyDescent="0.2">
      <c r="A25" s="11">
        <v>23</v>
      </c>
      <c r="B25" s="3">
        <v>15</v>
      </c>
      <c r="C25" s="3">
        <v>15</v>
      </c>
      <c r="D25" s="3">
        <v>14</v>
      </c>
      <c r="E25" s="21">
        <v>14</v>
      </c>
      <c r="F25" s="3">
        <v>14</v>
      </c>
      <c r="G25" s="3">
        <v>14</v>
      </c>
      <c r="H25" s="3">
        <v>15</v>
      </c>
      <c r="I25" s="3">
        <v>16</v>
      </c>
      <c r="J25" s="3">
        <v>16</v>
      </c>
      <c r="K25" s="3">
        <v>16</v>
      </c>
      <c r="L25" s="3">
        <v>16</v>
      </c>
      <c r="M25" s="4">
        <v>16</v>
      </c>
      <c r="N25" s="4">
        <v>16</v>
      </c>
      <c r="O25" s="12" t="s">
        <v>42</v>
      </c>
      <c r="P25" s="4">
        <f t="shared" si="0"/>
        <v>0</v>
      </c>
      <c r="Q25" s="4">
        <f t="shared" si="1"/>
        <v>1</v>
      </c>
      <c r="R25" s="4">
        <f t="shared" si="2"/>
        <v>0</v>
      </c>
      <c r="S25" s="4">
        <f t="shared" si="3"/>
        <v>0</v>
      </c>
      <c r="T25" s="4">
        <f t="shared" si="4"/>
        <v>0</v>
      </c>
      <c r="U25" s="4">
        <f t="shared" si="5"/>
        <v>-1</v>
      </c>
      <c r="V25" s="4">
        <f t="shared" si="6"/>
        <v>-1</v>
      </c>
      <c r="W25" s="4">
        <f t="shared" si="7"/>
        <v>0</v>
      </c>
      <c r="X25" s="4">
        <f t="shared" si="8"/>
        <v>0</v>
      </c>
      <c r="Y25" s="4">
        <f t="shared" si="9"/>
        <v>0</v>
      </c>
      <c r="Z25" s="4">
        <f t="shared" si="10"/>
        <v>0</v>
      </c>
      <c r="AA25" s="4">
        <f t="shared" si="11"/>
        <v>0</v>
      </c>
      <c r="AB25" s="4" t="s">
        <v>42</v>
      </c>
      <c r="AC25" s="4">
        <f t="shared" si="12"/>
        <v>1</v>
      </c>
      <c r="AD25" s="4">
        <f t="shared" si="13"/>
        <v>1</v>
      </c>
      <c r="AE25" s="4">
        <f t="shared" si="14"/>
        <v>1</v>
      </c>
      <c r="AF25" s="4">
        <f t="shared" si="15"/>
        <v>1</v>
      </c>
      <c r="AG25" s="4">
        <f t="shared" si="16"/>
        <v>1</v>
      </c>
      <c r="AH25" s="4">
        <f t="shared" si="17"/>
        <v>1</v>
      </c>
      <c r="AI25" s="4">
        <f t="shared" si="18"/>
        <v>2</v>
      </c>
      <c r="AJ25" s="4">
        <f t="shared" si="19"/>
        <v>1</v>
      </c>
      <c r="AK25" s="4">
        <f t="shared" si="20"/>
        <v>1</v>
      </c>
      <c r="AL25" s="4">
        <f t="shared" si="21"/>
        <v>1</v>
      </c>
      <c r="AM25" s="4">
        <f t="shared" si="22"/>
        <v>1</v>
      </c>
      <c r="AN25" s="4">
        <f t="shared" si="23"/>
        <v>1</v>
      </c>
      <c r="AO25" s="4">
        <f t="shared" si="24"/>
        <v>1</v>
      </c>
      <c r="AP25" s="4" t="s">
        <v>43</v>
      </c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</row>
    <row r="26" spans="1:69" ht="16.5" customHeight="1" x14ac:dyDescent="0.2">
      <c r="A26" s="11">
        <v>24</v>
      </c>
      <c r="B26" s="3">
        <v>16</v>
      </c>
      <c r="C26" s="3">
        <v>16</v>
      </c>
      <c r="D26" s="3">
        <v>15</v>
      </c>
      <c r="E26" s="21">
        <v>15</v>
      </c>
      <c r="F26" s="3">
        <v>15</v>
      </c>
      <c r="G26" s="3">
        <v>15</v>
      </c>
      <c r="H26" s="3">
        <v>17</v>
      </c>
      <c r="I26" s="3">
        <v>17</v>
      </c>
      <c r="J26" s="3">
        <v>17</v>
      </c>
      <c r="K26" s="3">
        <v>17</v>
      </c>
      <c r="L26" s="3">
        <v>17</v>
      </c>
      <c r="M26" s="4">
        <v>17</v>
      </c>
      <c r="N26" s="4">
        <v>17</v>
      </c>
      <c r="O26" s="12" t="s">
        <v>42</v>
      </c>
      <c r="P26" s="4">
        <f t="shared" si="0"/>
        <v>0</v>
      </c>
      <c r="Q26" s="4">
        <f t="shared" si="1"/>
        <v>1</v>
      </c>
      <c r="R26" s="4">
        <f t="shared" si="2"/>
        <v>0</v>
      </c>
      <c r="S26" s="4">
        <f t="shared" si="3"/>
        <v>0</v>
      </c>
      <c r="T26" s="4">
        <f t="shared" si="4"/>
        <v>0</v>
      </c>
      <c r="U26" s="4">
        <f t="shared" si="5"/>
        <v>-2</v>
      </c>
      <c r="V26" s="4">
        <f t="shared" si="6"/>
        <v>0</v>
      </c>
      <c r="W26" s="4">
        <f t="shared" si="7"/>
        <v>0</v>
      </c>
      <c r="X26" s="4">
        <f t="shared" si="8"/>
        <v>0</v>
      </c>
      <c r="Y26" s="4">
        <f t="shared" si="9"/>
        <v>0</v>
      </c>
      <c r="Z26" s="4">
        <f t="shared" si="10"/>
        <v>0</v>
      </c>
      <c r="AA26" s="4">
        <f t="shared" si="11"/>
        <v>0</v>
      </c>
      <c r="AB26" s="4" t="s">
        <v>42</v>
      </c>
      <c r="AC26" s="4">
        <f t="shared" si="12"/>
        <v>1</v>
      </c>
      <c r="AD26" s="4">
        <f t="shared" si="13"/>
        <v>1</v>
      </c>
      <c r="AE26" s="4">
        <f t="shared" si="14"/>
        <v>2</v>
      </c>
      <c r="AF26" s="4">
        <f t="shared" si="15"/>
        <v>1</v>
      </c>
      <c r="AG26" s="4">
        <f t="shared" si="16"/>
        <v>1</v>
      </c>
      <c r="AH26" s="4">
        <f t="shared" si="17"/>
        <v>2</v>
      </c>
      <c r="AI26" s="4">
        <f t="shared" si="18"/>
        <v>2</v>
      </c>
      <c r="AJ26" s="4">
        <f t="shared" si="19"/>
        <v>2</v>
      </c>
      <c r="AK26" s="4">
        <f t="shared" si="20"/>
        <v>1</v>
      </c>
      <c r="AL26" s="4">
        <f t="shared" si="21"/>
        <v>0</v>
      </c>
      <c r="AM26" s="4">
        <f t="shared" si="22"/>
        <v>0</v>
      </c>
      <c r="AN26" s="4">
        <f t="shared" si="23"/>
        <v>1</v>
      </c>
      <c r="AO26" s="4">
        <f t="shared" si="24"/>
        <v>1</v>
      </c>
      <c r="AP26" s="4" t="s">
        <v>43</v>
      </c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</row>
    <row r="27" spans="1:69" ht="16.5" customHeight="1" x14ac:dyDescent="0.2">
      <c r="A27" s="11">
        <v>25</v>
      </c>
      <c r="B27" s="3">
        <v>17</v>
      </c>
      <c r="C27" s="3">
        <v>17</v>
      </c>
      <c r="D27" s="3">
        <v>17</v>
      </c>
      <c r="E27" s="21">
        <v>16</v>
      </c>
      <c r="F27" s="3">
        <v>16</v>
      </c>
      <c r="G27" s="3">
        <v>17</v>
      </c>
      <c r="H27" s="3">
        <v>19</v>
      </c>
      <c r="I27" s="3">
        <v>19</v>
      </c>
      <c r="J27" s="3">
        <v>18</v>
      </c>
      <c r="K27" s="3">
        <v>17</v>
      </c>
      <c r="L27" s="3">
        <v>17</v>
      </c>
      <c r="M27" s="4">
        <v>18</v>
      </c>
      <c r="N27" s="4">
        <v>18</v>
      </c>
      <c r="O27" s="12" t="s">
        <v>42</v>
      </c>
      <c r="P27" s="4">
        <f t="shared" si="0"/>
        <v>0</v>
      </c>
      <c r="Q27" s="4">
        <f t="shared" si="1"/>
        <v>0</v>
      </c>
      <c r="R27" s="4">
        <f t="shared" si="2"/>
        <v>1</v>
      </c>
      <c r="S27" s="4">
        <f t="shared" si="3"/>
        <v>0</v>
      </c>
      <c r="T27" s="4">
        <f t="shared" si="4"/>
        <v>-1</v>
      </c>
      <c r="U27" s="4">
        <f t="shared" si="5"/>
        <v>-2</v>
      </c>
      <c r="V27" s="4">
        <f t="shared" si="6"/>
        <v>0</v>
      </c>
      <c r="W27" s="4">
        <f t="shared" si="7"/>
        <v>1</v>
      </c>
      <c r="X27" s="4">
        <f t="shared" si="8"/>
        <v>1</v>
      </c>
      <c r="Y27" s="4">
        <f t="shared" si="9"/>
        <v>0</v>
      </c>
      <c r="Z27" s="4">
        <f t="shared" si="10"/>
        <v>-1</v>
      </c>
      <c r="AA27" s="4">
        <f t="shared" si="11"/>
        <v>0</v>
      </c>
      <c r="AB27" s="4" t="s">
        <v>42</v>
      </c>
      <c r="AC27" s="4">
        <f t="shared" si="12"/>
        <v>2</v>
      </c>
      <c r="AD27" s="4">
        <f t="shared" si="13"/>
        <v>2</v>
      </c>
      <c r="AE27" s="4">
        <f t="shared" si="14"/>
        <v>2</v>
      </c>
      <c r="AF27" s="4">
        <f t="shared" si="15"/>
        <v>2</v>
      </c>
      <c r="AG27" s="4">
        <f t="shared" si="16"/>
        <v>3</v>
      </c>
      <c r="AH27" s="4">
        <f t="shared" si="17"/>
        <v>2</v>
      </c>
      <c r="AI27" s="4">
        <f t="shared" si="18"/>
        <v>0</v>
      </c>
      <c r="AJ27" s="4">
        <f t="shared" si="19"/>
        <v>0</v>
      </c>
      <c r="AK27" s="4">
        <f t="shared" si="20"/>
        <v>1</v>
      </c>
      <c r="AL27" s="4">
        <f t="shared" si="21"/>
        <v>2</v>
      </c>
      <c r="AM27" s="4">
        <f t="shared" si="22"/>
        <v>2</v>
      </c>
      <c r="AN27" s="4">
        <f t="shared" si="23"/>
        <v>1</v>
      </c>
      <c r="AO27" s="4">
        <f t="shared" si="24"/>
        <v>1</v>
      </c>
      <c r="AP27" s="4" t="s">
        <v>43</v>
      </c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</row>
    <row r="28" spans="1:69" ht="16.5" customHeight="1" x14ac:dyDescent="0.2">
      <c r="A28" s="11">
        <v>26</v>
      </c>
      <c r="B28" s="3">
        <v>19</v>
      </c>
      <c r="C28" s="3">
        <v>19</v>
      </c>
      <c r="D28" s="3">
        <v>19</v>
      </c>
      <c r="E28" s="21">
        <v>18</v>
      </c>
      <c r="F28" s="3">
        <v>19</v>
      </c>
      <c r="G28" s="3">
        <v>19</v>
      </c>
      <c r="H28" s="3">
        <v>19</v>
      </c>
      <c r="I28" s="3">
        <v>19</v>
      </c>
      <c r="J28" s="3">
        <v>19</v>
      </c>
      <c r="K28" s="3">
        <v>19</v>
      </c>
      <c r="L28" s="3">
        <v>19</v>
      </c>
      <c r="M28" s="4">
        <v>19</v>
      </c>
      <c r="N28" s="4">
        <v>19</v>
      </c>
      <c r="O28" s="12" t="s">
        <v>42</v>
      </c>
      <c r="P28" s="4">
        <f t="shared" si="0"/>
        <v>0</v>
      </c>
      <c r="Q28" s="4">
        <f t="shared" si="1"/>
        <v>0</v>
      </c>
      <c r="R28" s="4">
        <f t="shared" si="2"/>
        <v>1</v>
      </c>
      <c r="S28" s="4">
        <f t="shared" si="3"/>
        <v>-1</v>
      </c>
      <c r="T28" s="4">
        <f t="shared" si="4"/>
        <v>0</v>
      </c>
      <c r="U28" s="4">
        <f t="shared" si="5"/>
        <v>0</v>
      </c>
      <c r="V28" s="4">
        <f t="shared" si="6"/>
        <v>0</v>
      </c>
      <c r="W28" s="4">
        <f t="shared" si="7"/>
        <v>0</v>
      </c>
      <c r="X28" s="4">
        <f t="shared" si="8"/>
        <v>0</v>
      </c>
      <c r="Y28" s="4">
        <f t="shared" si="9"/>
        <v>0</v>
      </c>
      <c r="Z28" s="4">
        <f t="shared" si="10"/>
        <v>0</v>
      </c>
      <c r="AA28" s="4">
        <f t="shared" si="11"/>
        <v>0</v>
      </c>
      <c r="AB28" s="4" t="s">
        <v>42</v>
      </c>
      <c r="AC28" s="4" t="s">
        <v>42</v>
      </c>
      <c r="AD28" s="4" t="s">
        <v>42</v>
      </c>
      <c r="AE28" s="4" t="s">
        <v>42</v>
      </c>
      <c r="AF28" s="4" t="s">
        <v>42</v>
      </c>
      <c r="AG28" s="4" t="s">
        <v>42</v>
      </c>
      <c r="AH28" s="4" t="s">
        <v>42</v>
      </c>
      <c r="AI28" s="4" t="s">
        <v>42</v>
      </c>
      <c r="AJ28" s="4" t="s">
        <v>42</v>
      </c>
      <c r="AK28" s="4" t="s">
        <v>42</v>
      </c>
      <c r="AL28" s="4" t="s">
        <v>42</v>
      </c>
      <c r="AM28" s="4" t="s">
        <v>42</v>
      </c>
      <c r="AN28" s="4" t="s">
        <v>42</v>
      </c>
      <c r="AO28" s="4" t="s">
        <v>42</v>
      </c>
      <c r="AP28" s="4" t="s">
        <v>43</v>
      </c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</row>
    <row r="29" spans="1:69" ht="16.5" customHeight="1" x14ac:dyDescent="0.2">
      <c r="A29" s="4" t="s">
        <v>44</v>
      </c>
      <c r="B29" s="4">
        <f>SUM(freq!B2:B28)</f>
        <v>88.165872649800008</v>
      </c>
      <c r="C29" s="4">
        <f>SUM(freq!C2:C28)</f>
        <v>79.973924331299997</v>
      </c>
      <c r="D29" s="4">
        <f>SUM(freq!D2:D28)</f>
        <v>85.254461000199996</v>
      </c>
      <c r="E29" s="22">
        <f>SUM(freq!E2:E28)</f>
        <v>82.006185710600008</v>
      </c>
      <c r="F29" s="4">
        <f>SUM(freq!F2:F28)</f>
        <v>84.014425573899999</v>
      </c>
      <c r="G29" s="4">
        <f>SUM(freq!G2:G28)</f>
        <v>85.731535628999993</v>
      </c>
      <c r="H29" s="4">
        <f>SUM(freq!H2:H28)</f>
        <v>83.185877957999992</v>
      </c>
      <c r="I29" s="4">
        <f>SUM(freq!I2:I28)</f>
        <v>89.949546668599979</v>
      </c>
      <c r="J29" s="4">
        <f>SUM(freq!J2:J28)</f>
        <v>80.999999999799996</v>
      </c>
      <c r="K29" s="4">
        <f>SUM(freq!K2:K28)</f>
        <v>83.999999999700009</v>
      </c>
      <c r="L29" s="4">
        <f>SUM(freq!L2:L28)</f>
        <v>72.999999999900012</v>
      </c>
      <c r="M29" s="4">
        <f>SUM(freq!M2:M28)</f>
        <v>60.000000000100002</v>
      </c>
      <c r="N29" s="4">
        <f>SUM(freq!N2:N28)</f>
        <v>33.000000000199996</v>
      </c>
      <c r="O29" s="12">
        <f>SUM(B29:N29)</f>
        <v>1009.2818295211001</v>
      </c>
      <c r="P29" s="12" t="s">
        <v>42</v>
      </c>
      <c r="Q29" s="12" t="s">
        <v>42</v>
      </c>
      <c r="R29" s="12" t="s">
        <v>42</v>
      </c>
      <c r="S29" s="12" t="s">
        <v>42</v>
      </c>
      <c r="T29" s="12" t="s">
        <v>42</v>
      </c>
      <c r="U29" s="12" t="s">
        <v>42</v>
      </c>
      <c r="V29" s="12" t="s">
        <v>42</v>
      </c>
      <c r="W29" s="12" t="s">
        <v>42</v>
      </c>
      <c r="X29" s="12" t="s">
        <v>42</v>
      </c>
      <c r="Y29" s="12" t="s">
        <v>42</v>
      </c>
      <c r="Z29" s="12" t="s">
        <v>42</v>
      </c>
      <c r="AA29" s="12" t="s">
        <v>42</v>
      </c>
      <c r="AB29" s="12" t="s">
        <v>42</v>
      </c>
      <c r="AC29" s="12" t="s">
        <v>42</v>
      </c>
      <c r="AD29" s="12" t="s">
        <v>42</v>
      </c>
      <c r="AE29" s="12" t="s">
        <v>42</v>
      </c>
      <c r="AF29" s="12" t="s">
        <v>42</v>
      </c>
      <c r="AG29" s="12" t="s">
        <v>42</v>
      </c>
      <c r="AH29" s="12" t="s">
        <v>42</v>
      </c>
      <c r="AI29" s="12" t="s">
        <v>42</v>
      </c>
      <c r="AJ29" s="12" t="s">
        <v>42</v>
      </c>
      <c r="AK29" s="12" t="s">
        <v>42</v>
      </c>
      <c r="AL29" s="12" t="s">
        <v>42</v>
      </c>
      <c r="AM29" s="12" t="s">
        <v>42</v>
      </c>
      <c r="AN29" s="12" t="s">
        <v>42</v>
      </c>
      <c r="AO29" s="12" t="s">
        <v>42</v>
      </c>
      <c r="AP29" s="12" t="s">
        <v>42</v>
      </c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</row>
    <row r="30" spans="1:69" ht="16.5" customHeight="1" x14ac:dyDescent="0.2">
      <c r="A30" s="4" t="s">
        <v>45</v>
      </c>
      <c r="B30" s="5">
        <f>freq!B29/B29</f>
        <v>9.3212529683600209</v>
      </c>
      <c r="C30" s="5">
        <f>freq!C29/C29</f>
        <v>10.530033930383354</v>
      </c>
      <c r="D30" s="5">
        <f>freq!D29/D29</f>
        <v>10.105592202926237</v>
      </c>
      <c r="E30" s="23">
        <f>freq!E29/E29</f>
        <v>9.8165082531505288</v>
      </c>
      <c r="F30" s="5">
        <f>freq!F29/F29</f>
        <v>10.094745482996824</v>
      </c>
      <c r="G30" s="5">
        <f>freq!G29/G29</f>
        <v>9.5419319343311066</v>
      </c>
      <c r="H30" s="5">
        <f>freq!H29/H29</f>
        <v>9.8843169909373483</v>
      </c>
      <c r="I30" s="5">
        <f>freq!I29/I29</f>
        <v>9.9989144700922221</v>
      </c>
      <c r="J30" s="5">
        <f>freq!J29/J29</f>
        <v>9.9235951019998119</v>
      </c>
      <c r="K30" s="5">
        <f>freq!K29/K29</f>
        <v>10.104368095275369</v>
      </c>
      <c r="L30" s="5">
        <f>freq!L29/L29</f>
        <v>10.661429096910494</v>
      </c>
      <c r="M30" s="5">
        <f>freq!M29/M29</f>
        <v>9.223114357401295</v>
      </c>
      <c r="N30" s="5">
        <f>freq!N29/N29</f>
        <v>10.596286727963053</v>
      </c>
      <c r="O30" s="6">
        <f>freq!O29/O29</f>
        <v>9.9597697711390811</v>
      </c>
      <c r="P30" s="13" t="s">
        <v>42</v>
      </c>
      <c r="Q30" s="13" t="s">
        <v>42</v>
      </c>
      <c r="R30" s="13" t="s">
        <v>42</v>
      </c>
      <c r="S30" s="13" t="s">
        <v>42</v>
      </c>
      <c r="T30" s="13" t="s">
        <v>42</v>
      </c>
      <c r="U30" s="13" t="s">
        <v>42</v>
      </c>
      <c r="V30" s="13" t="s">
        <v>42</v>
      </c>
      <c r="W30" s="13" t="s">
        <v>42</v>
      </c>
      <c r="X30" s="13" t="s">
        <v>42</v>
      </c>
      <c r="Y30" s="13" t="s">
        <v>42</v>
      </c>
      <c r="Z30" s="13" t="s">
        <v>42</v>
      </c>
      <c r="AA30" s="13" t="s">
        <v>42</v>
      </c>
      <c r="AB30" s="13" t="s">
        <v>42</v>
      </c>
      <c r="AC30" s="13" t="s">
        <v>42</v>
      </c>
      <c r="AD30" s="13" t="s">
        <v>42</v>
      </c>
      <c r="AE30" s="13" t="s">
        <v>42</v>
      </c>
      <c r="AF30" s="13" t="s">
        <v>42</v>
      </c>
      <c r="AG30" s="13" t="s">
        <v>42</v>
      </c>
      <c r="AH30" s="13" t="s">
        <v>42</v>
      </c>
      <c r="AI30" s="13" t="s">
        <v>42</v>
      </c>
      <c r="AJ30" s="13" t="s">
        <v>42</v>
      </c>
      <c r="AK30" s="13" t="s">
        <v>42</v>
      </c>
      <c r="AL30" s="13" t="s">
        <v>42</v>
      </c>
      <c r="AM30" s="13" t="s">
        <v>42</v>
      </c>
      <c r="AN30" s="13" t="s">
        <v>42</v>
      </c>
      <c r="AO30" s="13" t="s">
        <v>42</v>
      </c>
      <c r="AP30" s="13" t="s">
        <v>42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</row>
    <row r="31" spans="1:69" ht="16.5" customHeight="1" x14ac:dyDescent="0.2">
      <c r="A31" s="4" t="s">
        <v>46</v>
      </c>
      <c r="B31" s="5">
        <f>SQRT((freq!B30-B30^2*B29)/(B29-1))</f>
        <v>3.1097966032554538</v>
      </c>
      <c r="C31" s="5">
        <f>SQRT((freq!C30-C30^2*C29)/(C29-1))</f>
        <v>2.8239035388971416</v>
      </c>
      <c r="D31" s="5">
        <f>SQRT((freq!D30-D30^2*D29)/(D29-1))</f>
        <v>2.4539056127677865</v>
      </c>
      <c r="E31" s="23">
        <f>SQRT((freq!E30-E30^2*E29)/(E29-1))</f>
        <v>3.1802862799184091</v>
      </c>
      <c r="F31" s="5">
        <f>SQRT((freq!F30-F30^2*F29)/(F29-1))</f>
        <v>2.9720485300491624</v>
      </c>
      <c r="G31" s="5">
        <f>SQRT((freq!G30-G30^2*G29)/(G29-1))</f>
        <v>2.5503840311921775</v>
      </c>
      <c r="H31" s="5">
        <f>SQRT((freq!H30-H30^2*H29)/(H29-1))</f>
        <v>2.9166461089352147</v>
      </c>
      <c r="I31" s="5">
        <f>SQRT((freq!I30-I30^2*I29)/(I29-1))</f>
        <v>2.7771902607741912</v>
      </c>
      <c r="J31" s="5">
        <f>SQRT((freq!J30-J30^2*J29)/(J29-1))</f>
        <v>2.90920218958132</v>
      </c>
      <c r="K31" s="5">
        <f>SQRT((freq!K30-K30^2*K29)/(K29-1))</f>
        <v>3.2138048729250364</v>
      </c>
      <c r="L31" s="5">
        <f>SQRT((freq!L30-L30^2*L29)/(L29-1))</f>
        <v>3.1591075412948135</v>
      </c>
      <c r="M31" s="5">
        <f>SQRT((freq!M30-M30^2*M29)/(M29-1))</f>
        <v>2.5831955518806855</v>
      </c>
      <c r="N31" s="5">
        <f>SQRT((freq!N30-N30^2*N29)/(N29-1))</f>
        <v>2.7690595139173344</v>
      </c>
      <c r="O31" s="6">
        <f>SQRT((freq!O30-O30^2*O29)/(O29-1))</f>
        <v>2.9081297535826662</v>
      </c>
      <c r="P31" s="13" t="s">
        <v>42</v>
      </c>
      <c r="Q31" s="13" t="s">
        <v>42</v>
      </c>
      <c r="R31" s="13" t="s">
        <v>42</v>
      </c>
      <c r="S31" s="13" t="s">
        <v>42</v>
      </c>
      <c r="T31" s="13" t="s">
        <v>42</v>
      </c>
      <c r="U31" s="13" t="s">
        <v>42</v>
      </c>
      <c r="V31" s="13" t="s">
        <v>42</v>
      </c>
      <c r="W31" s="13" t="s">
        <v>42</v>
      </c>
      <c r="X31" s="13" t="s">
        <v>42</v>
      </c>
      <c r="Y31" s="13" t="s">
        <v>42</v>
      </c>
      <c r="Z31" s="13" t="s">
        <v>42</v>
      </c>
      <c r="AA31" s="13" t="s">
        <v>42</v>
      </c>
      <c r="AB31" s="13" t="s">
        <v>42</v>
      </c>
      <c r="AC31" s="13" t="s">
        <v>42</v>
      </c>
      <c r="AD31" s="13" t="s">
        <v>42</v>
      </c>
      <c r="AE31" s="13" t="s">
        <v>42</v>
      </c>
      <c r="AF31" s="13" t="s">
        <v>42</v>
      </c>
      <c r="AG31" s="13" t="s">
        <v>42</v>
      </c>
      <c r="AH31" s="13" t="s">
        <v>42</v>
      </c>
      <c r="AI31" s="13" t="s">
        <v>42</v>
      </c>
      <c r="AJ31" s="13" t="s">
        <v>42</v>
      </c>
      <c r="AK31" s="13" t="s">
        <v>42</v>
      </c>
      <c r="AL31" s="13" t="s">
        <v>42</v>
      </c>
      <c r="AM31" s="13" t="s">
        <v>42</v>
      </c>
      <c r="AN31" s="13" t="s">
        <v>42</v>
      </c>
      <c r="AO31" s="13" t="s">
        <v>42</v>
      </c>
      <c r="AP31" s="13" t="s">
        <v>42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</row>
    <row r="32" spans="1:69" ht="16.5" customHeight="1" x14ac:dyDescent="0.2">
      <c r="A32" s="4" t="s">
        <v>47</v>
      </c>
      <c r="B32" s="4">
        <f t="shared" ref="B32:O32" si="25">0.3-ABS(10-ROUND(B30,2))</f>
        <v>-0.37999999999999973</v>
      </c>
      <c r="C32" s="4">
        <f t="shared" si="25"/>
        <v>-0.22999999999999937</v>
      </c>
      <c r="D32" s="4">
        <f t="shared" si="25"/>
        <v>0.19000000000000056</v>
      </c>
      <c r="E32" s="22">
        <f t="shared" si="25"/>
        <v>0.12000000000000027</v>
      </c>
      <c r="F32" s="4">
        <f t="shared" si="25"/>
        <v>0.21000000000000013</v>
      </c>
      <c r="G32" s="4">
        <f t="shared" si="25"/>
        <v>-0.16000000000000086</v>
      </c>
      <c r="H32" s="4">
        <f t="shared" si="25"/>
        <v>0.18000000000000077</v>
      </c>
      <c r="I32" s="4">
        <f t="shared" si="25"/>
        <v>0.3</v>
      </c>
      <c r="J32" s="4">
        <f t="shared" si="25"/>
        <v>0.21999999999999992</v>
      </c>
      <c r="K32" s="4">
        <f t="shared" si="25"/>
        <v>0.20000000000000034</v>
      </c>
      <c r="L32" s="4">
        <f t="shared" si="25"/>
        <v>-0.36000000000000015</v>
      </c>
      <c r="M32" s="4">
        <f t="shared" si="25"/>
        <v>-0.47999999999999937</v>
      </c>
      <c r="N32" s="4">
        <f t="shared" si="25"/>
        <v>-0.29999999999999966</v>
      </c>
      <c r="O32" s="4">
        <f t="shared" si="25"/>
        <v>0.26000000000000084</v>
      </c>
      <c r="P32" s="13" t="s">
        <v>42</v>
      </c>
      <c r="Q32" s="13" t="s">
        <v>42</v>
      </c>
      <c r="R32" s="13" t="s">
        <v>42</v>
      </c>
      <c r="S32" s="13" t="s">
        <v>42</v>
      </c>
      <c r="T32" s="13" t="s">
        <v>42</v>
      </c>
      <c r="U32" s="13" t="s">
        <v>42</v>
      </c>
      <c r="V32" s="13" t="s">
        <v>42</v>
      </c>
      <c r="W32" s="13" t="s">
        <v>42</v>
      </c>
      <c r="X32" s="13" t="s">
        <v>42</v>
      </c>
      <c r="Y32" s="13" t="s">
        <v>42</v>
      </c>
      <c r="Z32" s="13" t="s">
        <v>42</v>
      </c>
      <c r="AA32" s="13" t="s">
        <v>42</v>
      </c>
      <c r="AB32" s="13" t="s">
        <v>42</v>
      </c>
      <c r="AC32" s="13" t="s">
        <v>42</v>
      </c>
      <c r="AD32" s="13" t="s">
        <v>42</v>
      </c>
      <c r="AE32" s="13" t="s">
        <v>42</v>
      </c>
      <c r="AF32" s="13" t="s">
        <v>42</v>
      </c>
      <c r="AG32" s="13" t="s">
        <v>42</v>
      </c>
      <c r="AH32" s="13" t="s">
        <v>42</v>
      </c>
      <c r="AI32" s="13" t="s">
        <v>42</v>
      </c>
      <c r="AJ32" s="13" t="s">
        <v>42</v>
      </c>
      <c r="AK32" s="13" t="s">
        <v>42</v>
      </c>
      <c r="AL32" s="13" t="s">
        <v>42</v>
      </c>
      <c r="AM32" s="13" t="s">
        <v>42</v>
      </c>
      <c r="AN32" s="13" t="s">
        <v>42</v>
      </c>
      <c r="AO32" s="13" t="s">
        <v>42</v>
      </c>
      <c r="AP32" s="13" t="s">
        <v>42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</row>
    <row r="33" spans="1:69" ht="16.5" customHeight="1" x14ac:dyDescent="0.2">
      <c r="A33" s="4" t="s">
        <v>48</v>
      </c>
      <c r="B33" s="4">
        <f t="shared" ref="B33:O33" si="26">0.3-ABS(3-ROUND(B31,2))</f>
        <v>0.19000000000000011</v>
      </c>
      <c r="C33" s="4">
        <f t="shared" si="26"/>
        <v>0.11999999999999983</v>
      </c>
      <c r="D33" s="4">
        <f t="shared" si="26"/>
        <v>-0.24999999999999983</v>
      </c>
      <c r="E33" s="22">
        <f t="shared" si="26"/>
        <v>0.11999999999999983</v>
      </c>
      <c r="F33" s="4">
        <f t="shared" si="26"/>
        <v>0.27000000000000018</v>
      </c>
      <c r="G33" s="4">
        <f t="shared" si="26"/>
        <v>-0.15000000000000019</v>
      </c>
      <c r="H33" s="4">
        <f t="shared" si="26"/>
        <v>0.21999999999999992</v>
      </c>
      <c r="I33" s="4">
        <f t="shared" si="26"/>
        <v>7.9999999999999793E-2</v>
      </c>
      <c r="J33" s="4">
        <f t="shared" si="26"/>
        <v>0.21000000000000013</v>
      </c>
      <c r="K33" s="4">
        <f t="shared" si="26"/>
        <v>9.0000000000000024E-2</v>
      </c>
      <c r="L33" s="4">
        <f t="shared" si="26"/>
        <v>0.13999999999999985</v>
      </c>
      <c r="M33" s="4">
        <f t="shared" si="26"/>
        <v>-0.11999999999999994</v>
      </c>
      <c r="N33" s="4">
        <f t="shared" si="26"/>
        <v>7.0000000000000007E-2</v>
      </c>
      <c r="O33" s="4">
        <f t="shared" si="26"/>
        <v>0.21000000000000013</v>
      </c>
      <c r="P33" s="13" t="s">
        <v>42</v>
      </c>
      <c r="Q33" s="13" t="s">
        <v>42</v>
      </c>
      <c r="R33" s="13" t="s">
        <v>42</v>
      </c>
      <c r="S33" s="13" t="s">
        <v>42</v>
      </c>
      <c r="T33" s="13" t="s">
        <v>42</v>
      </c>
      <c r="U33" s="13" t="s">
        <v>42</v>
      </c>
      <c r="V33" s="13" t="s">
        <v>42</v>
      </c>
      <c r="W33" s="13" t="s">
        <v>42</v>
      </c>
      <c r="X33" s="13" t="s">
        <v>42</v>
      </c>
      <c r="Y33" s="13" t="s">
        <v>42</v>
      </c>
      <c r="Z33" s="13" t="s">
        <v>42</v>
      </c>
      <c r="AA33" s="13" t="s">
        <v>42</v>
      </c>
      <c r="AB33" s="13" t="s">
        <v>42</v>
      </c>
      <c r="AC33" s="13" t="s">
        <v>42</v>
      </c>
      <c r="AD33" s="13" t="s">
        <v>42</v>
      </c>
      <c r="AE33" s="13" t="s">
        <v>42</v>
      </c>
      <c r="AF33" s="13" t="s">
        <v>42</v>
      </c>
      <c r="AG33" s="13" t="s">
        <v>42</v>
      </c>
      <c r="AH33" s="13" t="s">
        <v>42</v>
      </c>
      <c r="AI33" s="13" t="s">
        <v>42</v>
      </c>
      <c r="AJ33" s="13" t="s">
        <v>42</v>
      </c>
      <c r="AK33" s="13" t="s">
        <v>42</v>
      </c>
      <c r="AL33" s="13" t="s">
        <v>42</v>
      </c>
      <c r="AM33" s="13" t="s">
        <v>42</v>
      </c>
      <c r="AN33" s="13" t="s">
        <v>42</v>
      </c>
      <c r="AO33" s="13" t="s">
        <v>42</v>
      </c>
      <c r="AP33" s="13" t="s">
        <v>42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</row>
    <row r="34" spans="1:69" ht="16.5" customHeight="1" x14ac:dyDescent="0.2">
      <c r="A34" s="4" t="s">
        <v>49</v>
      </c>
      <c r="B34" s="4">
        <f t="shared" ref="B34:O34" si="27">0.6-ABS(10-ROUND(B30,2))</f>
        <v>-7.9999999999999738E-2</v>
      </c>
      <c r="C34" s="4">
        <f t="shared" si="27"/>
        <v>7.0000000000000617E-2</v>
      </c>
      <c r="D34" s="4">
        <f t="shared" si="27"/>
        <v>0.49000000000000055</v>
      </c>
      <c r="E34" s="22">
        <f t="shared" si="27"/>
        <v>0.42000000000000026</v>
      </c>
      <c r="F34" s="4">
        <f t="shared" si="27"/>
        <v>0.51000000000000012</v>
      </c>
      <c r="G34" s="4">
        <f t="shared" si="27"/>
        <v>0.13999999999999913</v>
      </c>
      <c r="H34" s="4">
        <f t="shared" si="27"/>
        <v>0.48000000000000076</v>
      </c>
      <c r="I34" s="4">
        <f t="shared" si="27"/>
        <v>0.6</v>
      </c>
      <c r="J34" s="4">
        <f t="shared" si="27"/>
        <v>0.51999999999999991</v>
      </c>
      <c r="K34" s="4">
        <f t="shared" si="27"/>
        <v>0.50000000000000033</v>
      </c>
      <c r="L34" s="4">
        <f t="shared" si="27"/>
        <v>-6.0000000000000164E-2</v>
      </c>
      <c r="M34" s="4">
        <f t="shared" si="27"/>
        <v>-0.17999999999999938</v>
      </c>
      <c r="N34" s="4">
        <f t="shared" si="27"/>
        <v>0</v>
      </c>
      <c r="O34" s="4">
        <f t="shared" si="27"/>
        <v>0.56000000000000083</v>
      </c>
      <c r="P34" s="13" t="s">
        <v>42</v>
      </c>
      <c r="Q34" s="13" t="s">
        <v>42</v>
      </c>
      <c r="R34" s="13" t="s">
        <v>42</v>
      </c>
      <c r="S34" s="13" t="s">
        <v>42</v>
      </c>
      <c r="T34" s="13" t="s">
        <v>42</v>
      </c>
      <c r="U34" s="13" t="s">
        <v>42</v>
      </c>
      <c r="V34" s="13" t="s">
        <v>42</v>
      </c>
      <c r="W34" s="13" t="s">
        <v>42</v>
      </c>
      <c r="X34" s="13" t="s">
        <v>42</v>
      </c>
      <c r="Y34" s="13" t="s">
        <v>42</v>
      </c>
      <c r="Z34" s="13" t="s">
        <v>42</v>
      </c>
      <c r="AA34" s="13" t="s">
        <v>42</v>
      </c>
      <c r="AB34" s="13" t="s">
        <v>42</v>
      </c>
      <c r="AC34" s="13" t="s">
        <v>42</v>
      </c>
      <c r="AD34" s="13" t="s">
        <v>42</v>
      </c>
      <c r="AE34" s="13" t="s">
        <v>42</v>
      </c>
      <c r="AF34" s="13" t="s">
        <v>42</v>
      </c>
      <c r="AG34" s="13" t="s">
        <v>42</v>
      </c>
      <c r="AH34" s="13" t="s">
        <v>42</v>
      </c>
      <c r="AI34" s="13" t="s">
        <v>42</v>
      </c>
      <c r="AJ34" s="13" t="s">
        <v>42</v>
      </c>
      <c r="AK34" s="13" t="s">
        <v>42</v>
      </c>
      <c r="AL34" s="13" t="s">
        <v>42</v>
      </c>
      <c r="AM34" s="13" t="s">
        <v>42</v>
      </c>
      <c r="AN34" s="13" t="s">
        <v>42</v>
      </c>
      <c r="AO34" s="13" t="s">
        <v>42</v>
      </c>
      <c r="AP34" s="13" t="s">
        <v>42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</row>
    <row r="35" spans="1:69" ht="16.5" customHeight="1" x14ac:dyDescent="0.2">
      <c r="A35" s="4" t="s">
        <v>50</v>
      </c>
      <c r="B35" s="4">
        <f t="shared" ref="B35:O35" si="28">0.3-ABS(3-ROUND(B31,2))</f>
        <v>0.19000000000000011</v>
      </c>
      <c r="C35" s="4">
        <f t="shared" si="28"/>
        <v>0.11999999999999983</v>
      </c>
      <c r="D35" s="4">
        <f t="shared" si="28"/>
        <v>-0.24999999999999983</v>
      </c>
      <c r="E35" s="22">
        <f t="shared" si="28"/>
        <v>0.11999999999999983</v>
      </c>
      <c r="F35" s="4">
        <f t="shared" si="28"/>
        <v>0.27000000000000018</v>
      </c>
      <c r="G35" s="4">
        <f t="shared" si="28"/>
        <v>-0.15000000000000019</v>
      </c>
      <c r="H35" s="4">
        <f t="shared" si="28"/>
        <v>0.21999999999999992</v>
      </c>
      <c r="I35" s="4">
        <f t="shared" si="28"/>
        <v>7.9999999999999793E-2</v>
      </c>
      <c r="J35" s="4">
        <f t="shared" si="28"/>
        <v>0.21000000000000013</v>
      </c>
      <c r="K35" s="4">
        <f t="shared" si="28"/>
        <v>9.0000000000000024E-2</v>
      </c>
      <c r="L35" s="4">
        <f t="shared" si="28"/>
        <v>0.13999999999999985</v>
      </c>
      <c r="M35" s="4">
        <f t="shared" si="28"/>
        <v>-0.11999999999999994</v>
      </c>
      <c r="N35" s="4">
        <f t="shared" si="28"/>
        <v>7.0000000000000007E-2</v>
      </c>
      <c r="O35" s="4">
        <f t="shared" si="28"/>
        <v>0.21000000000000013</v>
      </c>
      <c r="P35" s="13" t="s">
        <v>42</v>
      </c>
      <c r="Q35" s="13" t="s">
        <v>42</v>
      </c>
      <c r="R35" s="13" t="s">
        <v>42</v>
      </c>
      <c r="S35" s="13" t="s">
        <v>42</v>
      </c>
      <c r="T35" s="13" t="s">
        <v>42</v>
      </c>
      <c r="U35" s="13" t="s">
        <v>42</v>
      </c>
      <c r="V35" s="13" t="s">
        <v>42</v>
      </c>
      <c r="W35" s="13" t="s">
        <v>42</v>
      </c>
      <c r="X35" s="13" t="s">
        <v>42</v>
      </c>
      <c r="Y35" s="13" t="s">
        <v>42</v>
      </c>
      <c r="Z35" s="13" t="s">
        <v>42</v>
      </c>
      <c r="AA35" s="13" t="s">
        <v>42</v>
      </c>
      <c r="AB35" s="13" t="s">
        <v>42</v>
      </c>
      <c r="AC35" s="13" t="s">
        <v>42</v>
      </c>
      <c r="AD35" s="13" t="s">
        <v>42</v>
      </c>
      <c r="AE35" s="13" t="s">
        <v>42</v>
      </c>
      <c r="AF35" s="13" t="s">
        <v>42</v>
      </c>
      <c r="AG35" s="13" t="s">
        <v>42</v>
      </c>
      <c r="AH35" s="13" t="s">
        <v>42</v>
      </c>
      <c r="AI35" s="13" t="s">
        <v>42</v>
      </c>
      <c r="AJ35" s="13" t="s">
        <v>42</v>
      </c>
      <c r="AK35" s="13" t="s">
        <v>42</v>
      </c>
      <c r="AL35" s="13" t="s">
        <v>42</v>
      </c>
      <c r="AM35" s="13" t="s">
        <v>42</v>
      </c>
      <c r="AN35" s="13" t="s">
        <v>42</v>
      </c>
      <c r="AO35" s="13" t="s">
        <v>42</v>
      </c>
      <c r="AP35" s="13" t="s">
        <v>42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</row>
    <row r="36" spans="1:69" ht="16.5" customHeight="1" x14ac:dyDescent="0.2">
      <c r="A36" s="4" t="s">
        <v>51</v>
      </c>
      <c r="B36" s="4">
        <f t="shared" ref="B36:O36" si="29">0.9-ABS(10-ROUND(B30,2))</f>
        <v>0.22000000000000031</v>
      </c>
      <c r="C36" s="4">
        <f t="shared" si="29"/>
        <v>0.37000000000000066</v>
      </c>
      <c r="D36" s="4">
        <f t="shared" si="29"/>
        <v>0.79000000000000059</v>
      </c>
      <c r="E36" s="22">
        <f t="shared" si="29"/>
        <v>0.72000000000000031</v>
      </c>
      <c r="F36" s="4">
        <f t="shared" si="29"/>
        <v>0.81000000000000016</v>
      </c>
      <c r="G36" s="4">
        <f t="shared" si="29"/>
        <v>0.43999999999999917</v>
      </c>
      <c r="H36" s="4">
        <f t="shared" si="29"/>
        <v>0.7800000000000008</v>
      </c>
      <c r="I36" s="4">
        <f t="shared" si="29"/>
        <v>0.9</v>
      </c>
      <c r="J36" s="4">
        <f t="shared" si="29"/>
        <v>0.82</v>
      </c>
      <c r="K36" s="4">
        <f t="shared" si="29"/>
        <v>0.80000000000000038</v>
      </c>
      <c r="L36" s="4">
        <f t="shared" si="29"/>
        <v>0.23999999999999988</v>
      </c>
      <c r="M36" s="4">
        <f t="shared" si="29"/>
        <v>0.12000000000000066</v>
      </c>
      <c r="N36" s="4">
        <f t="shared" si="29"/>
        <v>0.30000000000000038</v>
      </c>
      <c r="O36" s="4">
        <f t="shared" si="29"/>
        <v>0.86000000000000087</v>
      </c>
      <c r="P36" s="13" t="s">
        <v>42</v>
      </c>
      <c r="Q36" s="13" t="s">
        <v>42</v>
      </c>
      <c r="R36" s="13" t="s">
        <v>42</v>
      </c>
      <c r="S36" s="13" t="s">
        <v>42</v>
      </c>
      <c r="T36" s="13" t="s">
        <v>42</v>
      </c>
      <c r="U36" s="13" t="s">
        <v>42</v>
      </c>
      <c r="V36" s="13" t="s">
        <v>42</v>
      </c>
      <c r="W36" s="13" t="s">
        <v>42</v>
      </c>
      <c r="X36" s="13" t="s">
        <v>42</v>
      </c>
      <c r="Y36" s="13" t="s">
        <v>42</v>
      </c>
      <c r="Z36" s="13" t="s">
        <v>42</v>
      </c>
      <c r="AA36" s="13" t="s">
        <v>42</v>
      </c>
      <c r="AB36" s="13" t="s">
        <v>42</v>
      </c>
      <c r="AC36" s="13" t="s">
        <v>42</v>
      </c>
      <c r="AD36" s="13" t="s">
        <v>42</v>
      </c>
      <c r="AE36" s="13" t="s">
        <v>42</v>
      </c>
      <c r="AF36" s="13" t="s">
        <v>42</v>
      </c>
      <c r="AG36" s="13" t="s">
        <v>42</v>
      </c>
      <c r="AH36" s="13" t="s">
        <v>42</v>
      </c>
      <c r="AI36" s="13" t="s">
        <v>42</v>
      </c>
      <c r="AJ36" s="13" t="s">
        <v>42</v>
      </c>
      <c r="AK36" s="13" t="s">
        <v>42</v>
      </c>
      <c r="AL36" s="13" t="s">
        <v>42</v>
      </c>
      <c r="AM36" s="13" t="s">
        <v>42</v>
      </c>
      <c r="AN36" s="13" t="s">
        <v>42</v>
      </c>
      <c r="AO36" s="13" t="s">
        <v>42</v>
      </c>
      <c r="AP36" s="13" t="s">
        <v>42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</row>
    <row r="37" spans="1:69" ht="16.5" customHeight="1" x14ac:dyDescent="0.2">
      <c r="A37" s="4" t="s">
        <v>52</v>
      </c>
      <c r="B37" s="4">
        <f t="shared" ref="B37:O37" si="30">0.45-ABS(3-ROUND(B31,2))</f>
        <v>0.34000000000000014</v>
      </c>
      <c r="C37" s="4">
        <f t="shared" si="30"/>
        <v>0.26999999999999985</v>
      </c>
      <c r="D37" s="4">
        <f t="shared" si="30"/>
        <v>-9.9999999999999811E-2</v>
      </c>
      <c r="E37" s="22">
        <f t="shared" si="30"/>
        <v>0.26999999999999985</v>
      </c>
      <c r="F37" s="4">
        <f t="shared" si="30"/>
        <v>0.42000000000000021</v>
      </c>
      <c r="G37" s="4">
        <f t="shared" si="30"/>
        <v>0</v>
      </c>
      <c r="H37" s="4">
        <f t="shared" si="30"/>
        <v>0.36999999999999994</v>
      </c>
      <c r="I37" s="4">
        <f t="shared" si="30"/>
        <v>0.22999999999999982</v>
      </c>
      <c r="J37" s="4">
        <f t="shared" si="30"/>
        <v>0.36000000000000015</v>
      </c>
      <c r="K37" s="4">
        <f t="shared" si="30"/>
        <v>0.24000000000000005</v>
      </c>
      <c r="L37" s="4">
        <f t="shared" si="30"/>
        <v>0.28999999999999987</v>
      </c>
      <c r="M37" s="4">
        <f t="shared" si="30"/>
        <v>3.0000000000000082E-2</v>
      </c>
      <c r="N37" s="4">
        <f t="shared" si="30"/>
        <v>0.22000000000000003</v>
      </c>
      <c r="O37" s="4">
        <f t="shared" si="30"/>
        <v>0.36000000000000015</v>
      </c>
      <c r="P37" s="13" t="s">
        <v>42</v>
      </c>
      <c r="Q37" s="13" t="s">
        <v>42</v>
      </c>
      <c r="R37" s="13" t="s">
        <v>42</v>
      </c>
      <c r="S37" s="13" t="s">
        <v>42</v>
      </c>
      <c r="T37" s="13" t="s">
        <v>42</v>
      </c>
      <c r="U37" s="13" t="s">
        <v>42</v>
      </c>
      <c r="V37" s="13" t="s">
        <v>42</v>
      </c>
      <c r="W37" s="13" t="s">
        <v>42</v>
      </c>
      <c r="X37" s="13" t="s">
        <v>42</v>
      </c>
      <c r="Y37" s="13" t="s">
        <v>42</v>
      </c>
      <c r="Z37" s="13" t="s">
        <v>42</v>
      </c>
      <c r="AA37" s="13" t="s">
        <v>42</v>
      </c>
      <c r="AB37" s="13" t="s">
        <v>42</v>
      </c>
      <c r="AC37" s="13" t="s">
        <v>42</v>
      </c>
      <c r="AD37" s="13" t="s">
        <v>42</v>
      </c>
      <c r="AE37" s="13" t="s">
        <v>42</v>
      </c>
      <c r="AF37" s="13" t="s">
        <v>42</v>
      </c>
      <c r="AG37" s="13" t="s">
        <v>42</v>
      </c>
      <c r="AH37" s="13" t="s">
        <v>42</v>
      </c>
      <c r="AI37" s="13" t="s">
        <v>42</v>
      </c>
      <c r="AJ37" s="13" t="s">
        <v>42</v>
      </c>
      <c r="AK37" s="13" t="s">
        <v>42</v>
      </c>
      <c r="AL37" s="13" t="s">
        <v>42</v>
      </c>
      <c r="AM37" s="13" t="s">
        <v>42</v>
      </c>
      <c r="AN37" s="13" t="s">
        <v>42</v>
      </c>
      <c r="AO37" s="13" t="s">
        <v>42</v>
      </c>
      <c r="AP37" s="13" t="s">
        <v>42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</row>
    <row r="38" spans="1:69" ht="16.5" customHeight="1" x14ac:dyDescent="0.2">
      <c r="A38" s="4" t="s">
        <v>53</v>
      </c>
      <c r="B38" s="4">
        <f>SUM(freq!B2:B28)</f>
        <v>88.165872649800008</v>
      </c>
      <c r="C38" s="4">
        <f>SUM(freq!C2:C28)</f>
        <v>79.973924331299997</v>
      </c>
      <c r="D38" s="4">
        <f>SUM(freq!D2:D28)</f>
        <v>85.254461000199996</v>
      </c>
      <c r="E38" s="22">
        <f>SUM(freq!E2:E28)</f>
        <v>82.006185710600008</v>
      </c>
      <c r="F38" s="4">
        <f>SUM(freq!F2:F28)</f>
        <v>84.014425573899999</v>
      </c>
      <c r="G38" s="4">
        <f>SUM(freq!G2:G28)</f>
        <v>85.731535628999993</v>
      </c>
      <c r="H38" s="4">
        <f>SUM(freq!H2:H28)</f>
        <v>83.185877957999992</v>
      </c>
      <c r="I38" s="4">
        <f>SUM(freq!I2:I28)</f>
        <v>89.949546668599979</v>
      </c>
      <c r="J38" s="4">
        <f>SUM(freq!J2:J28)</f>
        <v>80.999999999799996</v>
      </c>
      <c r="K38" s="4">
        <f>SUM(freq!K2:K28)</f>
        <v>83.999999999700009</v>
      </c>
      <c r="L38" s="4">
        <f>SUM(freq!L2:L28)</f>
        <v>72.999999999900012</v>
      </c>
      <c r="M38" s="4">
        <f>SUM(freq!M2:M28)</f>
        <v>60.000000000100002</v>
      </c>
      <c r="N38" s="4">
        <f>SUM(freq!N2:N28)</f>
        <v>33.000000000199996</v>
      </c>
      <c r="O38" s="4" t="s">
        <v>42</v>
      </c>
      <c r="P38" s="10" t="s">
        <v>42</v>
      </c>
      <c r="Q38" s="10" t="s">
        <v>42</v>
      </c>
      <c r="R38" s="10" t="s">
        <v>42</v>
      </c>
      <c r="S38" s="10" t="s">
        <v>42</v>
      </c>
      <c r="T38" s="10" t="s">
        <v>42</v>
      </c>
      <c r="U38" s="10" t="s">
        <v>42</v>
      </c>
      <c r="V38" s="10" t="s">
        <v>42</v>
      </c>
      <c r="W38" s="10" t="s">
        <v>42</v>
      </c>
      <c r="X38" s="10" t="s">
        <v>42</v>
      </c>
      <c r="Y38" s="10" t="s">
        <v>42</v>
      </c>
      <c r="Z38" s="10" t="s">
        <v>42</v>
      </c>
      <c r="AA38" s="10" t="s">
        <v>42</v>
      </c>
      <c r="AB38" s="10" t="s">
        <v>42</v>
      </c>
      <c r="AC38" s="10" t="s">
        <v>42</v>
      </c>
      <c r="AD38" s="10" t="s">
        <v>42</v>
      </c>
      <c r="AE38" s="10" t="s">
        <v>42</v>
      </c>
      <c r="AF38" s="10" t="s">
        <v>42</v>
      </c>
      <c r="AG38" s="10" t="s">
        <v>42</v>
      </c>
      <c r="AH38" s="10" t="s">
        <v>42</v>
      </c>
      <c r="AI38" s="10" t="s">
        <v>42</v>
      </c>
      <c r="AJ38" s="10" t="s">
        <v>42</v>
      </c>
      <c r="AK38" s="10" t="s">
        <v>42</v>
      </c>
      <c r="AL38" s="10" t="s">
        <v>42</v>
      </c>
      <c r="AM38" s="10" t="s">
        <v>42</v>
      </c>
      <c r="AN38" s="10" t="s">
        <v>42</v>
      </c>
      <c r="AO38" s="10" t="s">
        <v>42</v>
      </c>
      <c r="AP38" s="10" t="s">
        <v>42</v>
      </c>
    </row>
    <row r="39" spans="1:69" ht="16.5" customHeight="1" x14ac:dyDescent="0.2">
      <c r="A39" s="4" t="s">
        <v>54</v>
      </c>
      <c r="B39" s="4">
        <f>freq!B29/B38</f>
        <v>9.3212529683600209</v>
      </c>
      <c r="C39" s="4">
        <f>freq!C29/C38</f>
        <v>10.530033930383354</v>
      </c>
      <c r="D39" s="4">
        <f>freq!D29/D38</f>
        <v>10.105592202926237</v>
      </c>
      <c r="E39" s="22">
        <f>freq!E29/E38</f>
        <v>9.8165082531505288</v>
      </c>
      <c r="F39" s="4">
        <f>freq!F29/F38</f>
        <v>10.094745482996824</v>
      </c>
      <c r="G39" s="4">
        <f>freq!G29/G38</f>
        <v>9.5419319343311066</v>
      </c>
      <c r="H39" s="4">
        <f>freq!H29/H38</f>
        <v>9.8843169909373483</v>
      </c>
      <c r="I39" s="4">
        <f>freq!I29/I38</f>
        <v>9.9989144700922221</v>
      </c>
      <c r="J39" s="4">
        <f>freq!J29/J38</f>
        <v>9.9235951019998119</v>
      </c>
      <c r="K39" s="4">
        <f>freq!K29/K38</f>
        <v>10.104368095275369</v>
      </c>
      <c r="L39" s="4">
        <f>freq!L29/L38</f>
        <v>10.661429096910494</v>
      </c>
      <c r="M39" s="4">
        <f>freq!M29/M38</f>
        <v>9.223114357401295</v>
      </c>
      <c r="N39" s="4">
        <f>freq!N29/N38</f>
        <v>10.596286727963053</v>
      </c>
      <c r="O39" s="4" t="s">
        <v>42</v>
      </c>
      <c r="P39" s="10" t="s">
        <v>42</v>
      </c>
      <c r="Q39" s="10" t="s">
        <v>42</v>
      </c>
      <c r="R39" s="10" t="s">
        <v>42</v>
      </c>
      <c r="S39" s="10" t="s">
        <v>42</v>
      </c>
      <c r="T39" s="10" t="s">
        <v>42</v>
      </c>
      <c r="U39" s="10" t="s">
        <v>42</v>
      </c>
      <c r="V39" s="10" t="s">
        <v>42</v>
      </c>
      <c r="W39" s="10" t="s">
        <v>42</v>
      </c>
      <c r="X39" s="10" t="s">
        <v>42</v>
      </c>
      <c r="Y39" s="10" t="s">
        <v>42</v>
      </c>
      <c r="Z39" s="10" t="s">
        <v>42</v>
      </c>
      <c r="AA39" s="10" t="s">
        <v>42</v>
      </c>
      <c r="AB39" s="10" t="s">
        <v>42</v>
      </c>
      <c r="AC39" s="10" t="s">
        <v>42</v>
      </c>
      <c r="AD39" s="10" t="s">
        <v>42</v>
      </c>
      <c r="AE39" s="10" t="s">
        <v>42</v>
      </c>
      <c r="AF39" s="10" t="s">
        <v>42</v>
      </c>
      <c r="AG39" s="10" t="s">
        <v>42</v>
      </c>
      <c r="AH39" s="10" t="s">
        <v>42</v>
      </c>
      <c r="AI39" s="10" t="s">
        <v>42</v>
      </c>
      <c r="AJ39" s="10" t="s">
        <v>42</v>
      </c>
      <c r="AK39" s="10" t="s">
        <v>42</v>
      </c>
      <c r="AL39" s="10" t="s">
        <v>42</v>
      </c>
      <c r="AM39" s="10" t="s">
        <v>42</v>
      </c>
      <c r="AN39" s="10" t="s">
        <v>42</v>
      </c>
      <c r="AO39" s="10" t="s">
        <v>42</v>
      </c>
      <c r="AP39" s="10" t="s">
        <v>42</v>
      </c>
    </row>
    <row r="40" spans="1:69" ht="16.5" customHeight="1" x14ac:dyDescent="0.2">
      <c r="A40" s="4" t="s">
        <v>55</v>
      </c>
      <c r="B40" s="4">
        <f>SQRT((freq!B30-B39^2*B38)/(B38-1))</f>
        <v>3.1097966032554538</v>
      </c>
      <c r="C40" s="4">
        <f>SQRT((freq!C30-C39^2*C38)/(C38-1))</f>
        <v>2.8239035388971416</v>
      </c>
      <c r="D40" s="4">
        <f>SQRT((freq!D30-D39^2*D38)/(D38-1))</f>
        <v>2.4539056127677865</v>
      </c>
      <c r="E40" s="22">
        <f>SQRT((freq!E30-E39^2*E38)/(E38-1))</f>
        <v>3.1802862799184091</v>
      </c>
      <c r="F40" s="4">
        <f>SQRT((freq!F30-F39^2*F38)/(F38-1))</f>
        <v>2.9720485300491624</v>
      </c>
      <c r="G40" s="4">
        <f>SQRT((freq!G30-G39^2*G38)/(G38-1))</f>
        <v>2.5503840311921775</v>
      </c>
      <c r="H40" s="4">
        <f>SQRT((freq!H30-H39^2*H38)/(H38-1))</f>
        <v>2.9166461089352147</v>
      </c>
      <c r="I40" s="4">
        <f>SQRT((freq!I30-I39^2*I38)/(I38-1))</f>
        <v>2.7771902607741912</v>
      </c>
      <c r="J40" s="4">
        <f>SQRT((freq!J30-J39^2*J38)/(J38-1))</f>
        <v>2.90920218958132</v>
      </c>
      <c r="K40" s="4">
        <f>SQRT((freq!K30-K39^2*K38)/(K38-1))</f>
        <v>3.2138048729250364</v>
      </c>
      <c r="L40" s="4">
        <f>SQRT((freq!L30-L39^2*L38)/(L38-1))</f>
        <v>3.1591075412948135</v>
      </c>
      <c r="M40" s="4">
        <f>SQRT((freq!M30-M39^2*M38)/(M38-1))</f>
        <v>2.5831955518806855</v>
      </c>
      <c r="N40" s="4">
        <f>SQRT((freq!N30-N39^2*N38)/(N38-1))</f>
        <v>2.7690595139173344</v>
      </c>
      <c r="O40" s="4" t="s">
        <v>42</v>
      </c>
      <c r="P40" s="10" t="s">
        <v>42</v>
      </c>
      <c r="Q40" s="10" t="s">
        <v>42</v>
      </c>
      <c r="R40" s="10" t="s">
        <v>42</v>
      </c>
      <c r="S40" s="10" t="s">
        <v>42</v>
      </c>
      <c r="T40" s="10" t="s">
        <v>42</v>
      </c>
      <c r="U40" s="10" t="s">
        <v>42</v>
      </c>
      <c r="V40" s="10" t="s">
        <v>42</v>
      </c>
      <c r="W40" s="10" t="s">
        <v>42</v>
      </c>
      <c r="X40" s="10" t="s">
        <v>42</v>
      </c>
      <c r="Y40" s="10" t="s">
        <v>42</v>
      </c>
      <c r="Z40" s="10" t="s">
        <v>42</v>
      </c>
      <c r="AA40" s="10" t="s">
        <v>42</v>
      </c>
      <c r="AB40" s="10" t="s">
        <v>42</v>
      </c>
      <c r="AC40" s="10" t="s">
        <v>42</v>
      </c>
      <c r="AD40" s="10" t="s">
        <v>42</v>
      </c>
      <c r="AE40" s="10" t="s">
        <v>42</v>
      </c>
      <c r="AF40" s="10" t="s">
        <v>42</v>
      </c>
      <c r="AG40" s="10" t="s">
        <v>42</v>
      </c>
      <c r="AH40" s="10" t="s">
        <v>42</v>
      </c>
      <c r="AI40" s="10" t="s">
        <v>42</v>
      </c>
      <c r="AJ40" s="10" t="s">
        <v>42</v>
      </c>
      <c r="AK40" s="10" t="s">
        <v>42</v>
      </c>
      <c r="AL40" s="10" t="s">
        <v>42</v>
      </c>
      <c r="AM40" s="10" t="s">
        <v>42</v>
      </c>
      <c r="AN40" s="10" t="s">
        <v>42</v>
      </c>
      <c r="AO40" s="10" t="s">
        <v>42</v>
      </c>
      <c r="AP40" s="10" t="s">
        <v>42</v>
      </c>
    </row>
  </sheetData>
  <conditionalFormatting sqref="B2:N28">
    <cfRule type="cellIs" dxfId="42" priority="6" operator="equal">
      <formula>18</formula>
    </cfRule>
    <cfRule type="cellIs" dxfId="41" priority="7" operator="equal">
      <formula>16</formula>
    </cfRule>
    <cfRule type="cellIs" dxfId="40" priority="8" operator="equal">
      <formula>14</formula>
    </cfRule>
    <cfRule type="cellIs" dxfId="39" priority="9" operator="equal">
      <formula>12</formula>
    </cfRule>
    <cfRule type="cellIs" dxfId="38" priority="10" operator="equal">
      <formula>10</formula>
    </cfRule>
    <cfRule type="cellIs" dxfId="37" priority="11" operator="equal">
      <formula>8</formula>
    </cfRule>
    <cfRule type="cellIs" dxfId="36" priority="12" operator="equal">
      <formula>6</formula>
    </cfRule>
    <cfRule type="cellIs" dxfId="35" priority="13" operator="equal">
      <formula>4</formula>
    </cfRule>
    <cfRule type="cellIs" dxfId="34" priority="14" operator="equal">
      <formula>2</formula>
    </cfRule>
    <cfRule type="cellIs" dxfId="33" priority="15" operator="equal">
      <formula>19</formula>
    </cfRule>
    <cfRule type="cellIs" dxfId="32" priority="16" operator="equal">
      <formula>1</formula>
    </cfRule>
  </conditionalFormatting>
  <conditionalFormatting sqref="B30:N30">
    <cfRule type="expression" dxfId="31" priority="29">
      <formula>AND(B30&gt;9.4, B30&lt;10.6)</formula>
    </cfRule>
  </conditionalFormatting>
  <conditionalFormatting sqref="B31:N31">
    <cfRule type="expression" dxfId="30" priority="28">
      <formula>AND(B31&gt;2.7, B31&lt;3.3)</formula>
    </cfRule>
  </conditionalFormatting>
  <conditionalFormatting sqref="B30:O30">
    <cfRule type="cellIs" dxfId="29" priority="32" operator="lessThan">
      <formula>9.5</formula>
    </cfRule>
    <cfRule type="cellIs" dxfId="28" priority="33" operator="greaterThan">
      <formula>10.5</formula>
    </cfRule>
  </conditionalFormatting>
  <conditionalFormatting sqref="B31:O31">
    <cfRule type="cellIs" dxfId="27" priority="30" operator="lessThan">
      <formula>2.5</formula>
    </cfRule>
    <cfRule type="cellIs" dxfId="26" priority="31" operator="greaterThan">
      <formula>3.5</formula>
    </cfRule>
  </conditionalFormatting>
  <conditionalFormatting sqref="P2:R28">
    <cfRule type="expression" dxfId="25" priority="1">
      <formula>P2&lt;0</formula>
    </cfRule>
  </conditionalFormatting>
  <conditionalFormatting sqref="S2:AA28">
    <cfRule type="expression" dxfId="24" priority="3">
      <formula>S2&gt;0</formula>
    </cfRule>
  </conditionalFormatting>
  <conditionalFormatting sqref="AC2:AO28">
    <cfRule type="expression" dxfId="23" priority="2">
      <formula>AC2&lt;0</formula>
    </cfRule>
  </conditionalFormatting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"/>
  <sheetViews>
    <sheetView zoomScaleNormal="100" workbookViewId="0">
      <selection activeCell="B30" sqref="B30"/>
    </sheetView>
  </sheetViews>
  <sheetFormatPr defaultColWidth="11.42578125" defaultRowHeight="12" customHeight="1" x14ac:dyDescent="0.2"/>
  <cols>
    <col min="1" max="1" width="6.7109375" bestFit="1" customWidth="1"/>
    <col min="2" max="2" width="42.7109375" bestFit="1" customWidth="1"/>
    <col min="3" max="3" width="41.7109375" bestFit="1" customWidth="1"/>
    <col min="4" max="5" width="42.7109375" bestFit="1" customWidth="1"/>
    <col min="6" max="6" width="39.7109375" bestFit="1" customWidth="1"/>
    <col min="7" max="8" width="42.7109375" bestFit="1" customWidth="1"/>
    <col min="9" max="10" width="39.7109375" bestFit="1" customWidth="1"/>
    <col min="11" max="11" width="41.7109375" bestFit="1" customWidth="1"/>
    <col min="12" max="12" width="39.7109375" bestFit="1" customWidth="1"/>
    <col min="13" max="13" width="44.7109375" bestFit="1" customWidth="1"/>
    <col min="14" max="14" width="42.7109375" bestFit="1" customWidth="1"/>
    <col min="15" max="15" width="16.7109375" bestFit="1" customWidth="1"/>
    <col min="16" max="16" width="17.7109375" bestFit="1" customWidth="1"/>
    <col min="17" max="17" width="16.7109375" bestFit="1" customWidth="1"/>
    <col min="18" max="19" width="17.7109375" bestFit="1" customWidth="1"/>
    <col min="20" max="20" width="16.7109375" bestFit="1" customWidth="1"/>
    <col min="21" max="22" width="17.7109375" bestFit="1" customWidth="1"/>
    <col min="23" max="26" width="16.7109375" bestFit="1" customWidth="1"/>
    <col min="27" max="28" width="17.7109375" bestFit="1" customWidth="1"/>
  </cols>
  <sheetData>
    <row r="1" spans="1:28" ht="14.1" customHeight="1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</row>
    <row r="2" spans="1:28" ht="14.1" customHeight="1" x14ac:dyDescent="0.2">
      <c r="A2" s="2">
        <v>0</v>
      </c>
      <c r="B2" s="2" t="s">
        <v>83</v>
      </c>
      <c r="C2" s="2" t="s">
        <v>83</v>
      </c>
      <c r="D2" s="2" t="s">
        <v>83</v>
      </c>
      <c r="E2" s="2" t="s">
        <v>83</v>
      </c>
      <c r="F2" s="2">
        <v>1</v>
      </c>
      <c r="G2" s="2" t="s">
        <v>83</v>
      </c>
      <c r="H2" s="2" t="s">
        <v>83</v>
      </c>
      <c r="I2" s="2" t="s">
        <v>83</v>
      </c>
      <c r="J2" s="2" t="s">
        <v>83</v>
      </c>
      <c r="K2" s="2">
        <v>1.0015127225</v>
      </c>
      <c r="L2" s="2">
        <v>0.85704792649999995</v>
      </c>
      <c r="M2" s="2" t="s">
        <v>83</v>
      </c>
      <c r="N2" s="2" t="s">
        <v>83</v>
      </c>
      <c r="O2" s="2" t="s">
        <v>42</v>
      </c>
      <c r="P2" s="2">
        <f>Hdsmth!B2^2</f>
        <v>1</v>
      </c>
      <c r="Q2" s="2">
        <f>Hdsmth!C2^2</f>
        <v>1</v>
      </c>
      <c r="R2" s="2">
        <f>Hdsmth!D2^2</f>
        <v>1</v>
      </c>
      <c r="S2" s="2">
        <f>Hdsmth!E2^2</f>
        <v>1</v>
      </c>
      <c r="T2" s="2">
        <f>Hdsmth!F2^2</f>
        <v>1</v>
      </c>
      <c r="U2" s="2">
        <f>Hdsmth!G2^2</f>
        <v>1</v>
      </c>
      <c r="V2" s="2">
        <f>Hdsmth!H2^2</f>
        <v>1</v>
      </c>
      <c r="W2" s="2">
        <f>Hdsmth!I2^2</f>
        <v>1</v>
      </c>
      <c r="X2" s="2">
        <f>Hdsmth!J2^2</f>
        <v>1</v>
      </c>
      <c r="Y2" s="2">
        <f>Hdsmth!K2^2</f>
        <v>1</v>
      </c>
      <c r="Z2" s="2">
        <f>Hdsmth!L2^2</f>
        <v>1</v>
      </c>
      <c r="AA2" s="2">
        <f>Hdsmth!M2^2</f>
        <v>1</v>
      </c>
      <c r="AB2" s="2">
        <f>Hdsmth!N2^2</f>
        <v>1</v>
      </c>
    </row>
    <row r="3" spans="1:28" ht="14.1" customHeight="1" x14ac:dyDescent="0.2">
      <c r="A3" s="2">
        <v>1</v>
      </c>
      <c r="B3" s="2" t="s">
        <v>83</v>
      </c>
      <c r="C3" s="2" t="s">
        <v>83</v>
      </c>
      <c r="D3" s="2" t="s">
        <v>83</v>
      </c>
      <c r="E3" s="2" t="s">
        <v>83</v>
      </c>
      <c r="F3" s="2" t="s">
        <v>83</v>
      </c>
      <c r="G3" s="2">
        <v>1</v>
      </c>
      <c r="H3" s="2" t="s">
        <v>83</v>
      </c>
      <c r="I3" s="2" t="s">
        <v>83</v>
      </c>
      <c r="J3" s="2" t="s">
        <v>83</v>
      </c>
      <c r="K3" s="2" t="s">
        <v>83</v>
      </c>
      <c r="L3" s="2" t="s">
        <v>83</v>
      </c>
      <c r="M3" s="2" t="s">
        <v>83</v>
      </c>
      <c r="N3" s="2" t="s">
        <v>83</v>
      </c>
      <c r="O3" s="2" t="s">
        <v>42</v>
      </c>
      <c r="P3" s="2">
        <f>Hdsmth!B3^2</f>
        <v>1</v>
      </c>
      <c r="Q3" s="2">
        <f>Hdsmth!C3^2</f>
        <v>1</v>
      </c>
      <c r="R3" s="2">
        <f>Hdsmth!D3^2</f>
        <v>1</v>
      </c>
      <c r="S3" s="2">
        <f>Hdsmth!E3^2</f>
        <v>4</v>
      </c>
      <c r="T3" s="2">
        <f>Hdsmth!F3^2</f>
        <v>4</v>
      </c>
      <c r="U3" s="2">
        <f>Hdsmth!G3^2</f>
        <v>4</v>
      </c>
      <c r="V3" s="2">
        <f>Hdsmth!H3^2</f>
        <v>4</v>
      </c>
      <c r="W3" s="2">
        <f>Hdsmth!I3^2</f>
        <v>4</v>
      </c>
      <c r="X3" s="2">
        <f>Hdsmth!J3^2</f>
        <v>9</v>
      </c>
      <c r="Y3" s="2">
        <f>Hdsmth!K3^2</f>
        <v>9</v>
      </c>
      <c r="Z3" s="2">
        <f>Hdsmth!L3^2</f>
        <v>4</v>
      </c>
      <c r="AA3" s="2">
        <f>Hdsmth!M3^2</f>
        <v>1</v>
      </c>
      <c r="AB3" s="2">
        <f>Hdsmth!N3^2</f>
        <v>1</v>
      </c>
    </row>
    <row r="4" spans="1:28" ht="14.1" customHeight="1" x14ac:dyDescent="0.2">
      <c r="A4" s="2">
        <v>2</v>
      </c>
      <c r="B4" s="2" t="s">
        <v>83</v>
      </c>
      <c r="C4" s="2" t="s">
        <v>83</v>
      </c>
      <c r="D4" s="2" t="s">
        <v>83</v>
      </c>
      <c r="E4" s="2" t="s">
        <v>83</v>
      </c>
      <c r="F4" s="2" t="s">
        <v>83</v>
      </c>
      <c r="G4" s="2">
        <v>1</v>
      </c>
      <c r="H4" s="2" t="s">
        <v>83</v>
      </c>
      <c r="I4" s="2">
        <v>1</v>
      </c>
      <c r="J4" s="2" t="s">
        <v>83</v>
      </c>
      <c r="K4" s="2">
        <v>1.0015127225</v>
      </c>
      <c r="L4" s="2">
        <v>0.85704792649999995</v>
      </c>
      <c r="M4" s="2" t="s">
        <v>83</v>
      </c>
      <c r="N4" s="2" t="s">
        <v>83</v>
      </c>
      <c r="O4" s="2" t="s">
        <v>42</v>
      </c>
      <c r="P4" s="2">
        <f>Hdsmth!B4^2</f>
        <v>4</v>
      </c>
      <c r="Q4" s="2">
        <f>Hdsmth!C4^2</f>
        <v>4</v>
      </c>
      <c r="R4" s="2">
        <f>Hdsmth!D4^2</f>
        <v>4</v>
      </c>
      <c r="S4" s="2">
        <f>Hdsmth!E4^2</f>
        <v>4</v>
      </c>
      <c r="T4" s="2">
        <f>Hdsmth!F4^2</f>
        <v>4</v>
      </c>
      <c r="U4" s="2">
        <f>Hdsmth!G4^2</f>
        <v>4</v>
      </c>
      <c r="V4" s="2">
        <f>Hdsmth!H4^2</f>
        <v>9</v>
      </c>
      <c r="W4" s="2">
        <f>Hdsmth!I4^2</f>
        <v>9</v>
      </c>
      <c r="X4" s="2">
        <f>Hdsmth!J4^2</f>
        <v>9</v>
      </c>
      <c r="Y4" s="2">
        <f>Hdsmth!K4^2</f>
        <v>9</v>
      </c>
      <c r="Z4" s="2">
        <f>Hdsmth!L4^2</f>
        <v>9</v>
      </c>
      <c r="AA4" s="2">
        <f>Hdsmth!M4^2</f>
        <v>9</v>
      </c>
      <c r="AB4" s="2">
        <f>Hdsmth!N4^2</f>
        <v>16</v>
      </c>
    </row>
    <row r="5" spans="1:28" ht="14.1" customHeight="1" x14ac:dyDescent="0.2">
      <c r="A5" s="2">
        <v>3</v>
      </c>
      <c r="B5" s="2">
        <v>1</v>
      </c>
      <c r="C5" s="2">
        <v>1</v>
      </c>
      <c r="D5" s="2" t="s">
        <v>83</v>
      </c>
      <c r="E5" s="2">
        <v>1</v>
      </c>
      <c r="F5" s="2">
        <v>1</v>
      </c>
      <c r="G5" s="2" t="s">
        <v>83</v>
      </c>
      <c r="H5" s="2" t="s">
        <v>83</v>
      </c>
      <c r="I5" s="2" t="s">
        <v>83</v>
      </c>
      <c r="J5" s="2" t="s">
        <v>83</v>
      </c>
      <c r="K5" s="2">
        <v>1.013492753</v>
      </c>
      <c r="L5" s="2">
        <v>1.0964314042000001</v>
      </c>
      <c r="M5" s="2">
        <v>2.5290670512000002</v>
      </c>
      <c r="N5" s="2" t="s">
        <v>83</v>
      </c>
      <c r="O5" s="2" t="s">
        <v>42</v>
      </c>
      <c r="P5" s="2">
        <f>Hdsmth!B5^2</f>
        <v>4</v>
      </c>
      <c r="Q5" s="2">
        <f>Hdsmth!C5^2</f>
        <v>4</v>
      </c>
      <c r="R5" s="2">
        <f>Hdsmth!D5^2</f>
        <v>4</v>
      </c>
      <c r="S5" s="2">
        <f>Hdsmth!E5^2</f>
        <v>9</v>
      </c>
      <c r="T5" s="2">
        <f>Hdsmth!F5^2</f>
        <v>9</v>
      </c>
      <c r="U5" s="2">
        <f>Hdsmth!G5^2</f>
        <v>9</v>
      </c>
      <c r="V5" s="2">
        <f>Hdsmth!H5^2</f>
        <v>9</v>
      </c>
      <c r="W5" s="2">
        <f>Hdsmth!I5^2</f>
        <v>9</v>
      </c>
      <c r="X5" s="2">
        <f>Hdsmth!J5^2</f>
        <v>16</v>
      </c>
      <c r="Y5" s="2">
        <f>Hdsmth!K5^2</f>
        <v>16</v>
      </c>
      <c r="Z5" s="2">
        <f>Hdsmth!L5^2</f>
        <v>16</v>
      </c>
      <c r="AA5" s="2">
        <f>Hdsmth!M5^2</f>
        <v>25</v>
      </c>
      <c r="AB5" s="2">
        <f>Hdsmth!N5^2</f>
        <v>36</v>
      </c>
    </row>
    <row r="6" spans="1:28" ht="14.1" customHeight="1" x14ac:dyDescent="0.2">
      <c r="A6" s="2">
        <v>4</v>
      </c>
      <c r="B6" s="2" t="s">
        <v>83</v>
      </c>
      <c r="C6" s="2" t="s">
        <v>83</v>
      </c>
      <c r="D6" s="2" t="s">
        <v>83</v>
      </c>
      <c r="E6" s="2" t="s">
        <v>83</v>
      </c>
      <c r="F6" s="2" t="s">
        <v>83</v>
      </c>
      <c r="G6" s="2" t="s">
        <v>83</v>
      </c>
      <c r="H6" s="2" t="s">
        <v>83</v>
      </c>
      <c r="I6" s="2" t="s">
        <v>83</v>
      </c>
      <c r="J6" s="2" t="s">
        <v>83</v>
      </c>
      <c r="K6" s="2" t="s">
        <v>83</v>
      </c>
      <c r="L6" s="2">
        <v>1.9534793306</v>
      </c>
      <c r="M6" s="2">
        <v>0.73668424529999998</v>
      </c>
      <c r="N6" s="2" t="s">
        <v>83</v>
      </c>
      <c r="O6" s="2" t="s">
        <v>42</v>
      </c>
      <c r="P6" s="2">
        <f>Hdsmth!B6^2</f>
        <v>9</v>
      </c>
      <c r="Q6" s="2">
        <f>Hdsmth!C6^2</f>
        <v>9</v>
      </c>
      <c r="R6" s="2">
        <f>Hdsmth!D6^2</f>
        <v>9</v>
      </c>
      <c r="S6" s="2">
        <f>Hdsmth!E6^2</f>
        <v>9</v>
      </c>
      <c r="T6" s="2">
        <f>Hdsmth!F6^2</f>
        <v>9</v>
      </c>
      <c r="U6" s="2">
        <f>Hdsmth!G6^2</f>
        <v>9</v>
      </c>
      <c r="V6" s="2">
        <f>Hdsmth!H6^2</f>
        <v>16</v>
      </c>
      <c r="W6" s="2">
        <f>Hdsmth!I6^2</f>
        <v>16</v>
      </c>
      <c r="X6" s="2">
        <f>Hdsmth!J6^2</f>
        <v>16</v>
      </c>
      <c r="Y6" s="2">
        <f>Hdsmth!K6^2</f>
        <v>25</v>
      </c>
      <c r="Z6" s="2">
        <f>Hdsmth!L6^2</f>
        <v>25</v>
      </c>
      <c r="AA6" s="2">
        <f>Hdsmth!M6^2</f>
        <v>36</v>
      </c>
      <c r="AB6" s="2">
        <f>Hdsmth!N6^2</f>
        <v>49</v>
      </c>
    </row>
    <row r="7" spans="1:28" ht="14.1" customHeight="1" x14ac:dyDescent="0.2">
      <c r="A7" s="2">
        <v>5</v>
      </c>
      <c r="B7" s="2">
        <v>1</v>
      </c>
      <c r="C7" s="2" t="s">
        <v>83</v>
      </c>
      <c r="D7" s="2" t="s">
        <v>83</v>
      </c>
      <c r="E7" s="2">
        <v>1</v>
      </c>
      <c r="F7" s="2" t="s">
        <v>83</v>
      </c>
      <c r="G7" s="2">
        <v>1.1280165362000001</v>
      </c>
      <c r="H7" s="2" t="s">
        <v>83</v>
      </c>
      <c r="I7" s="2" t="s">
        <v>83</v>
      </c>
      <c r="J7" s="2">
        <v>1.0237183540000001</v>
      </c>
      <c r="K7" s="2">
        <v>2.0150054755000002</v>
      </c>
      <c r="L7" s="2">
        <v>0.85704792649999995</v>
      </c>
      <c r="M7" s="2">
        <v>5.3771484178</v>
      </c>
      <c r="N7" s="2">
        <v>1.9046059711000001</v>
      </c>
      <c r="O7" s="2" t="s">
        <v>42</v>
      </c>
      <c r="P7" s="2">
        <f>Hdsmth!B7^2</f>
        <v>9</v>
      </c>
      <c r="Q7" s="2">
        <f>Hdsmth!C7^2</f>
        <v>9</v>
      </c>
      <c r="R7" s="2">
        <f>Hdsmth!D7^2</f>
        <v>9</v>
      </c>
      <c r="S7" s="2">
        <f>Hdsmth!E7^2</f>
        <v>9</v>
      </c>
      <c r="T7" s="2">
        <f>Hdsmth!F7^2</f>
        <v>16</v>
      </c>
      <c r="U7" s="2">
        <f>Hdsmth!G7^2</f>
        <v>16</v>
      </c>
      <c r="V7" s="2">
        <f>Hdsmth!H7^2</f>
        <v>16</v>
      </c>
      <c r="W7" s="2">
        <f>Hdsmth!I7^2</f>
        <v>16</v>
      </c>
      <c r="X7" s="2">
        <f>Hdsmth!J7^2</f>
        <v>25</v>
      </c>
      <c r="Y7" s="2">
        <f>Hdsmth!K7^2</f>
        <v>25</v>
      </c>
      <c r="Z7" s="2">
        <f>Hdsmth!L7^2</f>
        <v>36</v>
      </c>
      <c r="AA7" s="2">
        <f>Hdsmth!M7^2</f>
        <v>36</v>
      </c>
      <c r="AB7" s="2">
        <f>Hdsmth!N7^2</f>
        <v>49</v>
      </c>
    </row>
    <row r="8" spans="1:28" ht="14.1" customHeight="1" x14ac:dyDescent="0.2">
      <c r="A8" s="2">
        <v>6</v>
      </c>
      <c r="B8" s="2">
        <v>1.0401201073999999</v>
      </c>
      <c r="C8" s="2" t="s">
        <v>83</v>
      </c>
      <c r="D8" s="2" t="s">
        <v>83</v>
      </c>
      <c r="E8" s="2">
        <v>1.0717130377999999</v>
      </c>
      <c r="F8" s="2" t="s">
        <v>83</v>
      </c>
      <c r="G8" s="2">
        <v>1.1280165362000001</v>
      </c>
      <c r="H8" s="2">
        <v>2.9149130986</v>
      </c>
      <c r="I8" s="2">
        <v>1.825669937</v>
      </c>
      <c r="J8" s="2">
        <v>5.1157477698999996</v>
      </c>
      <c r="K8" s="2">
        <v>1.013492753</v>
      </c>
      <c r="L8" s="2">
        <v>3.9069586613</v>
      </c>
      <c r="M8" s="2">
        <v>7.9571044720000002</v>
      </c>
      <c r="N8" s="2">
        <v>5.9569950211</v>
      </c>
      <c r="O8" s="2" t="s">
        <v>42</v>
      </c>
      <c r="P8" s="2">
        <f>Hdsmth!B8^2</f>
        <v>16</v>
      </c>
      <c r="Q8" s="2">
        <f>Hdsmth!C8^2</f>
        <v>16</v>
      </c>
      <c r="R8" s="2">
        <f>Hdsmth!D8^2</f>
        <v>16</v>
      </c>
      <c r="S8" s="2">
        <f>Hdsmth!E8^2</f>
        <v>16</v>
      </c>
      <c r="T8" s="2">
        <f>Hdsmth!F8^2</f>
        <v>16</v>
      </c>
      <c r="U8" s="2">
        <f>Hdsmth!G8^2</f>
        <v>16</v>
      </c>
      <c r="V8" s="2">
        <f>Hdsmth!H8^2</f>
        <v>16</v>
      </c>
      <c r="W8" s="2">
        <f>Hdsmth!I8^2</f>
        <v>25</v>
      </c>
      <c r="X8" s="2">
        <f>Hdsmth!J8^2</f>
        <v>25</v>
      </c>
      <c r="Y8" s="2">
        <f>Hdsmth!K8^2</f>
        <v>36</v>
      </c>
      <c r="Z8" s="2">
        <f>Hdsmth!L8^2</f>
        <v>36</v>
      </c>
      <c r="AA8" s="2">
        <f>Hdsmth!M8^2</f>
        <v>49</v>
      </c>
      <c r="AB8" s="2">
        <f>Hdsmth!N8^2</f>
        <v>64</v>
      </c>
    </row>
    <row r="9" spans="1:28" ht="14.1" customHeight="1" x14ac:dyDescent="0.2">
      <c r="A9" s="2">
        <v>7</v>
      </c>
      <c r="B9" s="2">
        <v>3.0292179487999999</v>
      </c>
      <c r="C9" s="2">
        <v>0.99995337100000004</v>
      </c>
      <c r="D9" s="2">
        <v>1</v>
      </c>
      <c r="E9" s="2">
        <v>3.1985798011000002</v>
      </c>
      <c r="F9" s="2" t="s">
        <v>83</v>
      </c>
      <c r="G9" s="2">
        <v>1.0272850764999999</v>
      </c>
      <c r="H9" s="2">
        <v>1.9857721800999999</v>
      </c>
      <c r="I9" s="2">
        <v>4.6094664349999999</v>
      </c>
      <c r="J9" s="2">
        <v>2.0710255205000001</v>
      </c>
      <c r="K9" s="2">
        <v>4.0300109511000004</v>
      </c>
      <c r="L9" s="2">
        <v>2.8105272571</v>
      </c>
      <c r="M9" s="2">
        <v>5.3771484178</v>
      </c>
      <c r="N9" s="2">
        <v>1.9046059711000001</v>
      </c>
      <c r="O9" s="2" t="s">
        <v>42</v>
      </c>
      <c r="P9" s="2">
        <f>Hdsmth!B9^2</f>
        <v>16</v>
      </c>
      <c r="Q9" s="2">
        <f>Hdsmth!C9^2</f>
        <v>16</v>
      </c>
      <c r="R9" s="2">
        <f>Hdsmth!D9^2</f>
        <v>16</v>
      </c>
      <c r="S9" s="2">
        <f>Hdsmth!E9^2</f>
        <v>16</v>
      </c>
      <c r="T9" s="2">
        <f>Hdsmth!F9^2</f>
        <v>16</v>
      </c>
      <c r="U9" s="2">
        <f>Hdsmth!G9^2</f>
        <v>25</v>
      </c>
      <c r="V9" s="2">
        <f>Hdsmth!H9^2</f>
        <v>25</v>
      </c>
      <c r="W9" s="2">
        <f>Hdsmth!I9^2</f>
        <v>25</v>
      </c>
      <c r="X9" s="2">
        <f>Hdsmth!J9^2</f>
        <v>36</v>
      </c>
      <c r="Y9" s="2">
        <f>Hdsmth!K9^2</f>
        <v>36</v>
      </c>
      <c r="Z9" s="2">
        <f>Hdsmth!L9^2</f>
        <v>49</v>
      </c>
      <c r="AA9" s="2">
        <f>Hdsmth!M9^2</f>
        <v>64</v>
      </c>
      <c r="AB9" s="2">
        <f>Hdsmth!N9^2</f>
        <v>81</v>
      </c>
    </row>
    <row r="10" spans="1:28" ht="14.1" customHeight="1" x14ac:dyDescent="0.2">
      <c r="A10" s="2">
        <v>8</v>
      </c>
      <c r="B10" s="2">
        <v>0.94663507390000001</v>
      </c>
      <c r="C10" s="2">
        <v>0.96556612760000005</v>
      </c>
      <c r="D10" s="2">
        <v>1.1487535893</v>
      </c>
      <c r="E10" s="2">
        <v>1.0717130377999999</v>
      </c>
      <c r="F10" s="2">
        <v>2.9740905442000001</v>
      </c>
      <c r="G10" s="2">
        <v>0.94618362310000004</v>
      </c>
      <c r="H10" s="2">
        <v>4.9916752568999998</v>
      </c>
      <c r="I10" s="2">
        <v>1.8125030709000001</v>
      </c>
      <c r="J10" s="2">
        <v>7.9668028350000002</v>
      </c>
      <c r="K10" s="2">
        <v>5.0195436430999996</v>
      </c>
      <c r="L10" s="2">
        <v>4.1127021738999998</v>
      </c>
      <c r="M10" s="2">
        <v>8.2063164949999994</v>
      </c>
      <c r="N10" s="2">
        <v>5.1933881518999998</v>
      </c>
      <c r="O10" s="2" t="s">
        <v>42</v>
      </c>
      <c r="P10" s="2">
        <f>Hdsmth!B10^2</f>
        <v>25</v>
      </c>
      <c r="Q10" s="2">
        <f>Hdsmth!C10^2</f>
        <v>25</v>
      </c>
      <c r="R10" s="2">
        <f>Hdsmth!D10^2</f>
        <v>25</v>
      </c>
      <c r="S10" s="2">
        <f>Hdsmth!E10^2</f>
        <v>25</v>
      </c>
      <c r="T10" s="2">
        <f>Hdsmth!F10^2</f>
        <v>25</v>
      </c>
      <c r="U10" s="2">
        <f>Hdsmth!G10^2</f>
        <v>25</v>
      </c>
      <c r="V10" s="2">
        <f>Hdsmth!H10^2</f>
        <v>25</v>
      </c>
      <c r="W10" s="2">
        <f>Hdsmth!I10^2</f>
        <v>36</v>
      </c>
      <c r="X10" s="2">
        <f>Hdsmth!J10^2</f>
        <v>49</v>
      </c>
      <c r="Y10" s="2">
        <f>Hdsmth!K10^2</f>
        <v>49</v>
      </c>
      <c r="Z10" s="2">
        <f>Hdsmth!L10^2</f>
        <v>64</v>
      </c>
      <c r="AA10" s="2">
        <f>Hdsmth!M10^2</f>
        <v>81</v>
      </c>
      <c r="AB10" s="2">
        <f>Hdsmth!N10^2</f>
        <v>81</v>
      </c>
    </row>
    <row r="11" spans="1:28" ht="14.1" customHeight="1" x14ac:dyDescent="0.2">
      <c r="A11" s="2">
        <v>9</v>
      </c>
      <c r="B11" s="2">
        <v>3.0501613592000001</v>
      </c>
      <c r="C11" s="2">
        <v>2.0000582393999999</v>
      </c>
      <c r="D11" s="2" t="s">
        <v>83</v>
      </c>
      <c r="E11" s="2">
        <v>1.9245785589</v>
      </c>
      <c r="F11" s="2">
        <v>3.0512690777999998</v>
      </c>
      <c r="G11" s="2" t="s">
        <v>83</v>
      </c>
      <c r="H11" s="2">
        <v>4.8065506507000002</v>
      </c>
      <c r="I11" s="2">
        <v>6.6987799666000001</v>
      </c>
      <c r="J11" s="2">
        <v>5.7941050759000001</v>
      </c>
      <c r="K11" s="2">
        <v>6.1378394349000001</v>
      </c>
      <c r="L11" s="2">
        <v>1.9534793306</v>
      </c>
      <c r="M11" s="2">
        <v>8.0507582731999996</v>
      </c>
      <c r="N11" s="2">
        <v>2.8406095635000002</v>
      </c>
      <c r="O11" s="2" t="s">
        <v>42</v>
      </c>
      <c r="P11" s="2">
        <f>Hdsmth!B11^2</f>
        <v>25</v>
      </c>
      <c r="Q11" s="2">
        <f>Hdsmth!C11^2</f>
        <v>25</v>
      </c>
      <c r="R11" s="2">
        <f>Hdsmth!D11^2</f>
        <v>25</v>
      </c>
      <c r="S11" s="2">
        <f>Hdsmth!E11^2</f>
        <v>25</v>
      </c>
      <c r="T11" s="2">
        <f>Hdsmth!F11^2</f>
        <v>25</v>
      </c>
      <c r="U11" s="2">
        <f>Hdsmth!G11^2</f>
        <v>36</v>
      </c>
      <c r="V11" s="2">
        <f>Hdsmth!H11^2</f>
        <v>36</v>
      </c>
      <c r="W11" s="2">
        <f>Hdsmth!I11^2</f>
        <v>49</v>
      </c>
      <c r="X11" s="2">
        <f>Hdsmth!J11^2</f>
        <v>49</v>
      </c>
      <c r="Y11" s="2">
        <f>Hdsmth!K11^2</f>
        <v>64</v>
      </c>
      <c r="Z11" s="2">
        <f>Hdsmth!L11^2</f>
        <v>64</v>
      </c>
      <c r="AA11" s="2">
        <f>Hdsmth!M11^2</f>
        <v>81</v>
      </c>
      <c r="AB11" s="2">
        <f>Hdsmth!N11^2</f>
        <v>100</v>
      </c>
    </row>
    <row r="12" spans="1:28" ht="14.1" customHeight="1" x14ac:dyDescent="0.2">
      <c r="A12" s="2">
        <v>10</v>
      </c>
      <c r="B12" s="2">
        <v>6.8155332491999996</v>
      </c>
      <c r="C12" s="2" t="s">
        <v>83</v>
      </c>
      <c r="D12" s="2">
        <v>4.8114257333000001</v>
      </c>
      <c r="E12" s="2">
        <v>1.1181452608</v>
      </c>
      <c r="F12" s="2">
        <v>1.0979704123</v>
      </c>
      <c r="G12" s="2">
        <v>2.9944319442</v>
      </c>
      <c r="H12" s="2">
        <v>1.9840346301</v>
      </c>
      <c r="I12" s="2">
        <v>4.8574800359000001</v>
      </c>
      <c r="J12" s="2">
        <v>5.1893582074999998</v>
      </c>
      <c r="K12" s="2">
        <v>5.8788034736999997</v>
      </c>
      <c r="L12" s="2">
        <v>3.2318568333000002</v>
      </c>
      <c r="M12" s="2">
        <v>3.0604114660000001</v>
      </c>
      <c r="N12" s="2">
        <v>1.7335122031000001</v>
      </c>
      <c r="O12" s="2" t="s">
        <v>42</v>
      </c>
      <c r="P12" s="2">
        <f>Hdsmth!B12^2</f>
        <v>36</v>
      </c>
      <c r="Q12" s="2">
        <f>Hdsmth!C12^2</f>
        <v>36</v>
      </c>
      <c r="R12" s="2">
        <f>Hdsmth!D12^2</f>
        <v>36</v>
      </c>
      <c r="S12" s="2">
        <f>Hdsmth!E12^2</f>
        <v>36</v>
      </c>
      <c r="T12" s="2">
        <f>Hdsmth!F12^2</f>
        <v>36</v>
      </c>
      <c r="U12" s="2">
        <f>Hdsmth!G12^2</f>
        <v>36</v>
      </c>
      <c r="V12" s="2">
        <f>Hdsmth!H12^2</f>
        <v>49</v>
      </c>
      <c r="W12" s="2">
        <f>Hdsmth!I12^2</f>
        <v>49</v>
      </c>
      <c r="X12" s="2">
        <f>Hdsmth!J12^2</f>
        <v>64</v>
      </c>
      <c r="Y12" s="2">
        <f>Hdsmth!K12^2</f>
        <v>64</v>
      </c>
      <c r="Z12" s="2">
        <f>Hdsmth!L12^2</f>
        <v>81</v>
      </c>
      <c r="AA12" s="2">
        <f>Hdsmth!M12^2</f>
        <v>100</v>
      </c>
      <c r="AB12" s="2">
        <f>Hdsmth!N12^2</f>
        <v>100</v>
      </c>
    </row>
    <row r="13" spans="1:28" ht="14.1" customHeight="1" x14ac:dyDescent="0.2">
      <c r="A13" s="2">
        <v>11</v>
      </c>
      <c r="B13" s="2">
        <v>5.7945213486</v>
      </c>
      <c r="C13" s="2">
        <v>3.8966553708</v>
      </c>
      <c r="D13" s="2">
        <v>1.9617608535</v>
      </c>
      <c r="E13" s="2">
        <v>4.1529677358999999</v>
      </c>
      <c r="F13" s="2">
        <v>0.99787929190000002</v>
      </c>
      <c r="G13" s="2">
        <v>4.1287703122000003</v>
      </c>
      <c r="H13" s="2" t="s">
        <v>83</v>
      </c>
      <c r="I13" s="2">
        <v>3.7229651986999999</v>
      </c>
      <c r="J13" s="2">
        <v>4.8686058876000002</v>
      </c>
      <c r="K13" s="2">
        <v>7.0617581881999998</v>
      </c>
      <c r="L13" s="2">
        <v>4.8726079131000004</v>
      </c>
      <c r="M13" s="2">
        <v>5.1992295736000003</v>
      </c>
      <c r="N13" s="2">
        <v>1.1409991019000001</v>
      </c>
      <c r="O13" s="2" t="s">
        <v>42</v>
      </c>
      <c r="P13" s="2">
        <f>Hdsmth!B13^2</f>
        <v>49</v>
      </c>
      <c r="Q13" s="2">
        <f>Hdsmth!C13^2</f>
        <v>49</v>
      </c>
      <c r="R13" s="2">
        <f>Hdsmth!D13^2</f>
        <v>36</v>
      </c>
      <c r="S13" s="2">
        <f>Hdsmth!E13^2</f>
        <v>36</v>
      </c>
      <c r="T13" s="2">
        <f>Hdsmth!F13^2</f>
        <v>49</v>
      </c>
      <c r="U13" s="2">
        <f>Hdsmth!G13^2</f>
        <v>49</v>
      </c>
      <c r="V13" s="2">
        <f>Hdsmth!H13^2</f>
        <v>49</v>
      </c>
      <c r="W13" s="2">
        <f>Hdsmth!I13^2</f>
        <v>64</v>
      </c>
      <c r="X13" s="2">
        <f>Hdsmth!J13^2</f>
        <v>64</v>
      </c>
      <c r="Y13" s="2">
        <f>Hdsmth!K13^2</f>
        <v>81</v>
      </c>
      <c r="Z13" s="2">
        <f>Hdsmth!L13^2</f>
        <v>100</v>
      </c>
      <c r="AA13" s="2">
        <f>Hdsmth!M13^2</f>
        <v>100</v>
      </c>
      <c r="AB13" s="2">
        <f>Hdsmth!N13^2</f>
        <v>121</v>
      </c>
    </row>
    <row r="14" spans="1:28" ht="14.1" customHeight="1" x14ac:dyDescent="0.2">
      <c r="A14" s="2">
        <v>12</v>
      </c>
      <c r="B14" s="2">
        <v>5.9789237600999998</v>
      </c>
      <c r="C14" s="2">
        <v>2.9654764866000001</v>
      </c>
      <c r="D14" s="2">
        <v>3.9360607390000002</v>
      </c>
      <c r="E14" s="2">
        <v>4.1528308049999998</v>
      </c>
      <c r="F14" s="2">
        <v>5.9715990713</v>
      </c>
      <c r="G14" s="2">
        <v>3.0587143490000002</v>
      </c>
      <c r="H14" s="2">
        <v>3.9715443601999998</v>
      </c>
      <c r="I14" s="2">
        <v>2.0363812723999999</v>
      </c>
      <c r="J14" s="2">
        <v>5.9901689907</v>
      </c>
      <c r="K14" s="2">
        <v>5.1298591891000003</v>
      </c>
      <c r="L14" s="2">
        <v>1.1507320668000001</v>
      </c>
      <c r="M14" s="2">
        <v>0.79946972729999999</v>
      </c>
      <c r="N14" s="2">
        <v>2.2819982038000002</v>
      </c>
      <c r="O14" s="2" t="s">
        <v>42</v>
      </c>
      <c r="P14" s="2">
        <f>Hdsmth!B14^2</f>
        <v>49</v>
      </c>
      <c r="Q14" s="2">
        <f>Hdsmth!C14^2</f>
        <v>49</v>
      </c>
      <c r="R14" s="2">
        <f>Hdsmth!D14^2</f>
        <v>49</v>
      </c>
      <c r="S14" s="2">
        <f>Hdsmth!E14^2</f>
        <v>49</v>
      </c>
      <c r="T14" s="2">
        <f>Hdsmth!F14^2</f>
        <v>49</v>
      </c>
      <c r="U14" s="2">
        <f>Hdsmth!G14^2</f>
        <v>49</v>
      </c>
      <c r="V14" s="2">
        <f>Hdsmth!H14^2</f>
        <v>64</v>
      </c>
      <c r="W14" s="2">
        <f>Hdsmth!I14^2</f>
        <v>64</v>
      </c>
      <c r="X14" s="2">
        <f>Hdsmth!J14^2</f>
        <v>81</v>
      </c>
      <c r="Y14" s="2">
        <f>Hdsmth!K14^2</f>
        <v>100</v>
      </c>
      <c r="Z14" s="2">
        <f>Hdsmth!L14^2</f>
        <v>100</v>
      </c>
      <c r="AA14" s="2">
        <f>Hdsmth!M14^2</f>
        <v>121</v>
      </c>
      <c r="AB14" s="2">
        <f>Hdsmth!N14^2</f>
        <v>121</v>
      </c>
    </row>
    <row r="15" spans="1:28" ht="14.1" customHeight="1" x14ac:dyDescent="0.2">
      <c r="A15" s="2">
        <v>13</v>
      </c>
      <c r="B15" s="2">
        <v>5.0749079587999999</v>
      </c>
      <c r="C15" s="2">
        <v>3.9612385452000001</v>
      </c>
      <c r="D15" s="2">
        <v>6.4784023519999998</v>
      </c>
      <c r="E15" s="2">
        <v>0.96228927939999997</v>
      </c>
      <c r="F15" s="2">
        <v>2.8477156449000001</v>
      </c>
      <c r="G15" s="2">
        <v>2.8937004845000001</v>
      </c>
      <c r="H15" s="2" t="s">
        <v>83</v>
      </c>
      <c r="I15" s="2">
        <v>4.0504533318</v>
      </c>
      <c r="J15" s="2">
        <v>1.9199407291999999</v>
      </c>
      <c r="K15" s="2">
        <v>8.2012784509000003</v>
      </c>
      <c r="L15" s="2">
        <v>4.5458871943999997</v>
      </c>
      <c r="M15" s="2" t="s">
        <v>83</v>
      </c>
      <c r="N15" s="2" t="s">
        <v>83</v>
      </c>
      <c r="O15" s="2" t="s">
        <v>42</v>
      </c>
      <c r="P15" s="2">
        <f>Hdsmth!B15^2</f>
        <v>64</v>
      </c>
      <c r="Q15" s="2">
        <f>Hdsmth!C15^2</f>
        <v>64</v>
      </c>
      <c r="R15" s="2">
        <f>Hdsmth!D15^2</f>
        <v>64</v>
      </c>
      <c r="S15" s="2">
        <f>Hdsmth!E15^2</f>
        <v>49</v>
      </c>
      <c r="T15" s="2">
        <f>Hdsmth!F15^2</f>
        <v>64</v>
      </c>
      <c r="U15" s="2">
        <f>Hdsmth!G15^2</f>
        <v>64</v>
      </c>
      <c r="V15" s="2">
        <f>Hdsmth!H15^2</f>
        <v>64</v>
      </c>
      <c r="W15" s="2">
        <f>Hdsmth!I15^2</f>
        <v>81</v>
      </c>
      <c r="X15" s="2">
        <f>Hdsmth!J15^2</f>
        <v>100</v>
      </c>
      <c r="Y15" s="2">
        <f>Hdsmth!K15^2</f>
        <v>100</v>
      </c>
      <c r="Z15" s="2">
        <f>Hdsmth!L15^2</f>
        <v>121</v>
      </c>
      <c r="AA15" s="2">
        <f>Hdsmth!M15^2</f>
        <v>121</v>
      </c>
      <c r="AB15" s="2">
        <f>Hdsmth!N15^2</f>
        <v>144</v>
      </c>
    </row>
    <row r="16" spans="1:28" ht="14.1" customHeight="1" x14ac:dyDescent="0.2">
      <c r="A16" s="2">
        <v>14</v>
      </c>
      <c r="B16" s="2">
        <v>5.0532320965000004</v>
      </c>
      <c r="C16" s="2">
        <v>3.8964492511</v>
      </c>
      <c r="D16" s="2">
        <v>2.0739097340999999</v>
      </c>
      <c r="E16" s="2">
        <v>3.0763769567999999</v>
      </c>
      <c r="F16" s="2">
        <v>3.0494374655000001</v>
      </c>
      <c r="G16" s="2">
        <v>4.9975775209000002</v>
      </c>
      <c r="H16" s="2">
        <v>2.8925986972</v>
      </c>
      <c r="I16" s="2">
        <v>8.2343417995999992</v>
      </c>
      <c r="J16" s="2">
        <v>0.92265518800000001</v>
      </c>
      <c r="K16" s="2">
        <v>4.9761396853999997</v>
      </c>
      <c r="L16" s="2">
        <v>1.9959245489999999</v>
      </c>
      <c r="M16" s="2">
        <v>4.1161100267000004</v>
      </c>
      <c r="N16" s="2">
        <v>1.9046059711000001</v>
      </c>
      <c r="O16" s="2" t="s">
        <v>42</v>
      </c>
      <c r="P16" s="2">
        <f>Hdsmth!B16^2</f>
        <v>64</v>
      </c>
      <c r="Q16" s="2">
        <f>Hdsmth!C16^2</f>
        <v>64</v>
      </c>
      <c r="R16" s="2">
        <f>Hdsmth!D16^2</f>
        <v>64</v>
      </c>
      <c r="S16" s="2">
        <f>Hdsmth!E16^2</f>
        <v>64</v>
      </c>
      <c r="T16" s="2">
        <f>Hdsmth!F16^2</f>
        <v>64</v>
      </c>
      <c r="U16" s="2">
        <f>Hdsmth!G16^2</f>
        <v>64</v>
      </c>
      <c r="V16" s="2">
        <f>Hdsmth!H16^2</f>
        <v>81</v>
      </c>
      <c r="W16" s="2">
        <f>Hdsmth!I16^2</f>
        <v>81</v>
      </c>
      <c r="X16" s="2">
        <f>Hdsmth!J16^2</f>
        <v>100</v>
      </c>
      <c r="Y16" s="2">
        <f>Hdsmth!K16^2</f>
        <v>121</v>
      </c>
      <c r="Z16" s="2">
        <f>Hdsmth!L16^2</f>
        <v>121</v>
      </c>
      <c r="AA16" s="2">
        <f>Hdsmth!M16^2</f>
        <v>144</v>
      </c>
      <c r="AB16" s="2">
        <f>Hdsmth!N16^2</f>
        <v>144</v>
      </c>
    </row>
    <row r="17" spans="1:28" ht="14.1" customHeight="1" x14ac:dyDescent="0.2">
      <c r="A17" s="2">
        <v>15</v>
      </c>
      <c r="B17" s="2">
        <v>2.8851496157000001</v>
      </c>
      <c r="C17" s="2">
        <v>6.9876135907999997</v>
      </c>
      <c r="D17" s="2">
        <v>7.0888021313999996</v>
      </c>
      <c r="E17" s="2">
        <v>4.0850984593000002</v>
      </c>
      <c r="F17" s="2">
        <v>6.1851755384000002</v>
      </c>
      <c r="G17" s="2">
        <v>5.9276433010999998</v>
      </c>
      <c r="H17" s="2">
        <v>7.8306057572999999</v>
      </c>
      <c r="I17" s="2">
        <v>6.2439234492000004</v>
      </c>
      <c r="J17" s="2">
        <v>6.0579296249999999</v>
      </c>
      <c r="K17" s="2">
        <v>6.9686364080000001</v>
      </c>
      <c r="L17" s="2">
        <v>9.8283655456000005</v>
      </c>
      <c r="M17" s="2">
        <v>1.8825892742000001</v>
      </c>
      <c r="N17" s="2">
        <v>0.6950108559</v>
      </c>
      <c r="O17" s="2" t="s">
        <v>42</v>
      </c>
      <c r="P17" s="2">
        <f>Hdsmth!B17^2</f>
        <v>81</v>
      </c>
      <c r="Q17" s="2">
        <f>Hdsmth!C17^2</f>
        <v>81</v>
      </c>
      <c r="R17" s="2">
        <f>Hdsmth!D17^2</f>
        <v>81</v>
      </c>
      <c r="S17" s="2">
        <f>Hdsmth!E17^2</f>
        <v>64</v>
      </c>
      <c r="T17" s="2">
        <f>Hdsmth!F17^2</f>
        <v>81</v>
      </c>
      <c r="U17" s="2">
        <f>Hdsmth!G17^2</f>
        <v>81</v>
      </c>
      <c r="V17" s="2">
        <f>Hdsmth!H17^2</f>
        <v>81</v>
      </c>
      <c r="W17" s="2">
        <f>Hdsmth!I17^2</f>
        <v>100</v>
      </c>
      <c r="X17" s="2">
        <f>Hdsmth!J17^2</f>
        <v>121</v>
      </c>
      <c r="Y17" s="2">
        <f>Hdsmth!K17^2</f>
        <v>121</v>
      </c>
      <c r="Z17" s="2">
        <f>Hdsmth!L17^2</f>
        <v>144</v>
      </c>
      <c r="AA17" s="2">
        <f>Hdsmth!M17^2</f>
        <v>144</v>
      </c>
      <c r="AB17" s="2">
        <f>Hdsmth!N17^2</f>
        <v>144</v>
      </c>
    </row>
    <row r="18" spans="1:28" ht="14.1" customHeight="1" x14ac:dyDescent="0.2">
      <c r="A18" s="2">
        <v>16</v>
      </c>
      <c r="B18" s="2">
        <v>4.0112767855999998</v>
      </c>
      <c r="C18" s="2">
        <v>3.0304719005999998</v>
      </c>
      <c r="D18" s="2">
        <v>7.0096230002000004</v>
      </c>
      <c r="E18" s="2">
        <v>2.9670901292999998</v>
      </c>
      <c r="F18" s="2" t="s">
        <v>83</v>
      </c>
      <c r="G18" s="2">
        <v>7.7297763043999996</v>
      </c>
      <c r="H18" s="2">
        <v>4.1435082921999999</v>
      </c>
      <c r="I18" s="2">
        <v>2.0318100988999999</v>
      </c>
      <c r="J18" s="2">
        <v>6.0855805826999996</v>
      </c>
      <c r="K18" s="2">
        <v>5.9536478730000004</v>
      </c>
      <c r="L18" s="2">
        <v>10.000903004</v>
      </c>
      <c r="M18" s="2">
        <v>2.5799560542000002</v>
      </c>
      <c r="N18" s="2">
        <v>2.6276730663999999</v>
      </c>
      <c r="O18" s="2" t="s">
        <v>42</v>
      </c>
      <c r="P18" s="2">
        <f>Hdsmth!B18^2</f>
        <v>100</v>
      </c>
      <c r="Q18" s="2">
        <f>Hdsmth!C18^2</f>
        <v>81</v>
      </c>
      <c r="R18" s="2">
        <f>Hdsmth!D18^2</f>
        <v>81</v>
      </c>
      <c r="S18" s="2">
        <f>Hdsmth!E18^2</f>
        <v>81</v>
      </c>
      <c r="T18" s="2">
        <f>Hdsmth!F18^2</f>
        <v>81</v>
      </c>
      <c r="U18" s="2">
        <f>Hdsmth!G18^2</f>
        <v>81</v>
      </c>
      <c r="V18" s="2">
        <f>Hdsmth!H18^2</f>
        <v>100</v>
      </c>
      <c r="W18" s="2">
        <f>Hdsmth!I18^2</f>
        <v>121</v>
      </c>
      <c r="X18" s="2">
        <f>Hdsmth!J18^2</f>
        <v>121</v>
      </c>
      <c r="Y18" s="2">
        <f>Hdsmth!K18^2</f>
        <v>144</v>
      </c>
      <c r="Z18" s="2">
        <f>Hdsmth!L18^2</f>
        <v>144</v>
      </c>
      <c r="AA18" s="2">
        <f>Hdsmth!M18^2</f>
        <v>169</v>
      </c>
      <c r="AB18" s="2">
        <f>Hdsmth!N18^2</f>
        <v>169</v>
      </c>
    </row>
    <row r="19" spans="1:28" ht="14.1" customHeight="1" x14ac:dyDescent="0.2">
      <c r="A19" s="2">
        <v>17</v>
      </c>
      <c r="B19" s="2">
        <v>8.0506924913999995</v>
      </c>
      <c r="C19" s="2">
        <v>3.0605529921999999</v>
      </c>
      <c r="D19" s="2">
        <v>4.7383751783000001</v>
      </c>
      <c r="E19" s="2">
        <v>3.0812546981</v>
      </c>
      <c r="F19" s="2">
        <v>8.1648622371999995</v>
      </c>
      <c r="G19" s="2">
        <v>5.8918574678000004</v>
      </c>
      <c r="H19" s="2">
        <v>12.063767421</v>
      </c>
      <c r="I19" s="2">
        <v>12.413923888999999</v>
      </c>
      <c r="J19" s="2">
        <v>7.0879086255999999</v>
      </c>
      <c r="K19" s="2">
        <v>1.8607725530999999</v>
      </c>
      <c r="L19" s="2">
        <v>5.9544434626999996</v>
      </c>
      <c r="M19" s="2" t="s">
        <v>83</v>
      </c>
      <c r="N19" s="2" t="s">
        <v>83</v>
      </c>
      <c r="O19" s="2" t="s">
        <v>42</v>
      </c>
      <c r="P19" s="2">
        <f>Hdsmth!B19^2</f>
        <v>100</v>
      </c>
      <c r="Q19" s="2">
        <f>Hdsmth!C19^2</f>
        <v>100</v>
      </c>
      <c r="R19" s="2">
        <f>Hdsmth!D19^2</f>
        <v>100</v>
      </c>
      <c r="S19" s="2">
        <f>Hdsmth!E19^2</f>
        <v>100</v>
      </c>
      <c r="T19" s="2">
        <f>Hdsmth!F19^2</f>
        <v>100</v>
      </c>
      <c r="U19" s="2">
        <f>Hdsmth!G19^2</f>
        <v>100</v>
      </c>
      <c r="V19" s="2">
        <f>Hdsmth!H19^2</f>
        <v>100</v>
      </c>
      <c r="W19" s="2">
        <f>Hdsmth!I19^2</f>
        <v>121</v>
      </c>
      <c r="X19" s="2">
        <f>Hdsmth!J19^2</f>
        <v>144</v>
      </c>
      <c r="Y19" s="2">
        <f>Hdsmth!K19^2</f>
        <v>169</v>
      </c>
      <c r="Z19" s="2">
        <f>Hdsmth!L19^2</f>
        <v>169</v>
      </c>
      <c r="AA19" s="2">
        <f>Hdsmth!M19^2</f>
        <v>169</v>
      </c>
      <c r="AB19" s="2">
        <f>Hdsmth!N19^2</f>
        <v>169</v>
      </c>
    </row>
    <row r="20" spans="1:28" ht="14.1" customHeight="1" x14ac:dyDescent="0.2">
      <c r="A20" s="2">
        <v>18</v>
      </c>
      <c r="B20" s="2">
        <v>6.8558098618000001</v>
      </c>
      <c r="C20" s="2">
        <v>5.0261837133</v>
      </c>
      <c r="D20" s="2">
        <v>7.0024591790999997</v>
      </c>
      <c r="E20" s="2">
        <v>7.7657574588999996</v>
      </c>
      <c r="F20" s="2">
        <v>6.0865694432000002</v>
      </c>
      <c r="G20" s="2">
        <v>8.0048672936000003</v>
      </c>
      <c r="H20" s="2">
        <v>10.015725271999999</v>
      </c>
      <c r="I20" s="2">
        <v>8.9281345348999999</v>
      </c>
      <c r="J20" s="2">
        <v>9.9327030442000002</v>
      </c>
      <c r="K20" s="2">
        <v>3.9913212898000001</v>
      </c>
      <c r="L20" s="2">
        <v>4.6522685459000002</v>
      </c>
      <c r="M20" s="2">
        <v>1.5361539725</v>
      </c>
      <c r="N20" s="2" t="s">
        <v>83</v>
      </c>
      <c r="O20" s="2" t="s">
        <v>42</v>
      </c>
      <c r="P20" s="2">
        <f>Hdsmth!B20^2</f>
        <v>121</v>
      </c>
      <c r="Q20" s="2">
        <f>Hdsmth!C20^2</f>
        <v>121</v>
      </c>
      <c r="R20" s="2">
        <f>Hdsmth!D20^2</f>
        <v>100</v>
      </c>
      <c r="S20" s="2">
        <f>Hdsmth!E20^2</f>
        <v>100</v>
      </c>
      <c r="T20" s="2">
        <f>Hdsmth!F20^2</f>
        <v>100</v>
      </c>
      <c r="U20" s="2">
        <f>Hdsmth!G20^2</f>
        <v>100</v>
      </c>
      <c r="V20" s="2">
        <f>Hdsmth!H20^2</f>
        <v>121</v>
      </c>
      <c r="W20" s="2">
        <f>Hdsmth!I20^2</f>
        <v>144</v>
      </c>
      <c r="X20" s="2">
        <f>Hdsmth!J20^2</f>
        <v>169</v>
      </c>
      <c r="Y20" s="2">
        <f>Hdsmth!K20^2</f>
        <v>169</v>
      </c>
      <c r="Z20" s="2">
        <f>Hdsmth!L20^2</f>
        <v>169</v>
      </c>
      <c r="AA20" s="2">
        <f>Hdsmth!M20^2</f>
        <v>196</v>
      </c>
      <c r="AB20" s="2">
        <f>Hdsmth!N20^2</f>
        <v>196</v>
      </c>
    </row>
    <row r="21" spans="1:28" ht="14.1" customHeight="1" x14ac:dyDescent="0.2">
      <c r="A21" s="2">
        <v>19</v>
      </c>
      <c r="B21" s="2">
        <v>10.17465473</v>
      </c>
      <c r="C21" s="2">
        <v>9.0179690126000001</v>
      </c>
      <c r="D21" s="2">
        <v>5.8087559088000003</v>
      </c>
      <c r="E21" s="2">
        <v>4.9267651706000004</v>
      </c>
      <c r="F21" s="2">
        <v>5.9252655651000001</v>
      </c>
      <c r="G21" s="2">
        <v>15.048452611</v>
      </c>
      <c r="H21" s="2">
        <v>2.9969939074999998</v>
      </c>
      <c r="I21" s="2">
        <v>9.2883756258000005</v>
      </c>
      <c r="J21" s="2">
        <v>5.9124964078</v>
      </c>
      <c r="K21" s="2">
        <v>2.9463741153999998</v>
      </c>
      <c r="L21" s="2">
        <v>3.0499107348000001</v>
      </c>
      <c r="M21" s="2">
        <v>0.79946972729999999</v>
      </c>
      <c r="N21" s="2" t="s">
        <v>83</v>
      </c>
      <c r="O21" s="2" t="s">
        <v>42</v>
      </c>
      <c r="P21" s="2">
        <f>Hdsmth!B21^2</f>
        <v>144</v>
      </c>
      <c r="Q21" s="2">
        <f>Hdsmth!C21^2</f>
        <v>121</v>
      </c>
      <c r="R21" s="2">
        <f>Hdsmth!D21^2</f>
        <v>121</v>
      </c>
      <c r="S21" s="2">
        <f>Hdsmth!E21^2</f>
        <v>121</v>
      </c>
      <c r="T21" s="2">
        <f>Hdsmth!F21^2</f>
        <v>121</v>
      </c>
      <c r="U21" s="2">
        <f>Hdsmth!G21^2</f>
        <v>121</v>
      </c>
      <c r="V21" s="2">
        <f>Hdsmth!H21^2</f>
        <v>144</v>
      </c>
      <c r="W21" s="2">
        <f>Hdsmth!I21^2</f>
        <v>169</v>
      </c>
      <c r="X21" s="2">
        <f>Hdsmth!J21^2</f>
        <v>169</v>
      </c>
      <c r="Y21" s="2">
        <f>Hdsmth!K21^2</f>
        <v>196</v>
      </c>
      <c r="Z21" s="2">
        <f>Hdsmth!L21^2</f>
        <v>196</v>
      </c>
      <c r="AA21" s="2">
        <f>Hdsmth!M21^2</f>
        <v>196</v>
      </c>
      <c r="AB21" s="2">
        <f>Hdsmth!N21^2</f>
        <v>196</v>
      </c>
    </row>
    <row r="22" spans="1:28" ht="14.1" customHeight="1" x14ac:dyDescent="0.2">
      <c r="A22" s="2">
        <v>20</v>
      </c>
      <c r="B22" s="2">
        <v>5.2582954572</v>
      </c>
      <c r="C22" s="2">
        <v>11.108707525</v>
      </c>
      <c r="D22" s="2">
        <v>10.341412536</v>
      </c>
      <c r="E22" s="2">
        <v>13.635574842</v>
      </c>
      <c r="F22" s="2">
        <v>12.888113948999999</v>
      </c>
      <c r="G22" s="2">
        <v>7.7452621147</v>
      </c>
      <c r="H22" s="2">
        <v>10.286920976999999</v>
      </c>
      <c r="I22" s="2">
        <v>7.1481627250999997</v>
      </c>
      <c r="J22" s="2" t="s">
        <v>83</v>
      </c>
      <c r="K22" s="2">
        <v>3.8647803614999998</v>
      </c>
      <c r="L22" s="2" t="s">
        <v>83</v>
      </c>
      <c r="M22" s="2" t="s">
        <v>83</v>
      </c>
      <c r="N22" s="2">
        <v>1.0385013472</v>
      </c>
      <c r="O22" s="2" t="s">
        <v>42</v>
      </c>
      <c r="P22" s="2">
        <f>Hdsmth!B22^2</f>
        <v>144</v>
      </c>
      <c r="Q22" s="2">
        <f>Hdsmth!C22^2</f>
        <v>144</v>
      </c>
      <c r="R22" s="2">
        <f>Hdsmth!D22^2</f>
        <v>144</v>
      </c>
      <c r="S22" s="2">
        <f>Hdsmth!E22^2</f>
        <v>121</v>
      </c>
      <c r="T22" s="2">
        <f>Hdsmth!F22^2</f>
        <v>121</v>
      </c>
      <c r="U22" s="2">
        <f>Hdsmth!G22^2</f>
        <v>144</v>
      </c>
      <c r="V22" s="2">
        <f>Hdsmth!H22^2</f>
        <v>144</v>
      </c>
      <c r="W22" s="2">
        <f>Hdsmth!I22^2</f>
        <v>169</v>
      </c>
      <c r="X22" s="2">
        <f>Hdsmth!J22^2</f>
        <v>196</v>
      </c>
      <c r="Y22" s="2">
        <f>Hdsmth!K22^2</f>
        <v>196</v>
      </c>
      <c r="Z22" s="2">
        <f>Hdsmth!L22^2</f>
        <v>225</v>
      </c>
      <c r="AA22" s="2">
        <f>Hdsmth!M22^2</f>
        <v>225</v>
      </c>
      <c r="AB22" s="2">
        <f>Hdsmth!N22^2</f>
        <v>225</v>
      </c>
    </row>
    <row r="23" spans="1:28" ht="14.1" customHeight="1" x14ac:dyDescent="0.2">
      <c r="A23" s="2">
        <v>21</v>
      </c>
      <c r="B23" s="2">
        <v>5.0347878514</v>
      </c>
      <c r="C23" s="2">
        <v>12.009295442999999</v>
      </c>
      <c r="D23" s="2">
        <v>6.0683988197999996</v>
      </c>
      <c r="E23" s="2">
        <v>9.8879435966999996</v>
      </c>
      <c r="F23" s="2">
        <v>7.0805780835999999</v>
      </c>
      <c r="G23" s="2">
        <v>4.8360758198999996</v>
      </c>
      <c r="H23" s="2">
        <v>6.1734633203999998</v>
      </c>
      <c r="I23" s="2">
        <v>3.0471752978</v>
      </c>
      <c r="J23" s="2">
        <v>2.9936807084999999</v>
      </c>
      <c r="K23" s="2">
        <v>1.9318989991</v>
      </c>
      <c r="L23" s="2">
        <v>3.4706369242999999</v>
      </c>
      <c r="M23" s="2" t="s">
        <v>83</v>
      </c>
      <c r="N23" s="2">
        <v>2.2502808337000002</v>
      </c>
      <c r="O23" s="2" t="s">
        <v>42</v>
      </c>
      <c r="P23" s="2">
        <f>Hdsmth!B23^2</f>
        <v>169</v>
      </c>
      <c r="Q23" s="2">
        <f>Hdsmth!C23^2</f>
        <v>169</v>
      </c>
      <c r="R23" s="2">
        <f>Hdsmth!D23^2</f>
        <v>144</v>
      </c>
      <c r="S23" s="2">
        <f>Hdsmth!E23^2</f>
        <v>144</v>
      </c>
      <c r="T23" s="2">
        <f>Hdsmth!F23^2</f>
        <v>144</v>
      </c>
      <c r="U23" s="2">
        <f>Hdsmth!G23^2</f>
        <v>144</v>
      </c>
      <c r="V23" s="2">
        <f>Hdsmth!H23^2</f>
        <v>169</v>
      </c>
      <c r="W23" s="2">
        <f>Hdsmth!I23^2</f>
        <v>196</v>
      </c>
      <c r="X23" s="2">
        <f>Hdsmth!J23^2</f>
        <v>225</v>
      </c>
      <c r="Y23" s="2">
        <f>Hdsmth!K23^2</f>
        <v>225</v>
      </c>
      <c r="Z23" s="2">
        <f>Hdsmth!L23^2</f>
        <v>225</v>
      </c>
      <c r="AA23" s="2">
        <f>Hdsmth!M23^2</f>
        <v>225</v>
      </c>
      <c r="AB23" s="2">
        <f>Hdsmth!N23^2</f>
        <v>225</v>
      </c>
    </row>
    <row r="24" spans="1:28" ht="14.1" customHeight="1" x14ac:dyDescent="0.2">
      <c r="A24" s="2">
        <v>22</v>
      </c>
      <c r="B24" s="2">
        <v>4.1042543624999999</v>
      </c>
      <c r="C24" s="2">
        <v>6.0217731331</v>
      </c>
      <c r="D24" s="2">
        <v>12.881943291000001</v>
      </c>
      <c r="E24" s="2">
        <v>6.8481831952999999</v>
      </c>
      <c r="F24" s="2">
        <v>5.9785730601999996</v>
      </c>
      <c r="G24" s="2">
        <v>3.0779251983</v>
      </c>
      <c r="H24" s="2">
        <v>3.1261326672999998</v>
      </c>
      <c r="I24" s="2">
        <v>1</v>
      </c>
      <c r="J24" s="2">
        <v>1.0473071665</v>
      </c>
      <c r="K24" s="2" t="s">
        <v>83</v>
      </c>
      <c r="L24" s="2">
        <v>0.98469336230000004</v>
      </c>
      <c r="M24" s="2" t="s">
        <v>83</v>
      </c>
      <c r="N24" s="2" t="s">
        <v>83</v>
      </c>
      <c r="O24" s="2" t="s">
        <v>42</v>
      </c>
      <c r="P24" s="2">
        <f>Hdsmth!B24^2</f>
        <v>196</v>
      </c>
      <c r="Q24" s="2">
        <f>Hdsmth!C24^2</f>
        <v>196</v>
      </c>
      <c r="R24" s="2">
        <f>Hdsmth!D24^2</f>
        <v>169</v>
      </c>
      <c r="S24" s="2">
        <f>Hdsmth!E24^2</f>
        <v>169</v>
      </c>
      <c r="T24" s="2">
        <f>Hdsmth!F24^2</f>
        <v>169</v>
      </c>
      <c r="U24" s="2">
        <f>Hdsmth!G24^2</f>
        <v>169</v>
      </c>
      <c r="V24" s="2">
        <f>Hdsmth!H24^2</f>
        <v>196</v>
      </c>
      <c r="W24" s="2">
        <f>Hdsmth!I24^2</f>
        <v>225</v>
      </c>
      <c r="X24" s="2">
        <f>Hdsmth!J24^2</f>
        <v>225</v>
      </c>
      <c r="Y24" s="2">
        <f>Hdsmth!K24^2</f>
        <v>225</v>
      </c>
      <c r="Z24" s="2">
        <f>Hdsmth!L24^2</f>
        <v>256</v>
      </c>
      <c r="AA24" s="2">
        <f>Hdsmth!M24^2</f>
        <v>256</v>
      </c>
      <c r="AB24" s="2">
        <f>Hdsmth!N24^2</f>
        <v>256</v>
      </c>
    </row>
    <row r="25" spans="1:28" ht="14.1" customHeight="1" x14ac:dyDescent="0.2">
      <c r="A25" s="2">
        <v>23</v>
      </c>
      <c r="B25" s="2">
        <v>2.0076985917000001</v>
      </c>
      <c r="C25" s="2">
        <v>2.9957122526000002</v>
      </c>
      <c r="D25" s="2">
        <v>0.94614610460000004</v>
      </c>
      <c r="E25" s="2">
        <v>3.0013664538999998</v>
      </c>
      <c r="F25" s="2">
        <v>5.8368442495000004</v>
      </c>
      <c r="G25" s="2">
        <v>2.1669791354000001</v>
      </c>
      <c r="H25" s="2">
        <v>2.0063490315000001</v>
      </c>
      <c r="I25" s="2">
        <v>1</v>
      </c>
      <c r="J25" s="2">
        <v>1.0202652811999999</v>
      </c>
      <c r="K25" s="2">
        <v>1.0569272048</v>
      </c>
      <c r="L25" s="2" t="s">
        <v>83</v>
      </c>
      <c r="M25" s="2">
        <v>1.0556985607</v>
      </c>
      <c r="N25" s="2">
        <v>0.76360686919999998</v>
      </c>
      <c r="O25" s="2" t="s">
        <v>42</v>
      </c>
      <c r="P25" s="2">
        <f>Hdsmth!B25^2</f>
        <v>225</v>
      </c>
      <c r="Q25" s="2">
        <f>Hdsmth!C25^2</f>
        <v>225</v>
      </c>
      <c r="R25" s="2">
        <f>Hdsmth!D25^2</f>
        <v>196</v>
      </c>
      <c r="S25" s="2">
        <f>Hdsmth!E25^2</f>
        <v>196</v>
      </c>
      <c r="T25" s="2">
        <f>Hdsmth!F25^2</f>
        <v>196</v>
      </c>
      <c r="U25" s="2">
        <f>Hdsmth!G25^2</f>
        <v>196</v>
      </c>
      <c r="V25" s="2">
        <f>Hdsmth!H25^2</f>
        <v>225</v>
      </c>
      <c r="W25" s="2">
        <f>Hdsmth!I25^2</f>
        <v>256</v>
      </c>
      <c r="X25" s="2">
        <f>Hdsmth!J25^2</f>
        <v>256</v>
      </c>
      <c r="Y25" s="2">
        <f>Hdsmth!K25^2</f>
        <v>256</v>
      </c>
      <c r="Z25" s="2">
        <f>Hdsmth!L25^2</f>
        <v>256</v>
      </c>
      <c r="AA25" s="2">
        <f>Hdsmth!M25^2</f>
        <v>256</v>
      </c>
      <c r="AB25" s="2">
        <f>Hdsmth!N25^2</f>
        <v>256</v>
      </c>
    </row>
    <row r="26" spans="1:28" ht="14.1" customHeight="1" x14ac:dyDescent="0.2">
      <c r="A26" s="2">
        <v>24</v>
      </c>
      <c r="B26" s="2">
        <v>1</v>
      </c>
      <c r="C26" s="2">
        <v>1.0302473764</v>
      </c>
      <c r="D26" s="2">
        <v>1.9582318498</v>
      </c>
      <c r="E26" s="2" t="s">
        <v>83</v>
      </c>
      <c r="F26" s="2">
        <v>2.9493463450999999</v>
      </c>
      <c r="G26" s="2">
        <v>1</v>
      </c>
      <c r="H26" s="2" t="s">
        <v>83</v>
      </c>
      <c r="I26" s="2" t="s">
        <v>83</v>
      </c>
      <c r="J26" s="2" t="s">
        <v>83</v>
      </c>
      <c r="K26" s="2">
        <v>1.9438790295999999</v>
      </c>
      <c r="L26" s="2" t="s">
        <v>83</v>
      </c>
      <c r="M26" s="2">
        <v>0.73668424529999998</v>
      </c>
      <c r="N26" s="2" t="s">
        <v>83</v>
      </c>
      <c r="O26" s="2" t="s">
        <v>42</v>
      </c>
      <c r="P26" s="2">
        <f>Hdsmth!B26^2</f>
        <v>256</v>
      </c>
      <c r="Q26" s="2">
        <f>Hdsmth!C26^2</f>
        <v>256</v>
      </c>
      <c r="R26" s="2">
        <f>Hdsmth!D26^2</f>
        <v>225</v>
      </c>
      <c r="S26" s="2">
        <f>Hdsmth!E26^2</f>
        <v>225</v>
      </c>
      <c r="T26" s="2">
        <f>Hdsmth!F26^2</f>
        <v>225</v>
      </c>
      <c r="U26" s="2">
        <f>Hdsmth!G26^2</f>
        <v>225</v>
      </c>
      <c r="V26" s="2">
        <f>Hdsmth!H26^2</f>
        <v>289</v>
      </c>
      <c r="W26" s="2">
        <f>Hdsmth!I26^2</f>
        <v>289</v>
      </c>
      <c r="X26" s="2">
        <f>Hdsmth!J26^2</f>
        <v>289</v>
      </c>
      <c r="Y26" s="2">
        <f>Hdsmth!K26^2</f>
        <v>289</v>
      </c>
      <c r="Z26" s="2">
        <f>Hdsmth!L26^2</f>
        <v>289</v>
      </c>
      <c r="AA26" s="2">
        <f>Hdsmth!M26^2</f>
        <v>289</v>
      </c>
      <c r="AB26" s="2">
        <f>Hdsmth!N26^2</f>
        <v>289</v>
      </c>
    </row>
    <row r="27" spans="1:28" ht="14.1" customHeight="1" x14ac:dyDescent="0.2">
      <c r="A27" s="2">
        <v>25</v>
      </c>
      <c r="B27" s="2" t="s">
        <v>83</v>
      </c>
      <c r="C27" s="2" t="s">
        <v>83</v>
      </c>
      <c r="D27" s="2" t="s">
        <v>83</v>
      </c>
      <c r="E27" s="2">
        <v>1.1181452608</v>
      </c>
      <c r="F27" s="2" t="s">
        <v>83</v>
      </c>
      <c r="G27" s="2" t="s">
        <v>83</v>
      </c>
      <c r="H27" s="2">
        <v>0.99532243799999998</v>
      </c>
      <c r="I27" s="2" t="s">
        <v>83</v>
      </c>
      <c r="J27" s="2" t="s">
        <v>83</v>
      </c>
      <c r="K27" s="2" t="s">
        <v>83</v>
      </c>
      <c r="L27" s="2" t="s">
        <v>83</v>
      </c>
      <c r="M27" s="2" t="s">
        <v>83</v>
      </c>
      <c r="N27" s="2" t="s">
        <v>83</v>
      </c>
      <c r="O27" s="2" t="s">
        <v>42</v>
      </c>
      <c r="P27" s="2">
        <f>Hdsmth!B27^2</f>
        <v>289</v>
      </c>
      <c r="Q27" s="2">
        <f>Hdsmth!C27^2</f>
        <v>289</v>
      </c>
      <c r="R27" s="2">
        <f>Hdsmth!D27^2</f>
        <v>289</v>
      </c>
      <c r="S27" s="2">
        <f>Hdsmth!E27^2</f>
        <v>256</v>
      </c>
      <c r="T27" s="2">
        <f>Hdsmth!F27^2</f>
        <v>256</v>
      </c>
      <c r="U27" s="2">
        <f>Hdsmth!G27^2</f>
        <v>289</v>
      </c>
      <c r="V27" s="2">
        <f>Hdsmth!H27^2</f>
        <v>361</v>
      </c>
      <c r="W27" s="2">
        <f>Hdsmth!I27^2</f>
        <v>361</v>
      </c>
      <c r="X27" s="2">
        <f>Hdsmth!J27^2</f>
        <v>324</v>
      </c>
      <c r="Y27" s="2">
        <f>Hdsmth!K27^2</f>
        <v>289</v>
      </c>
      <c r="Z27" s="2">
        <f>Hdsmth!L27^2</f>
        <v>289</v>
      </c>
      <c r="AA27" s="2">
        <f>Hdsmth!M27^2</f>
        <v>324</v>
      </c>
      <c r="AB27" s="2">
        <f>Hdsmth!N27^2</f>
        <v>324</v>
      </c>
    </row>
    <row r="28" spans="1:28" ht="14.1" customHeight="1" x14ac:dyDescent="0.2">
      <c r="A28" s="2">
        <v>26</v>
      </c>
      <c r="B28" s="2" t="s">
        <v>83</v>
      </c>
      <c r="C28" s="2" t="s">
        <v>83</v>
      </c>
      <c r="D28" s="2" t="s">
        <v>83</v>
      </c>
      <c r="E28" s="2">
        <v>1.9598119722</v>
      </c>
      <c r="F28" s="2">
        <v>0.92913559469999996</v>
      </c>
      <c r="G28" s="2" t="s">
        <v>83</v>
      </c>
      <c r="H28" s="2" t="s">
        <v>83</v>
      </c>
      <c r="I28" s="2" t="s">
        <v>83</v>
      </c>
      <c r="J28" s="2" t="s">
        <v>83</v>
      </c>
      <c r="K28" s="2">
        <v>1.0015127225</v>
      </c>
      <c r="L28" s="2">
        <v>0.85704792649999995</v>
      </c>
      <c r="M28" s="2" t="s">
        <v>83</v>
      </c>
      <c r="N28" s="2">
        <v>0.76360686919999998</v>
      </c>
      <c r="O28" s="2" t="s">
        <v>42</v>
      </c>
      <c r="P28" s="2">
        <f>Hdsmth!B28^2</f>
        <v>361</v>
      </c>
      <c r="Q28" s="2">
        <f>Hdsmth!C28^2</f>
        <v>361</v>
      </c>
      <c r="R28" s="2">
        <f>Hdsmth!D28^2</f>
        <v>361</v>
      </c>
      <c r="S28" s="2">
        <f>Hdsmth!E28^2</f>
        <v>324</v>
      </c>
      <c r="T28" s="2">
        <f>Hdsmth!F28^2</f>
        <v>361</v>
      </c>
      <c r="U28" s="2">
        <f>Hdsmth!G28^2</f>
        <v>361</v>
      </c>
      <c r="V28" s="2">
        <f>Hdsmth!H28^2</f>
        <v>361</v>
      </c>
      <c r="W28" s="2">
        <f>Hdsmth!I28^2</f>
        <v>361</v>
      </c>
      <c r="X28" s="2">
        <f>Hdsmth!J28^2</f>
        <v>361</v>
      </c>
      <c r="Y28" s="2">
        <f>Hdsmth!K28^2</f>
        <v>361</v>
      </c>
      <c r="Z28" s="2">
        <f>Hdsmth!L28^2</f>
        <v>361</v>
      </c>
      <c r="AA28" s="2">
        <f>Hdsmth!M28^2</f>
        <v>361</v>
      </c>
      <c r="AB28" s="2">
        <f>Hdsmth!N28^2</f>
        <v>361</v>
      </c>
    </row>
    <row r="29" spans="1:28" ht="14.1" customHeight="1" x14ac:dyDescent="0.2">
      <c r="A29" s="2" t="s">
        <v>42</v>
      </c>
      <c r="B29" s="2">
        <f>SUMPRODUCT(B2:B28,Hdsmth!B2:B28)</f>
        <v>821.81640214499998</v>
      </c>
      <c r="C29" s="2">
        <f>SUMPRODUCT(C2:C28,Hdsmth!C2:C28)</f>
        <v>842.12813675449991</v>
      </c>
      <c r="D29" s="2">
        <f>SUMPRODUCT(D2:D28,Hdsmth!D2:D28)</f>
        <v>861.54681634830013</v>
      </c>
      <c r="E29" s="2">
        <f>SUMPRODUCT(E2:E28,Hdsmth!E2:E28)</f>
        <v>805.01439883749993</v>
      </c>
      <c r="F29" s="2">
        <f>SUMPRODUCT(F2:F28,Hdsmth!F2:F28)</f>
        <v>848.10424306869993</v>
      </c>
      <c r="G29" s="2">
        <f>SUMPRODUCT(G2:G28,Hdsmth!G2:G28)</f>
        <v>818.04447759760012</v>
      </c>
      <c r="H29" s="2">
        <f>SUMPRODUCT(H2:H28,Hdsmth!H2:H28)</f>
        <v>822.2355869063</v>
      </c>
      <c r="I29" s="2">
        <f>SUMPRODUCT(I2:I28,Hdsmth!I2:I28)</f>
        <v>899.39782376289998</v>
      </c>
      <c r="J29" s="2">
        <f>SUMPRODUCT(J2:J28,Hdsmth!J2:J28)</f>
        <v>803.81120325999996</v>
      </c>
      <c r="K29" s="2">
        <f>SUMPRODUCT(K2:K28,Hdsmth!K2:K28)</f>
        <v>848.76692000009984</v>
      </c>
      <c r="L29" s="2">
        <f>SUMPRODUCT(L2:L28,Hdsmth!L2:L28)</f>
        <v>778.28432407340006</v>
      </c>
      <c r="M29" s="2">
        <f>SUMPRODUCT(M2:M28,Hdsmth!M2:M28)</f>
        <v>553.38686144500002</v>
      </c>
      <c r="N29" s="2">
        <f>SUMPRODUCT(N2:N28,Hdsmth!N2:N28)</f>
        <v>349.67746202489997</v>
      </c>
      <c r="O29" s="2">
        <f>SUM(B29:N29)</f>
        <v>10052.2146562242</v>
      </c>
      <c r="P29" s="2" t="s">
        <v>42</v>
      </c>
      <c r="Q29" s="2" t="s">
        <v>42</v>
      </c>
      <c r="R29" s="2" t="s">
        <v>42</v>
      </c>
      <c r="S29" s="2" t="s">
        <v>42</v>
      </c>
      <c r="T29" s="2" t="s">
        <v>42</v>
      </c>
      <c r="U29" s="2" t="s">
        <v>42</v>
      </c>
      <c r="V29" s="2" t="s">
        <v>42</v>
      </c>
      <c r="W29" s="2" t="s">
        <v>42</v>
      </c>
      <c r="X29" s="2" t="s">
        <v>42</v>
      </c>
      <c r="Y29" s="2" t="s">
        <v>42</v>
      </c>
      <c r="Z29" s="2" t="s">
        <v>42</v>
      </c>
      <c r="AA29" s="2" t="s">
        <v>42</v>
      </c>
      <c r="AB29" s="2" t="s">
        <v>42</v>
      </c>
    </row>
    <row r="30" spans="1:28" ht="14.1" customHeight="1" x14ac:dyDescent="0.2">
      <c r="A30" s="2" t="s">
        <v>42</v>
      </c>
      <c r="B30" s="2">
        <f t="shared" ref="B30:N30" si="0">SUMPRODUCT(B2:B28,P2:P28)</f>
        <v>8503.3253424388004</v>
      </c>
      <c r="C30" s="2">
        <f t="shared" si="0"/>
        <v>9497.4099796921</v>
      </c>
      <c r="D30" s="2">
        <f t="shared" si="0"/>
        <v>9213.7918970639003</v>
      </c>
      <c r="E30" s="2">
        <f t="shared" si="0"/>
        <v>8721.7449403374994</v>
      </c>
      <c r="F30" s="2">
        <f t="shared" si="0"/>
        <v>9294.6689135600991</v>
      </c>
      <c r="G30" s="2">
        <f t="shared" si="0"/>
        <v>8356.857499134001</v>
      </c>
      <c r="H30" s="2">
        <f t="shared" si="0"/>
        <v>8826.3780244138998</v>
      </c>
      <c r="I30" s="2">
        <f t="shared" si="0"/>
        <v>9679.0507099211009</v>
      </c>
      <c r="J30" s="2">
        <f t="shared" si="0"/>
        <v>8653.7735099909987</v>
      </c>
      <c r="K30" s="2">
        <f t="shared" si="0"/>
        <v>9433.5223529536979</v>
      </c>
      <c r="L30" s="2">
        <f t="shared" si="0"/>
        <v>9016.1802912820003</v>
      </c>
      <c r="M30" s="2">
        <f t="shared" si="0"/>
        <v>5497.6513632874012</v>
      </c>
      <c r="N30" s="2">
        <f t="shared" si="0"/>
        <v>3950.6487488555003</v>
      </c>
      <c r="O30" s="2">
        <f>SUM(B30:N30)</f>
        <v>108645.003572931</v>
      </c>
      <c r="P30" s="2" t="s">
        <v>42</v>
      </c>
      <c r="Q30" s="2" t="s">
        <v>42</v>
      </c>
      <c r="R30" s="2" t="s">
        <v>42</v>
      </c>
      <c r="S30" s="2" t="s">
        <v>42</v>
      </c>
      <c r="T30" s="2" t="s">
        <v>42</v>
      </c>
      <c r="U30" s="2" t="s">
        <v>42</v>
      </c>
      <c r="V30" s="2" t="s">
        <v>42</v>
      </c>
      <c r="W30" s="2" t="s">
        <v>42</v>
      </c>
      <c r="X30" s="2" t="s">
        <v>42</v>
      </c>
      <c r="Y30" s="2" t="s">
        <v>42</v>
      </c>
      <c r="Z30" s="2" t="s">
        <v>42</v>
      </c>
      <c r="AA30" s="2" t="s">
        <v>42</v>
      </c>
      <c r="AB30" s="2" t="s">
        <v>42</v>
      </c>
    </row>
  </sheetData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D45D-228D-4BC2-B419-0B6B25C5D73A}">
  <dimension ref="A1:AB28"/>
  <sheetViews>
    <sheetView topLeftCell="O1" workbookViewId="0">
      <selection activeCell="X36" sqref="X36"/>
    </sheetView>
  </sheetViews>
  <sheetFormatPr defaultRowHeight="12.75" x14ac:dyDescent="0.2"/>
  <cols>
    <col min="1" max="14" width="0" hidden="1" customWidth="1"/>
  </cols>
  <sheetData>
    <row r="1" spans="1:28" x14ac:dyDescent="0.2">
      <c r="A1" t="s">
        <v>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84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</row>
    <row r="2" spans="1:28" x14ac:dyDescent="0.2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f>Hdsmth!B2-dif!B2</f>
        <v>0</v>
      </c>
      <c r="Q2">
        <f>Hdsmth!C2-dif!C2</f>
        <v>0</v>
      </c>
      <c r="R2">
        <f>Hdsmth!D2-dif!D2</f>
        <v>0</v>
      </c>
      <c r="S2">
        <f>Hdsmth!E2-dif!E2</f>
        <v>0</v>
      </c>
      <c r="T2">
        <f>Hdsmth!F2-dif!F2</f>
        <v>0</v>
      </c>
      <c r="U2">
        <f>Hdsmth!G2-dif!G2</f>
        <v>0</v>
      </c>
      <c r="V2">
        <f>Hdsmth!H2-dif!H2</f>
        <v>0</v>
      </c>
      <c r="W2">
        <f>Hdsmth!I2-dif!I2</f>
        <v>0</v>
      </c>
      <c r="X2">
        <f>Hdsmth!J2-dif!J2</f>
        <v>0</v>
      </c>
      <c r="Y2">
        <f>Hdsmth!K2-dif!K2</f>
        <v>0</v>
      </c>
      <c r="Z2">
        <f>Hdsmth!L2-dif!L2</f>
        <v>0</v>
      </c>
      <c r="AA2">
        <f>Hdsmth!M2-dif!M2</f>
        <v>0</v>
      </c>
      <c r="AB2">
        <f>Hdsmth!N2-dif!N2</f>
        <v>0</v>
      </c>
    </row>
    <row r="3" spans="1:28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1</v>
      </c>
      <c r="P3">
        <f>Hdsmth!B3-dif!B3</f>
        <v>0</v>
      </c>
      <c r="Q3">
        <f>Hdsmth!C3-dif!C3</f>
        <v>0</v>
      </c>
      <c r="R3">
        <f>Hdsmth!D3-dif!D3</f>
        <v>0</v>
      </c>
      <c r="S3">
        <f>Hdsmth!E3-dif!E3</f>
        <v>1</v>
      </c>
      <c r="T3">
        <f>Hdsmth!F3-dif!F3</f>
        <v>1</v>
      </c>
      <c r="U3">
        <f>Hdsmth!G3-dif!G3</f>
        <v>1</v>
      </c>
      <c r="V3">
        <f>Hdsmth!H3-dif!H3</f>
        <v>1</v>
      </c>
      <c r="W3">
        <f>Hdsmth!I3-dif!I3</f>
        <v>0</v>
      </c>
      <c r="X3">
        <f>Hdsmth!J3-dif!J3</f>
        <v>1</v>
      </c>
      <c r="Y3">
        <f>Hdsmth!K3-dif!K3</f>
        <v>1</v>
      </c>
      <c r="Z3">
        <f>Hdsmth!L3-dif!L3</f>
        <v>0</v>
      </c>
      <c r="AA3">
        <f>Hdsmth!M3-dif!M3</f>
        <v>-1</v>
      </c>
      <c r="AB3">
        <f>Hdsmth!N3-dif!N3</f>
        <v>-1</v>
      </c>
    </row>
    <row r="4" spans="1:28" x14ac:dyDescent="0.2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3</v>
      </c>
      <c r="O4">
        <v>2</v>
      </c>
      <c r="P4">
        <f>Hdsmth!B4-dif!B4</f>
        <v>1</v>
      </c>
      <c r="Q4">
        <f>Hdsmth!C4-dif!C4</f>
        <v>1</v>
      </c>
      <c r="R4">
        <f>Hdsmth!D4-dif!D4</f>
        <v>1</v>
      </c>
      <c r="S4">
        <f>Hdsmth!E4-dif!E4</f>
        <v>1</v>
      </c>
      <c r="T4">
        <f>Hdsmth!F4-dif!F4</f>
        <v>1</v>
      </c>
      <c r="U4">
        <f>Hdsmth!G4-dif!G4</f>
        <v>1</v>
      </c>
      <c r="V4">
        <f>Hdsmth!H4-dif!H4</f>
        <v>1</v>
      </c>
      <c r="W4">
        <f>Hdsmth!I4-dif!I4</f>
        <v>1</v>
      </c>
      <c r="X4">
        <f>Hdsmth!J4-dif!J4</f>
        <v>1</v>
      </c>
      <c r="Y4">
        <f>Hdsmth!K4-dif!K4</f>
        <v>1</v>
      </c>
      <c r="Z4">
        <f>Hdsmth!L4-dif!L4</f>
        <v>1</v>
      </c>
      <c r="AA4">
        <f>Hdsmth!M4-dif!M4</f>
        <v>1</v>
      </c>
      <c r="AB4">
        <f>Hdsmth!N4-dif!N4</f>
        <v>1</v>
      </c>
    </row>
    <row r="5" spans="1:28" x14ac:dyDescent="0.2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3</v>
      </c>
      <c r="J5">
        <v>3</v>
      </c>
      <c r="K5">
        <v>3</v>
      </c>
      <c r="L5">
        <v>3</v>
      </c>
      <c r="M5">
        <v>3</v>
      </c>
      <c r="N5">
        <v>4</v>
      </c>
      <c r="O5">
        <v>3</v>
      </c>
      <c r="P5">
        <f>Hdsmth!B5-dif!B5</f>
        <v>0</v>
      </c>
      <c r="Q5">
        <f>Hdsmth!C5-dif!C5</f>
        <v>0</v>
      </c>
      <c r="R5">
        <f>Hdsmth!D5-dif!D5</f>
        <v>0</v>
      </c>
      <c r="S5">
        <f>Hdsmth!E5-dif!E5</f>
        <v>1</v>
      </c>
      <c r="T5">
        <f>Hdsmth!F5-dif!F5</f>
        <v>1</v>
      </c>
      <c r="U5">
        <f>Hdsmth!G5-dif!G5</f>
        <v>1</v>
      </c>
      <c r="V5">
        <f>Hdsmth!H5-dif!H5</f>
        <v>1</v>
      </c>
      <c r="W5">
        <f>Hdsmth!I5-dif!I5</f>
        <v>0</v>
      </c>
      <c r="X5">
        <f>Hdsmth!J5-dif!J5</f>
        <v>1</v>
      </c>
      <c r="Y5">
        <f>Hdsmth!K5-dif!K5</f>
        <v>1</v>
      </c>
      <c r="Z5">
        <f>Hdsmth!L5-dif!L5</f>
        <v>1</v>
      </c>
      <c r="AA5">
        <f>Hdsmth!M5-dif!M5</f>
        <v>2</v>
      </c>
      <c r="AB5">
        <f>Hdsmth!N5-dif!N5</f>
        <v>2</v>
      </c>
    </row>
    <row r="6" spans="1:28" x14ac:dyDescent="0.2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3</v>
      </c>
      <c r="I6">
        <v>3</v>
      </c>
      <c r="J6">
        <v>3</v>
      </c>
      <c r="K6">
        <v>4</v>
      </c>
      <c r="L6">
        <v>4</v>
      </c>
      <c r="M6">
        <v>4</v>
      </c>
      <c r="N6">
        <v>4</v>
      </c>
      <c r="O6">
        <v>4</v>
      </c>
      <c r="P6">
        <f>Hdsmth!B6-dif!B6</f>
        <v>1</v>
      </c>
      <c r="Q6">
        <f>Hdsmth!C6-dif!C6</f>
        <v>1</v>
      </c>
      <c r="R6">
        <f>Hdsmth!D6-dif!D6</f>
        <v>1</v>
      </c>
      <c r="S6">
        <f>Hdsmth!E6-dif!E6</f>
        <v>1</v>
      </c>
      <c r="T6">
        <f>Hdsmth!F6-dif!F6</f>
        <v>1</v>
      </c>
      <c r="U6">
        <f>Hdsmth!G6-dif!G6</f>
        <v>1</v>
      </c>
      <c r="V6">
        <f>Hdsmth!H6-dif!H6</f>
        <v>1</v>
      </c>
      <c r="W6">
        <f>Hdsmth!I6-dif!I6</f>
        <v>1</v>
      </c>
      <c r="X6">
        <f>Hdsmth!J6-dif!J6</f>
        <v>1</v>
      </c>
      <c r="Y6">
        <f>Hdsmth!K6-dif!K6</f>
        <v>1</v>
      </c>
      <c r="Z6">
        <f>Hdsmth!L6-dif!L6</f>
        <v>1</v>
      </c>
      <c r="AA6">
        <f>Hdsmth!M6-dif!M6</f>
        <v>2</v>
      </c>
      <c r="AB6">
        <f>Hdsmth!N6-dif!N6</f>
        <v>3</v>
      </c>
    </row>
    <row r="7" spans="1:28" x14ac:dyDescent="0.2">
      <c r="A7">
        <v>5</v>
      </c>
      <c r="B7">
        <v>2</v>
      </c>
      <c r="C7">
        <v>2</v>
      </c>
      <c r="D7">
        <v>2</v>
      </c>
      <c r="E7">
        <v>2</v>
      </c>
      <c r="F7">
        <v>3</v>
      </c>
      <c r="G7">
        <v>3</v>
      </c>
      <c r="H7">
        <v>3</v>
      </c>
      <c r="I7">
        <v>4</v>
      </c>
      <c r="J7">
        <v>4</v>
      </c>
      <c r="K7">
        <v>4</v>
      </c>
      <c r="L7">
        <v>4</v>
      </c>
      <c r="M7">
        <v>4</v>
      </c>
      <c r="N7">
        <v>5</v>
      </c>
      <c r="O7">
        <v>5</v>
      </c>
      <c r="P7">
        <f>Hdsmth!B7-dif!B7</f>
        <v>1</v>
      </c>
      <c r="Q7">
        <f>Hdsmth!C7-dif!C7</f>
        <v>1</v>
      </c>
      <c r="R7">
        <f>Hdsmth!D7-dif!D7</f>
        <v>1</v>
      </c>
      <c r="S7">
        <f>Hdsmth!E7-dif!E7</f>
        <v>1</v>
      </c>
      <c r="T7">
        <f>Hdsmth!F7-dif!F7</f>
        <v>1</v>
      </c>
      <c r="U7">
        <f>Hdsmth!G7-dif!G7</f>
        <v>1</v>
      </c>
      <c r="V7">
        <f>Hdsmth!H7-dif!H7</f>
        <v>1</v>
      </c>
      <c r="W7">
        <f>Hdsmth!I7-dif!I7</f>
        <v>0</v>
      </c>
      <c r="X7">
        <f>Hdsmth!J7-dif!J7</f>
        <v>1</v>
      </c>
      <c r="Y7">
        <f>Hdsmth!K7-dif!K7</f>
        <v>1</v>
      </c>
      <c r="Z7">
        <f>Hdsmth!L7-dif!L7</f>
        <v>2</v>
      </c>
      <c r="AA7">
        <f>Hdsmth!M7-dif!M7</f>
        <v>2</v>
      </c>
      <c r="AB7">
        <f>Hdsmth!N7-dif!N7</f>
        <v>2</v>
      </c>
    </row>
    <row r="8" spans="1:28" x14ac:dyDescent="0.2">
      <c r="A8">
        <v>6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4</v>
      </c>
      <c r="I8">
        <v>4</v>
      </c>
      <c r="J8">
        <v>4</v>
      </c>
      <c r="K8">
        <v>5</v>
      </c>
      <c r="L8">
        <v>5</v>
      </c>
      <c r="M8">
        <v>5</v>
      </c>
      <c r="N8">
        <v>6</v>
      </c>
      <c r="O8">
        <v>6</v>
      </c>
      <c r="P8">
        <f>Hdsmth!B8-dif!B8</f>
        <v>1</v>
      </c>
      <c r="Q8">
        <f>Hdsmth!C8-dif!C8</f>
        <v>1</v>
      </c>
      <c r="R8">
        <f>Hdsmth!D8-dif!D8</f>
        <v>1</v>
      </c>
      <c r="S8">
        <f>Hdsmth!E8-dif!E8</f>
        <v>1</v>
      </c>
      <c r="T8">
        <f>Hdsmth!F8-dif!F8</f>
        <v>1</v>
      </c>
      <c r="U8">
        <f>Hdsmth!G8-dif!G8</f>
        <v>1</v>
      </c>
      <c r="V8">
        <f>Hdsmth!H8-dif!H8</f>
        <v>0</v>
      </c>
      <c r="W8">
        <f>Hdsmth!I8-dif!I8</f>
        <v>1</v>
      </c>
      <c r="X8">
        <f>Hdsmth!J8-dif!J8</f>
        <v>1</v>
      </c>
      <c r="Y8">
        <f>Hdsmth!K8-dif!K8</f>
        <v>1</v>
      </c>
      <c r="Z8">
        <f>Hdsmth!L8-dif!L8</f>
        <v>1</v>
      </c>
      <c r="AA8">
        <f>Hdsmth!M8-dif!M8</f>
        <v>2</v>
      </c>
      <c r="AB8">
        <f>Hdsmth!N8-dif!N8</f>
        <v>2</v>
      </c>
    </row>
    <row r="9" spans="1:28" x14ac:dyDescent="0.2">
      <c r="A9">
        <v>7</v>
      </c>
      <c r="B9">
        <v>3</v>
      </c>
      <c r="C9">
        <v>3</v>
      </c>
      <c r="D9">
        <v>3</v>
      </c>
      <c r="E9">
        <v>3</v>
      </c>
      <c r="F9">
        <v>4</v>
      </c>
      <c r="G9">
        <v>4</v>
      </c>
      <c r="H9">
        <v>4</v>
      </c>
      <c r="I9">
        <v>5</v>
      </c>
      <c r="J9">
        <v>5</v>
      </c>
      <c r="K9">
        <v>5</v>
      </c>
      <c r="L9">
        <v>6</v>
      </c>
      <c r="M9">
        <v>6</v>
      </c>
      <c r="N9">
        <v>7</v>
      </c>
      <c r="O9">
        <v>7</v>
      </c>
      <c r="P9">
        <f>Hdsmth!B9-dif!B9</f>
        <v>1</v>
      </c>
      <c r="Q9">
        <f>Hdsmth!C9-dif!C9</f>
        <v>1</v>
      </c>
      <c r="R9">
        <f>Hdsmth!D9-dif!D9</f>
        <v>1</v>
      </c>
      <c r="S9">
        <f>Hdsmth!E9-dif!E9</f>
        <v>1</v>
      </c>
      <c r="T9">
        <f>Hdsmth!F9-dif!F9</f>
        <v>0</v>
      </c>
      <c r="U9">
        <f>Hdsmth!G9-dif!G9</f>
        <v>1</v>
      </c>
      <c r="V9">
        <f>Hdsmth!H9-dif!H9</f>
        <v>1</v>
      </c>
      <c r="W9">
        <f>Hdsmth!I9-dif!I9</f>
        <v>0</v>
      </c>
      <c r="X9">
        <f>Hdsmth!J9-dif!J9</f>
        <v>1</v>
      </c>
      <c r="Y9">
        <f>Hdsmth!K9-dif!K9</f>
        <v>1</v>
      </c>
      <c r="Z9">
        <f>Hdsmth!L9-dif!L9</f>
        <v>1</v>
      </c>
      <c r="AA9">
        <f>Hdsmth!M9-dif!M9</f>
        <v>2</v>
      </c>
      <c r="AB9">
        <f>Hdsmth!N9-dif!N9</f>
        <v>2</v>
      </c>
    </row>
    <row r="10" spans="1:28" x14ac:dyDescent="0.2">
      <c r="A10">
        <v>8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5</v>
      </c>
      <c r="I10">
        <v>5</v>
      </c>
      <c r="J10">
        <v>6</v>
      </c>
      <c r="K10">
        <v>6</v>
      </c>
      <c r="L10">
        <v>7</v>
      </c>
      <c r="M10">
        <v>7</v>
      </c>
      <c r="N10">
        <v>8</v>
      </c>
      <c r="O10">
        <v>8</v>
      </c>
      <c r="P10">
        <f>Hdsmth!B10-dif!B10</f>
        <v>1</v>
      </c>
      <c r="Q10">
        <f>Hdsmth!C10-dif!C10</f>
        <v>1</v>
      </c>
      <c r="R10">
        <f>Hdsmth!D10-dif!D10</f>
        <v>1</v>
      </c>
      <c r="S10">
        <f>Hdsmth!E10-dif!E10</f>
        <v>1</v>
      </c>
      <c r="T10">
        <f>Hdsmth!F10-dif!F10</f>
        <v>1</v>
      </c>
      <c r="U10">
        <f>Hdsmth!G10-dif!G10</f>
        <v>1</v>
      </c>
      <c r="V10">
        <f>Hdsmth!H10-dif!H10</f>
        <v>0</v>
      </c>
      <c r="W10">
        <f>Hdsmth!I10-dif!I10</f>
        <v>1</v>
      </c>
      <c r="X10">
        <f>Hdsmth!J10-dif!J10</f>
        <v>1</v>
      </c>
      <c r="Y10">
        <f>Hdsmth!K10-dif!K10</f>
        <v>1</v>
      </c>
      <c r="Z10">
        <f>Hdsmth!L10-dif!L10</f>
        <v>1</v>
      </c>
      <c r="AA10">
        <f>Hdsmth!M10-dif!M10</f>
        <v>2</v>
      </c>
      <c r="AB10">
        <f>Hdsmth!N10-dif!N10</f>
        <v>1</v>
      </c>
    </row>
    <row r="11" spans="1:28" x14ac:dyDescent="0.2">
      <c r="A11">
        <v>9</v>
      </c>
      <c r="B11">
        <v>4</v>
      </c>
      <c r="C11">
        <v>4</v>
      </c>
      <c r="D11">
        <v>4</v>
      </c>
      <c r="E11">
        <v>4</v>
      </c>
      <c r="F11">
        <v>5</v>
      </c>
      <c r="G11">
        <v>5</v>
      </c>
      <c r="H11">
        <v>5</v>
      </c>
      <c r="I11">
        <v>6</v>
      </c>
      <c r="J11">
        <v>7</v>
      </c>
      <c r="K11">
        <v>7</v>
      </c>
      <c r="L11">
        <v>7</v>
      </c>
      <c r="M11">
        <v>8</v>
      </c>
      <c r="N11">
        <v>9</v>
      </c>
      <c r="O11">
        <v>9</v>
      </c>
      <c r="P11">
        <f>Hdsmth!B11-dif!B11</f>
        <v>1</v>
      </c>
      <c r="Q11">
        <f>Hdsmth!C11-dif!C11</f>
        <v>1</v>
      </c>
      <c r="R11">
        <f>Hdsmth!D11-dif!D11</f>
        <v>1</v>
      </c>
      <c r="S11">
        <f>Hdsmth!E11-dif!E11</f>
        <v>1</v>
      </c>
      <c r="T11">
        <f>Hdsmth!F11-dif!F11</f>
        <v>0</v>
      </c>
      <c r="U11">
        <f>Hdsmth!G11-dif!G11</f>
        <v>1</v>
      </c>
      <c r="V11">
        <f>Hdsmth!H11-dif!H11</f>
        <v>1</v>
      </c>
      <c r="W11">
        <f>Hdsmth!I11-dif!I11</f>
        <v>1</v>
      </c>
      <c r="X11">
        <f>Hdsmth!J11-dif!J11</f>
        <v>0</v>
      </c>
      <c r="Y11">
        <f>Hdsmth!K11-dif!K11</f>
        <v>1</v>
      </c>
      <c r="Z11">
        <f>Hdsmth!L11-dif!L11</f>
        <v>1</v>
      </c>
      <c r="AA11">
        <f>Hdsmth!M11-dif!M11</f>
        <v>1</v>
      </c>
      <c r="AB11">
        <f>Hdsmth!N11-dif!N11</f>
        <v>1</v>
      </c>
    </row>
    <row r="12" spans="1:28" x14ac:dyDescent="0.2">
      <c r="A12">
        <v>10</v>
      </c>
      <c r="B12">
        <v>5</v>
      </c>
      <c r="C12">
        <v>5</v>
      </c>
      <c r="D12">
        <v>5</v>
      </c>
      <c r="E12">
        <v>5</v>
      </c>
      <c r="F12">
        <v>5</v>
      </c>
      <c r="G12">
        <v>6</v>
      </c>
      <c r="H12">
        <v>6</v>
      </c>
      <c r="I12">
        <v>7</v>
      </c>
      <c r="J12">
        <v>7</v>
      </c>
      <c r="K12">
        <v>8</v>
      </c>
      <c r="L12">
        <v>8</v>
      </c>
      <c r="M12">
        <v>9</v>
      </c>
      <c r="N12">
        <v>10</v>
      </c>
      <c r="O12">
        <v>10</v>
      </c>
      <c r="P12">
        <f>Hdsmth!B12-dif!B12</f>
        <v>1</v>
      </c>
      <c r="Q12">
        <f>Hdsmth!C12-dif!C12</f>
        <v>1</v>
      </c>
      <c r="R12">
        <f>Hdsmth!D12-dif!D12</f>
        <v>1</v>
      </c>
      <c r="S12">
        <f>Hdsmth!E12-dif!E12</f>
        <v>1</v>
      </c>
      <c r="T12">
        <f>Hdsmth!F12-dif!F12</f>
        <v>1</v>
      </c>
      <c r="U12">
        <f>Hdsmth!G12-dif!G12</f>
        <v>0</v>
      </c>
      <c r="V12">
        <f>Hdsmth!H12-dif!H12</f>
        <v>1</v>
      </c>
      <c r="W12">
        <f>Hdsmth!I12-dif!I12</f>
        <v>0</v>
      </c>
      <c r="X12">
        <f>Hdsmth!J12-dif!J12</f>
        <v>1</v>
      </c>
      <c r="Y12">
        <f>Hdsmth!K12-dif!K12</f>
        <v>0</v>
      </c>
      <c r="Z12">
        <f>Hdsmth!L12-dif!L12</f>
        <v>1</v>
      </c>
      <c r="AA12">
        <f>Hdsmth!M12-dif!M12</f>
        <v>1</v>
      </c>
      <c r="AB12">
        <f>Hdsmth!N12-dif!N12</f>
        <v>0</v>
      </c>
    </row>
    <row r="13" spans="1:28" x14ac:dyDescent="0.2">
      <c r="A13">
        <v>11</v>
      </c>
      <c r="B13">
        <v>5</v>
      </c>
      <c r="C13">
        <v>5</v>
      </c>
      <c r="D13">
        <v>5</v>
      </c>
      <c r="E13">
        <v>6</v>
      </c>
      <c r="F13">
        <v>6</v>
      </c>
      <c r="G13">
        <v>7</v>
      </c>
      <c r="H13">
        <v>7</v>
      </c>
      <c r="I13">
        <v>7</v>
      </c>
      <c r="J13">
        <v>8</v>
      </c>
      <c r="K13">
        <v>8</v>
      </c>
      <c r="L13">
        <v>9</v>
      </c>
      <c r="M13">
        <v>10</v>
      </c>
      <c r="N13">
        <v>10</v>
      </c>
      <c r="O13">
        <v>11</v>
      </c>
      <c r="P13">
        <f>Hdsmth!B13-dif!B13</f>
        <v>2</v>
      </c>
      <c r="Q13">
        <f>Hdsmth!C13-dif!C13</f>
        <v>2</v>
      </c>
      <c r="R13">
        <f>Hdsmth!D13-dif!D13</f>
        <v>1</v>
      </c>
      <c r="S13">
        <f>Hdsmth!E13-dif!E13</f>
        <v>0</v>
      </c>
      <c r="T13">
        <f>Hdsmth!F13-dif!F13</f>
        <v>1</v>
      </c>
      <c r="U13">
        <f>Hdsmth!G13-dif!G13</f>
        <v>0</v>
      </c>
      <c r="V13">
        <f>Hdsmth!H13-dif!H13</f>
        <v>0</v>
      </c>
      <c r="W13">
        <f>Hdsmth!I13-dif!I13</f>
        <v>1</v>
      </c>
      <c r="X13">
        <f>Hdsmth!J13-dif!J13</f>
        <v>0</v>
      </c>
      <c r="Y13">
        <f>Hdsmth!K13-dif!K13</f>
        <v>1</v>
      </c>
      <c r="Z13">
        <f>Hdsmth!L13-dif!L13</f>
        <v>1</v>
      </c>
      <c r="AA13">
        <f>Hdsmth!M13-dif!M13</f>
        <v>0</v>
      </c>
      <c r="AB13">
        <f>Hdsmth!N13-dif!N13</f>
        <v>1</v>
      </c>
    </row>
    <row r="14" spans="1:28" x14ac:dyDescent="0.2">
      <c r="A14">
        <v>12</v>
      </c>
      <c r="B14">
        <v>6</v>
      </c>
      <c r="C14">
        <v>6</v>
      </c>
      <c r="D14">
        <v>6</v>
      </c>
      <c r="E14">
        <v>6</v>
      </c>
      <c r="F14">
        <v>7</v>
      </c>
      <c r="G14">
        <v>7</v>
      </c>
      <c r="H14">
        <v>7</v>
      </c>
      <c r="I14">
        <v>8</v>
      </c>
      <c r="J14">
        <v>8</v>
      </c>
      <c r="K14">
        <v>9</v>
      </c>
      <c r="L14">
        <v>10</v>
      </c>
      <c r="M14">
        <v>10</v>
      </c>
      <c r="N14">
        <v>11</v>
      </c>
      <c r="O14">
        <v>12</v>
      </c>
      <c r="P14">
        <f>Hdsmth!B14-dif!B14</f>
        <v>1</v>
      </c>
      <c r="Q14">
        <f>Hdsmth!C14-dif!C14</f>
        <v>1</v>
      </c>
      <c r="R14">
        <f>Hdsmth!D14-dif!D14</f>
        <v>1</v>
      </c>
      <c r="S14">
        <f>Hdsmth!E14-dif!E14</f>
        <v>1</v>
      </c>
      <c r="T14">
        <f>Hdsmth!F14-dif!F14</f>
        <v>0</v>
      </c>
      <c r="U14">
        <f>Hdsmth!G14-dif!G14</f>
        <v>0</v>
      </c>
      <c r="V14">
        <f>Hdsmth!H14-dif!H14</f>
        <v>1</v>
      </c>
      <c r="W14">
        <f>Hdsmth!I14-dif!I14</f>
        <v>0</v>
      </c>
      <c r="X14">
        <f>Hdsmth!J14-dif!J14</f>
        <v>1</v>
      </c>
      <c r="Y14">
        <f>Hdsmth!K14-dif!K14</f>
        <v>1</v>
      </c>
      <c r="Z14">
        <f>Hdsmth!L14-dif!L14</f>
        <v>0</v>
      </c>
      <c r="AA14">
        <f>Hdsmth!M14-dif!M14</f>
        <v>1</v>
      </c>
      <c r="AB14">
        <f>Hdsmth!N14-dif!N14</f>
        <v>0</v>
      </c>
    </row>
    <row r="15" spans="1:28" x14ac:dyDescent="0.2">
      <c r="A15">
        <v>13</v>
      </c>
      <c r="B15">
        <v>7</v>
      </c>
      <c r="C15">
        <v>7</v>
      </c>
      <c r="D15">
        <v>7</v>
      </c>
      <c r="E15">
        <v>7</v>
      </c>
      <c r="F15">
        <v>7</v>
      </c>
      <c r="G15">
        <v>8</v>
      </c>
      <c r="H15">
        <v>8</v>
      </c>
      <c r="I15">
        <v>9</v>
      </c>
      <c r="J15">
        <v>9</v>
      </c>
      <c r="K15">
        <v>10</v>
      </c>
      <c r="L15">
        <v>10</v>
      </c>
      <c r="M15">
        <v>11</v>
      </c>
      <c r="N15">
        <v>12</v>
      </c>
      <c r="O15">
        <v>13</v>
      </c>
      <c r="P15">
        <f>Hdsmth!B15-dif!B15</f>
        <v>1</v>
      </c>
      <c r="Q15">
        <f>Hdsmth!C15-dif!C15</f>
        <v>1</v>
      </c>
      <c r="R15">
        <f>Hdsmth!D15-dif!D15</f>
        <v>1</v>
      </c>
      <c r="S15">
        <f>Hdsmth!E15-dif!E15</f>
        <v>0</v>
      </c>
      <c r="T15">
        <f>Hdsmth!F15-dif!F15</f>
        <v>1</v>
      </c>
      <c r="U15">
        <f>Hdsmth!G15-dif!G15</f>
        <v>0</v>
      </c>
      <c r="V15">
        <f>Hdsmth!H15-dif!H15</f>
        <v>0</v>
      </c>
      <c r="W15">
        <f>Hdsmth!I15-dif!I15</f>
        <v>0</v>
      </c>
      <c r="X15">
        <f>Hdsmth!J15-dif!J15</f>
        <v>1</v>
      </c>
      <c r="Y15">
        <f>Hdsmth!K15-dif!K15</f>
        <v>0</v>
      </c>
      <c r="Z15">
        <f>Hdsmth!L15-dif!L15</f>
        <v>1</v>
      </c>
      <c r="AA15">
        <f>Hdsmth!M15-dif!M15</f>
        <v>0</v>
      </c>
      <c r="AB15">
        <f>Hdsmth!N15-dif!N15</f>
        <v>0</v>
      </c>
    </row>
    <row r="16" spans="1:28" x14ac:dyDescent="0.2">
      <c r="A16">
        <v>14</v>
      </c>
      <c r="B16">
        <v>7</v>
      </c>
      <c r="C16">
        <v>7</v>
      </c>
      <c r="D16">
        <v>7</v>
      </c>
      <c r="E16">
        <v>7</v>
      </c>
      <c r="F16">
        <v>8</v>
      </c>
      <c r="G16">
        <v>8</v>
      </c>
      <c r="H16">
        <v>9</v>
      </c>
      <c r="I16">
        <v>9</v>
      </c>
      <c r="J16">
        <v>10</v>
      </c>
      <c r="K16">
        <v>10</v>
      </c>
      <c r="L16">
        <v>11</v>
      </c>
      <c r="M16">
        <v>12</v>
      </c>
      <c r="N16">
        <v>13</v>
      </c>
      <c r="O16">
        <v>14</v>
      </c>
      <c r="P16">
        <f>Hdsmth!B16-dif!B16</f>
        <v>1</v>
      </c>
      <c r="Q16">
        <f>Hdsmth!C16-dif!C16</f>
        <v>1</v>
      </c>
      <c r="R16">
        <f>Hdsmth!D16-dif!D16</f>
        <v>1</v>
      </c>
      <c r="S16">
        <f>Hdsmth!E16-dif!E16</f>
        <v>1</v>
      </c>
      <c r="T16">
        <f>Hdsmth!F16-dif!F16</f>
        <v>0</v>
      </c>
      <c r="U16">
        <f>Hdsmth!G16-dif!G16</f>
        <v>0</v>
      </c>
      <c r="V16">
        <f>Hdsmth!H16-dif!H16</f>
        <v>0</v>
      </c>
      <c r="W16">
        <f>Hdsmth!I16-dif!I16</f>
        <v>0</v>
      </c>
      <c r="X16">
        <f>Hdsmth!J16-dif!J16</f>
        <v>0</v>
      </c>
      <c r="Y16">
        <f>Hdsmth!K16-dif!K16</f>
        <v>1</v>
      </c>
      <c r="Z16">
        <f>Hdsmth!L16-dif!L16</f>
        <v>0</v>
      </c>
      <c r="AA16">
        <f>Hdsmth!M16-dif!M16</f>
        <v>0</v>
      </c>
      <c r="AB16">
        <f>Hdsmth!N16-dif!N16</f>
        <v>-1</v>
      </c>
    </row>
    <row r="17" spans="1:28" x14ac:dyDescent="0.2">
      <c r="A17">
        <v>15</v>
      </c>
      <c r="B17">
        <v>8</v>
      </c>
      <c r="C17">
        <v>8</v>
      </c>
      <c r="D17">
        <v>8</v>
      </c>
      <c r="E17">
        <v>8</v>
      </c>
      <c r="F17">
        <v>8</v>
      </c>
      <c r="G17">
        <v>9</v>
      </c>
      <c r="H17">
        <v>9</v>
      </c>
      <c r="I17">
        <v>10</v>
      </c>
      <c r="J17">
        <v>10</v>
      </c>
      <c r="K17">
        <v>11</v>
      </c>
      <c r="L17">
        <v>12</v>
      </c>
      <c r="M17">
        <v>13</v>
      </c>
      <c r="N17">
        <v>13</v>
      </c>
      <c r="O17">
        <v>15</v>
      </c>
      <c r="P17">
        <f>Hdsmth!B17-dif!B17</f>
        <v>1</v>
      </c>
      <c r="Q17">
        <f>Hdsmth!C17-dif!C17</f>
        <v>1</v>
      </c>
      <c r="R17">
        <f>Hdsmth!D17-dif!D17</f>
        <v>1</v>
      </c>
      <c r="S17">
        <f>Hdsmth!E17-dif!E17</f>
        <v>0</v>
      </c>
      <c r="T17">
        <f>Hdsmth!F17-dif!F17</f>
        <v>1</v>
      </c>
      <c r="U17">
        <f>Hdsmth!G17-dif!G17</f>
        <v>0</v>
      </c>
      <c r="V17">
        <f>Hdsmth!H17-dif!H17</f>
        <v>0</v>
      </c>
      <c r="W17">
        <f>Hdsmth!I17-dif!I17</f>
        <v>0</v>
      </c>
      <c r="X17">
        <f>Hdsmth!J17-dif!J17</f>
        <v>1</v>
      </c>
      <c r="Y17">
        <f>Hdsmth!K17-dif!K17</f>
        <v>0</v>
      </c>
      <c r="Z17">
        <f>Hdsmth!L17-dif!L17</f>
        <v>0</v>
      </c>
      <c r="AA17">
        <f>Hdsmth!M17-dif!M17</f>
        <v>-1</v>
      </c>
      <c r="AB17">
        <f>Hdsmth!N17-dif!N17</f>
        <v>-1</v>
      </c>
    </row>
    <row r="18" spans="1:28" x14ac:dyDescent="0.2">
      <c r="A18">
        <v>16</v>
      </c>
      <c r="B18">
        <v>9</v>
      </c>
      <c r="C18">
        <v>9</v>
      </c>
      <c r="D18">
        <v>9</v>
      </c>
      <c r="E18">
        <v>9</v>
      </c>
      <c r="F18">
        <v>9</v>
      </c>
      <c r="G18">
        <v>10</v>
      </c>
      <c r="H18">
        <v>10</v>
      </c>
      <c r="I18">
        <v>11</v>
      </c>
      <c r="J18">
        <v>11</v>
      </c>
      <c r="K18">
        <v>12</v>
      </c>
      <c r="L18">
        <v>12</v>
      </c>
      <c r="M18">
        <v>13</v>
      </c>
      <c r="N18">
        <v>14</v>
      </c>
      <c r="O18">
        <v>16</v>
      </c>
      <c r="P18">
        <f>Hdsmth!B18-dif!B18</f>
        <v>1</v>
      </c>
      <c r="Q18">
        <f>Hdsmth!C18-dif!C18</f>
        <v>0</v>
      </c>
      <c r="R18">
        <f>Hdsmth!D18-dif!D18</f>
        <v>0</v>
      </c>
      <c r="S18">
        <f>Hdsmth!E18-dif!E18</f>
        <v>0</v>
      </c>
      <c r="T18">
        <f>Hdsmth!F18-dif!F18</f>
        <v>0</v>
      </c>
      <c r="U18">
        <f>Hdsmth!G18-dif!G18</f>
        <v>-1</v>
      </c>
      <c r="V18">
        <f>Hdsmth!H18-dif!H18</f>
        <v>0</v>
      </c>
      <c r="W18">
        <f>Hdsmth!I18-dif!I18</f>
        <v>0</v>
      </c>
      <c r="X18">
        <f>Hdsmth!J18-dif!J18</f>
        <v>0</v>
      </c>
      <c r="Y18">
        <f>Hdsmth!K18-dif!K18</f>
        <v>0</v>
      </c>
      <c r="Z18">
        <f>Hdsmth!L18-dif!L18</f>
        <v>0</v>
      </c>
      <c r="AA18">
        <f>Hdsmth!M18-dif!M18</f>
        <v>0</v>
      </c>
      <c r="AB18">
        <f>Hdsmth!N18-dif!N18</f>
        <v>-1</v>
      </c>
    </row>
    <row r="19" spans="1:28" x14ac:dyDescent="0.2">
      <c r="A19">
        <v>17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11</v>
      </c>
      <c r="I19">
        <v>12</v>
      </c>
      <c r="J19">
        <v>12</v>
      </c>
      <c r="K19">
        <v>13</v>
      </c>
      <c r="L19">
        <v>13</v>
      </c>
      <c r="M19">
        <v>14</v>
      </c>
      <c r="N19">
        <v>15</v>
      </c>
      <c r="O19">
        <v>17</v>
      </c>
      <c r="P19">
        <f>Hdsmth!B19-dif!B19</f>
        <v>0</v>
      </c>
      <c r="Q19">
        <f>Hdsmth!C19-dif!C19</f>
        <v>0</v>
      </c>
      <c r="R19">
        <f>Hdsmth!D19-dif!D19</f>
        <v>0</v>
      </c>
      <c r="S19">
        <f>Hdsmth!E19-dif!E19</f>
        <v>0</v>
      </c>
      <c r="T19">
        <f>Hdsmth!F19-dif!F19</f>
        <v>0</v>
      </c>
      <c r="U19">
        <f>Hdsmth!G19-dif!G19</f>
        <v>0</v>
      </c>
      <c r="V19">
        <f>Hdsmth!H19-dif!H19</f>
        <v>-1</v>
      </c>
      <c r="W19">
        <f>Hdsmth!I19-dif!I19</f>
        <v>-1</v>
      </c>
      <c r="X19">
        <f>Hdsmth!J19-dif!J19</f>
        <v>0</v>
      </c>
      <c r="Y19">
        <f>Hdsmth!K19-dif!K19</f>
        <v>0</v>
      </c>
      <c r="Z19">
        <f>Hdsmth!L19-dif!L19</f>
        <v>0</v>
      </c>
      <c r="AA19">
        <f>Hdsmth!M19-dif!M19</f>
        <v>-1</v>
      </c>
      <c r="AB19">
        <f>Hdsmth!N19-dif!N19</f>
        <v>-2</v>
      </c>
    </row>
    <row r="20" spans="1:28" x14ac:dyDescent="0.2">
      <c r="A20">
        <v>18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11</v>
      </c>
      <c r="H20">
        <v>12</v>
      </c>
      <c r="I20">
        <v>13</v>
      </c>
      <c r="J20">
        <v>13</v>
      </c>
      <c r="K20">
        <v>13</v>
      </c>
      <c r="L20">
        <v>14</v>
      </c>
      <c r="M20">
        <v>15</v>
      </c>
      <c r="N20">
        <v>16</v>
      </c>
      <c r="O20">
        <v>18</v>
      </c>
      <c r="P20">
        <f>Hdsmth!B20-dif!B20</f>
        <v>1</v>
      </c>
      <c r="Q20">
        <f>Hdsmth!C20-dif!C20</f>
        <v>1</v>
      </c>
      <c r="R20">
        <f>Hdsmth!D20-dif!D20</f>
        <v>0</v>
      </c>
      <c r="S20">
        <f>Hdsmth!E20-dif!E20</f>
        <v>0</v>
      </c>
      <c r="T20">
        <f>Hdsmth!F20-dif!F20</f>
        <v>0</v>
      </c>
      <c r="U20">
        <f>Hdsmth!G20-dif!G20</f>
        <v>-1</v>
      </c>
      <c r="V20">
        <f>Hdsmth!H20-dif!H20</f>
        <v>-1</v>
      </c>
      <c r="W20">
        <f>Hdsmth!I20-dif!I20</f>
        <v>-1</v>
      </c>
      <c r="X20">
        <f>Hdsmth!J20-dif!J20</f>
        <v>0</v>
      </c>
      <c r="Y20">
        <f>Hdsmth!K20-dif!K20</f>
        <v>0</v>
      </c>
      <c r="Z20">
        <f>Hdsmth!L20-dif!L20</f>
        <v>-1</v>
      </c>
      <c r="AA20">
        <f>Hdsmth!M20-dif!M20</f>
        <v>-1</v>
      </c>
      <c r="AB20">
        <f>Hdsmth!N20-dif!N20</f>
        <v>-2</v>
      </c>
    </row>
    <row r="21" spans="1:28" x14ac:dyDescent="0.2">
      <c r="A21">
        <v>19</v>
      </c>
      <c r="B21">
        <v>11</v>
      </c>
      <c r="C21">
        <v>11</v>
      </c>
      <c r="D21">
        <v>11</v>
      </c>
      <c r="E21">
        <v>11</v>
      </c>
      <c r="F21">
        <v>11</v>
      </c>
      <c r="G21">
        <v>12</v>
      </c>
      <c r="H21">
        <v>13</v>
      </c>
      <c r="I21">
        <v>13</v>
      </c>
      <c r="J21">
        <v>13</v>
      </c>
      <c r="K21">
        <v>14</v>
      </c>
      <c r="L21">
        <v>15</v>
      </c>
      <c r="M21">
        <v>16</v>
      </c>
      <c r="N21">
        <v>16</v>
      </c>
      <c r="O21">
        <v>19</v>
      </c>
      <c r="P21">
        <f>Hdsmth!B21-dif!B21</f>
        <v>1</v>
      </c>
      <c r="Q21">
        <f>Hdsmth!C21-dif!C21</f>
        <v>0</v>
      </c>
      <c r="R21">
        <f>Hdsmth!D21-dif!D21</f>
        <v>0</v>
      </c>
      <c r="S21">
        <f>Hdsmth!E21-dif!E21</f>
        <v>0</v>
      </c>
      <c r="T21">
        <f>Hdsmth!F21-dif!F21</f>
        <v>0</v>
      </c>
      <c r="U21">
        <f>Hdsmth!G21-dif!G21</f>
        <v>-1</v>
      </c>
      <c r="V21">
        <f>Hdsmth!H21-dif!H21</f>
        <v>-1</v>
      </c>
      <c r="W21">
        <f>Hdsmth!I21-dif!I21</f>
        <v>0</v>
      </c>
      <c r="X21">
        <f>Hdsmth!J21-dif!J21</f>
        <v>0</v>
      </c>
      <c r="Y21">
        <f>Hdsmth!K21-dif!K21</f>
        <v>0</v>
      </c>
      <c r="Z21">
        <f>Hdsmth!L21-dif!L21</f>
        <v>-1</v>
      </c>
      <c r="AA21">
        <f>Hdsmth!M21-dif!M21</f>
        <v>-2</v>
      </c>
      <c r="AB21">
        <f>Hdsmth!N21-dif!N21</f>
        <v>-2</v>
      </c>
    </row>
    <row r="22" spans="1:28" x14ac:dyDescent="0.2">
      <c r="A22">
        <v>20</v>
      </c>
      <c r="B22">
        <v>12</v>
      </c>
      <c r="C22">
        <v>12</v>
      </c>
      <c r="D22">
        <v>12</v>
      </c>
      <c r="E22">
        <v>12</v>
      </c>
      <c r="F22">
        <v>12</v>
      </c>
      <c r="G22">
        <v>13</v>
      </c>
      <c r="H22">
        <v>13</v>
      </c>
      <c r="I22">
        <v>14</v>
      </c>
      <c r="J22">
        <v>14</v>
      </c>
      <c r="K22">
        <v>15</v>
      </c>
      <c r="L22">
        <v>15</v>
      </c>
      <c r="M22">
        <v>16</v>
      </c>
      <c r="N22">
        <v>17</v>
      </c>
      <c r="O22">
        <v>20</v>
      </c>
      <c r="P22">
        <f>Hdsmth!B22-dif!B22</f>
        <v>0</v>
      </c>
      <c r="Q22">
        <f>Hdsmth!C22-dif!C22</f>
        <v>0</v>
      </c>
      <c r="R22">
        <f>Hdsmth!D22-dif!D22</f>
        <v>0</v>
      </c>
      <c r="S22">
        <f>Hdsmth!E22-dif!E22</f>
        <v>-1</v>
      </c>
      <c r="T22">
        <f>Hdsmth!F22-dif!F22</f>
        <v>-1</v>
      </c>
      <c r="U22">
        <f>Hdsmth!G22-dif!G22</f>
        <v>-1</v>
      </c>
      <c r="V22">
        <f>Hdsmth!H22-dif!H22</f>
        <v>-1</v>
      </c>
      <c r="W22">
        <f>Hdsmth!I22-dif!I22</f>
        <v>-1</v>
      </c>
      <c r="X22">
        <f>Hdsmth!J22-dif!J22</f>
        <v>0</v>
      </c>
      <c r="Y22">
        <f>Hdsmth!K22-dif!K22</f>
        <v>-1</v>
      </c>
      <c r="Z22">
        <f>Hdsmth!L22-dif!L22</f>
        <v>0</v>
      </c>
      <c r="AA22">
        <f>Hdsmth!M22-dif!M22</f>
        <v>-1</v>
      </c>
      <c r="AB22">
        <f>Hdsmth!N22-dif!N22</f>
        <v>-2</v>
      </c>
    </row>
    <row r="23" spans="1:28" x14ac:dyDescent="0.2">
      <c r="A23">
        <v>21</v>
      </c>
      <c r="B23">
        <v>13</v>
      </c>
      <c r="C23">
        <v>13</v>
      </c>
      <c r="D23">
        <v>13</v>
      </c>
      <c r="E23">
        <v>13</v>
      </c>
      <c r="F23">
        <v>13</v>
      </c>
      <c r="G23">
        <v>14</v>
      </c>
      <c r="H23">
        <v>14</v>
      </c>
      <c r="I23">
        <v>15</v>
      </c>
      <c r="J23">
        <v>15</v>
      </c>
      <c r="K23">
        <v>16</v>
      </c>
      <c r="L23">
        <v>16</v>
      </c>
      <c r="M23">
        <v>17</v>
      </c>
      <c r="N23">
        <v>17</v>
      </c>
      <c r="O23">
        <v>21</v>
      </c>
      <c r="P23">
        <f>Hdsmth!B23-dif!B23</f>
        <v>0</v>
      </c>
      <c r="Q23">
        <f>Hdsmth!C23-dif!C23</f>
        <v>0</v>
      </c>
      <c r="R23">
        <f>Hdsmth!D23-dif!D23</f>
        <v>-1</v>
      </c>
      <c r="S23">
        <f>Hdsmth!E23-dif!E23</f>
        <v>-1</v>
      </c>
      <c r="T23">
        <f>Hdsmth!F23-dif!F23</f>
        <v>-1</v>
      </c>
      <c r="U23">
        <f>Hdsmth!G23-dif!G23</f>
        <v>-2</v>
      </c>
      <c r="V23">
        <f>Hdsmth!H23-dif!H23</f>
        <v>-1</v>
      </c>
      <c r="W23">
        <f>Hdsmth!I23-dif!I23</f>
        <v>-1</v>
      </c>
      <c r="X23">
        <f>Hdsmth!J23-dif!J23</f>
        <v>0</v>
      </c>
      <c r="Y23">
        <f>Hdsmth!K23-dif!K23</f>
        <v>-1</v>
      </c>
      <c r="Z23">
        <f>Hdsmth!L23-dif!L23</f>
        <v>-1</v>
      </c>
      <c r="AA23">
        <f>Hdsmth!M23-dif!M23</f>
        <v>-2</v>
      </c>
      <c r="AB23">
        <f>Hdsmth!N23-dif!N23</f>
        <v>-2</v>
      </c>
    </row>
    <row r="24" spans="1:28" x14ac:dyDescent="0.2">
      <c r="A24">
        <v>22</v>
      </c>
      <c r="B24">
        <v>14</v>
      </c>
      <c r="C24">
        <v>14</v>
      </c>
      <c r="D24">
        <v>14</v>
      </c>
      <c r="E24">
        <v>14</v>
      </c>
      <c r="F24">
        <v>14</v>
      </c>
      <c r="G24">
        <v>15</v>
      </c>
      <c r="H24">
        <v>15</v>
      </c>
      <c r="I24">
        <v>16</v>
      </c>
      <c r="J24">
        <v>16</v>
      </c>
      <c r="K24">
        <v>17</v>
      </c>
      <c r="L24">
        <v>17</v>
      </c>
      <c r="M24">
        <v>18</v>
      </c>
      <c r="N24">
        <v>18</v>
      </c>
      <c r="O24">
        <v>22</v>
      </c>
      <c r="P24">
        <f>Hdsmth!B24-dif!B24</f>
        <v>0</v>
      </c>
      <c r="Q24">
        <f>Hdsmth!C24-dif!C24</f>
        <v>0</v>
      </c>
      <c r="R24">
        <f>Hdsmth!D24-dif!D24</f>
        <v>-1</v>
      </c>
      <c r="S24">
        <f>Hdsmth!E24-dif!E24</f>
        <v>-1</v>
      </c>
      <c r="T24">
        <f>Hdsmth!F24-dif!F24</f>
        <v>-1</v>
      </c>
      <c r="U24">
        <f>Hdsmth!G24-dif!G24</f>
        <v>-2</v>
      </c>
      <c r="V24">
        <f>Hdsmth!H24-dif!H24</f>
        <v>-1</v>
      </c>
      <c r="W24">
        <f>Hdsmth!I24-dif!I24</f>
        <v>-1</v>
      </c>
      <c r="X24">
        <f>Hdsmth!J24-dif!J24</f>
        <v>-1</v>
      </c>
      <c r="Y24">
        <f>Hdsmth!K24-dif!K24</f>
        <v>-2</v>
      </c>
      <c r="Z24">
        <f>Hdsmth!L24-dif!L24</f>
        <v>-1</v>
      </c>
      <c r="AA24">
        <f>Hdsmth!M24-dif!M24</f>
        <v>-2</v>
      </c>
      <c r="AB24">
        <f>Hdsmth!N24-dif!N24</f>
        <v>-2</v>
      </c>
    </row>
    <row r="25" spans="1:28" x14ac:dyDescent="0.2">
      <c r="A25">
        <v>23</v>
      </c>
      <c r="B25">
        <v>15</v>
      </c>
      <c r="C25">
        <v>15</v>
      </c>
      <c r="D25">
        <v>15</v>
      </c>
      <c r="E25">
        <v>15</v>
      </c>
      <c r="F25">
        <v>15</v>
      </c>
      <c r="G25">
        <v>16</v>
      </c>
      <c r="H25">
        <v>16</v>
      </c>
      <c r="I25">
        <v>16</v>
      </c>
      <c r="J25">
        <v>17</v>
      </c>
      <c r="K25">
        <v>17</v>
      </c>
      <c r="L25">
        <v>18</v>
      </c>
      <c r="M25">
        <v>18</v>
      </c>
      <c r="N25">
        <v>18</v>
      </c>
      <c r="O25">
        <v>23</v>
      </c>
      <c r="P25">
        <f>Hdsmth!B25-dif!B25</f>
        <v>0</v>
      </c>
      <c r="Q25">
        <f>Hdsmth!C25-dif!C25</f>
        <v>0</v>
      </c>
      <c r="R25">
        <f>Hdsmth!D25-dif!D25</f>
        <v>-1</v>
      </c>
      <c r="S25">
        <f>Hdsmth!E25-dif!E25</f>
        <v>-1</v>
      </c>
      <c r="T25">
        <f>Hdsmth!F25-dif!F25</f>
        <v>-1</v>
      </c>
      <c r="U25">
        <f>Hdsmth!G25-dif!G25</f>
        <v>-2</v>
      </c>
      <c r="V25">
        <f>Hdsmth!H25-dif!H25</f>
        <v>-1</v>
      </c>
      <c r="W25">
        <f>Hdsmth!I25-dif!I25</f>
        <v>0</v>
      </c>
      <c r="X25">
        <f>Hdsmth!J25-dif!J25</f>
        <v>-1</v>
      </c>
      <c r="Y25">
        <f>Hdsmth!K25-dif!K25</f>
        <v>-1</v>
      </c>
      <c r="Z25">
        <f>Hdsmth!L25-dif!L25</f>
        <v>-2</v>
      </c>
      <c r="AA25">
        <f>Hdsmth!M25-dif!M25</f>
        <v>-2</v>
      </c>
      <c r="AB25">
        <f>Hdsmth!N25-dif!N25</f>
        <v>-2</v>
      </c>
    </row>
    <row r="26" spans="1:28" x14ac:dyDescent="0.2">
      <c r="A26">
        <v>24</v>
      </c>
      <c r="B26">
        <v>16</v>
      </c>
      <c r="C26">
        <v>16</v>
      </c>
      <c r="D26">
        <v>16</v>
      </c>
      <c r="E26">
        <v>16</v>
      </c>
      <c r="F26">
        <v>17</v>
      </c>
      <c r="G26">
        <v>17</v>
      </c>
      <c r="H26">
        <v>17</v>
      </c>
      <c r="I26">
        <v>17</v>
      </c>
      <c r="J26">
        <v>18</v>
      </c>
      <c r="K26">
        <v>18</v>
      </c>
      <c r="L26">
        <v>18</v>
      </c>
      <c r="M26">
        <v>19</v>
      </c>
      <c r="N26">
        <v>19</v>
      </c>
      <c r="O26">
        <v>24</v>
      </c>
      <c r="P26">
        <f>Hdsmth!B26-dif!B26</f>
        <v>0</v>
      </c>
      <c r="Q26">
        <f>Hdsmth!C26-dif!C26</f>
        <v>0</v>
      </c>
      <c r="R26">
        <f>Hdsmth!D26-dif!D26</f>
        <v>-1</v>
      </c>
      <c r="S26">
        <f>Hdsmth!E26-dif!E26</f>
        <v>-1</v>
      </c>
      <c r="T26">
        <f>Hdsmth!F26-dif!F26</f>
        <v>-2</v>
      </c>
      <c r="U26">
        <f>Hdsmth!G26-dif!G26</f>
        <v>-2</v>
      </c>
      <c r="V26">
        <f>Hdsmth!H26-dif!H26</f>
        <v>0</v>
      </c>
      <c r="W26">
        <f>Hdsmth!I26-dif!I26</f>
        <v>0</v>
      </c>
      <c r="X26">
        <f>Hdsmth!J26-dif!J26</f>
        <v>-1</v>
      </c>
      <c r="Y26">
        <f>Hdsmth!K26-dif!K26</f>
        <v>-1</v>
      </c>
      <c r="Z26">
        <f>Hdsmth!L26-dif!L26</f>
        <v>-1</v>
      </c>
      <c r="AA26">
        <f>Hdsmth!M26-dif!M26</f>
        <v>-2</v>
      </c>
      <c r="AB26">
        <f>Hdsmth!N26-dif!N26</f>
        <v>-2</v>
      </c>
    </row>
    <row r="27" spans="1:28" x14ac:dyDescent="0.2">
      <c r="A27">
        <v>25</v>
      </c>
      <c r="B27">
        <v>17</v>
      </c>
      <c r="C27">
        <v>17</v>
      </c>
      <c r="D27">
        <v>17</v>
      </c>
      <c r="E27">
        <v>17</v>
      </c>
      <c r="F27">
        <v>18</v>
      </c>
      <c r="G27">
        <v>18</v>
      </c>
      <c r="H27">
        <v>18</v>
      </c>
      <c r="I27">
        <v>18</v>
      </c>
      <c r="J27">
        <v>18</v>
      </c>
      <c r="K27">
        <v>19</v>
      </c>
      <c r="L27">
        <v>19</v>
      </c>
      <c r="M27">
        <v>19</v>
      </c>
      <c r="N27">
        <v>19</v>
      </c>
      <c r="O27">
        <v>25</v>
      </c>
      <c r="P27">
        <f>Hdsmth!B27-dif!B27</f>
        <v>0</v>
      </c>
      <c r="Q27">
        <f>Hdsmth!C27-dif!C27</f>
        <v>0</v>
      </c>
      <c r="R27">
        <f>Hdsmth!D27-dif!D27</f>
        <v>0</v>
      </c>
      <c r="S27">
        <f>Hdsmth!E27-dif!E27</f>
        <v>-1</v>
      </c>
      <c r="T27">
        <f>Hdsmth!F27-dif!F27</f>
        <v>-2</v>
      </c>
      <c r="U27">
        <f>Hdsmth!G27-dif!G27</f>
        <v>-1</v>
      </c>
      <c r="V27">
        <f>Hdsmth!H27-dif!H27</f>
        <v>1</v>
      </c>
      <c r="W27">
        <f>Hdsmth!I27-dif!I27</f>
        <v>1</v>
      </c>
      <c r="X27">
        <f>Hdsmth!J27-dif!J27</f>
        <v>0</v>
      </c>
      <c r="Y27">
        <f>Hdsmth!K27-dif!K27</f>
        <v>-2</v>
      </c>
      <c r="Z27">
        <f>Hdsmth!L27-dif!L27</f>
        <v>-2</v>
      </c>
      <c r="AA27">
        <f>Hdsmth!M27-dif!M27</f>
        <v>-1</v>
      </c>
      <c r="AB27">
        <f>Hdsmth!N27-dif!N27</f>
        <v>-1</v>
      </c>
    </row>
    <row r="28" spans="1:28" x14ac:dyDescent="0.2">
      <c r="A28">
        <v>26</v>
      </c>
      <c r="B28">
        <v>19</v>
      </c>
      <c r="C28">
        <v>19</v>
      </c>
      <c r="D28">
        <v>19</v>
      </c>
      <c r="E28">
        <v>19</v>
      </c>
      <c r="F28">
        <v>19</v>
      </c>
      <c r="G28">
        <v>19</v>
      </c>
      <c r="H28">
        <v>19</v>
      </c>
      <c r="I28">
        <v>19</v>
      </c>
      <c r="J28">
        <v>19</v>
      </c>
      <c r="K28">
        <v>19</v>
      </c>
      <c r="L28">
        <v>19</v>
      </c>
      <c r="M28">
        <v>19</v>
      </c>
      <c r="N28">
        <v>19</v>
      </c>
      <c r="O28">
        <v>26</v>
      </c>
      <c r="P28">
        <f>Hdsmth!B28-dif!B28</f>
        <v>0</v>
      </c>
      <c r="Q28">
        <f>Hdsmth!C28-dif!C28</f>
        <v>0</v>
      </c>
      <c r="R28">
        <f>Hdsmth!D28-dif!D28</f>
        <v>0</v>
      </c>
      <c r="S28">
        <f>Hdsmth!E28-dif!E28</f>
        <v>-1</v>
      </c>
      <c r="T28">
        <f>Hdsmth!F28-dif!F28</f>
        <v>0</v>
      </c>
      <c r="U28">
        <f>Hdsmth!G28-dif!G28</f>
        <v>0</v>
      </c>
      <c r="V28">
        <f>Hdsmth!H28-dif!H28</f>
        <v>0</v>
      </c>
      <c r="W28">
        <f>Hdsmth!I28-dif!I28</f>
        <v>0</v>
      </c>
      <c r="X28">
        <f>Hdsmth!J28-dif!J28</f>
        <v>0</v>
      </c>
      <c r="Y28">
        <f>Hdsmth!K28-dif!K28</f>
        <v>0</v>
      </c>
      <c r="Z28">
        <f>Hdsmth!L28-dif!L28</f>
        <v>0</v>
      </c>
      <c r="AA28">
        <f>Hdsmth!M28-dif!M28</f>
        <v>0</v>
      </c>
      <c r="AB28">
        <f>Hdsmth!N28-dif!N28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0304-4333-430C-B63E-59D2CF6AFAD4}">
  <dimension ref="A1:N62"/>
  <sheetViews>
    <sheetView zoomScale="90" zoomScaleNormal="90" workbookViewId="0">
      <selection activeCell="T32" sqref="T32"/>
    </sheetView>
  </sheetViews>
  <sheetFormatPr defaultColWidth="8.85546875" defaultRowHeight="12.75" x14ac:dyDescent="0.2"/>
  <cols>
    <col min="1" max="16384" width="8.85546875" style="16"/>
  </cols>
  <sheetData>
    <row r="1" spans="1:14" x14ac:dyDescent="0.2">
      <c r="A1" s="15" t="s">
        <v>85</v>
      </c>
      <c r="B1" s="15" t="s">
        <v>86</v>
      </c>
      <c r="C1" s="15" t="s">
        <v>87</v>
      </c>
      <c r="D1" s="15" t="s">
        <v>88</v>
      </c>
      <c r="E1" s="15" t="s">
        <v>89</v>
      </c>
      <c r="F1" s="15" t="s">
        <v>90</v>
      </c>
      <c r="G1" s="15" t="s">
        <v>91</v>
      </c>
      <c r="H1" s="15" t="s">
        <v>92</v>
      </c>
      <c r="I1" s="15" t="s">
        <v>93</v>
      </c>
      <c r="J1" s="15" t="s">
        <v>94</v>
      </c>
      <c r="K1" s="15" t="s">
        <v>95</v>
      </c>
      <c r="L1" s="15" t="s">
        <v>96</v>
      </c>
      <c r="M1" s="15" t="s">
        <v>97</v>
      </c>
      <c r="N1" s="15" t="s">
        <v>98</v>
      </c>
    </row>
    <row r="2" spans="1:14" x14ac:dyDescent="0.2">
      <c r="A2" s="15">
        <v>1</v>
      </c>
      <c r="B2" s="17">
        <f>COUNTIF(Hdsmth!B$2:B$28,$A2)</f>
        <v>2</v>
      </c>
      <c r="C2" s="17">
        <f>COUNTIF(Hdsmth!C$2:C$28,$A2)</f>
        <v>2</v>
      </c>
      <c r="D2" s="17">
        <f>COUNTIF(Hdsmth!D$2:D$28,$A2)</f>
        <v>2</v>
      </c>
      <c r="E2" s="17">
        <f>COUNTIF(Hdsmth!E$2:E$28,$A2)</f>
        <v>1</v>
      </c>
      <c r="F2" s="17">
        <f>COUNTIF(Hdsmth!F$2:F$28,$A2)</f>
        <v>1</v>
      </c>
      <c r="G2" s="17">
        <f>COUNTIF(Hdsmth!G$2:G$28,$A2)</f>
        <v>1</v>
      </c>
      <c r="H2" s="17">
        <f>COUNTIF(Hdsmth!H$2:H$28,$A2)</f>
        <v>1</v>
      </c>
      <c r="I2" s="17">
        <f>COUNTIF(Hdsmth!I$2:I$28,$A2)</f>
        <v>1</v>
      </c>
      <c r="J2" s="17">
        <f>COUNTIF(Hdsmth!J$2:J$28,$A2)</f>
        <v>1</v>
      </c>
      <c r="K2" s="17">
        <f>COUNTIF(Hdsmth!K$2:K$28,$A2)</f>
        <v>1</v>
      </c>
      <c r="L2" s="17">
        <f>COUNTIF(Hdsmth!L$2:L$28,$A2)</f>
        <v>1</v>
      </c>
      <c r="M2" s="17">
        <f>COUNTIF(Hdsmth!M$2:M$28,$A2)</f>
        <v>2</v>
      </c>
      <c r="N2" s="17">
        <f>COUNTIF(Hdsmth!N$2:N$28,$A2)</f>
        <v>2</v>
      </c>
    </row>
    <row r="3" spans="1:14" x14ac:dyDescent="0.2">
      <c r="A3" s="15">
        <v>2</v>
      </c>
      <c r="B3" s="17">
        <f>COUNTIF(Hdsmth!B$2:B$28,$A3)</f>
        <v>2</v>
      </c>
      <c r="C3" s="17">
        <f>COUNTIF(Hdsmth!C$2:C$28,$A3)</f>
        <v>2</v>
      </c>
      <c r="D3" s="17">
        <f>COUNTIF(Hdsmth!D$2:D$28,$A3)</f>
        <v>2</v>
      </c>
      <c r="E3" s="17">
        <f>COUNTIF(Hdsmth!E$2:E$28,$A3)</f>
        <v>2</v>
      </c>
      <c r="F3" s="17">
        <f>COUNTIF(Hdsmth!F$2:F$28,$A3)</f>
        <v>2</v>
      </c>
      <c r="G3" s="17">
        <f>COUNTIF(Hdsmth!G$2:G$28,$A3)</f>
        <v>2</v>
      </c>
      <c r="H3" s="17">
        <f>COUNTIF(Hdsmth!H$2:H$28,$A3)</f>
        <v>1</v>
      </c>
      <c r="I3" s="17">
        <f>COUNTIF(Hdsmth!I$2:I$28,$A3)</f>
        <v>1</v>
      </c>
      <c r="J3" s="17">
        <f>COUNTIF(Hdsmth!J$2:J$28,$A3)</f>
        <v>0</v>
      </c>
      <c r="K3" s="17">
        <f>COUNTIF(Hdsmth!K$2:K$28,$A3)</f>
        <v>0</v>
      </c>
      <c r="L3" s="17">
        <f>COUNTIF(Hdsmth!L$2:L$28,$A3)</f>
        <v>1</v>
      </c>
      <c r="M3" s="17">
        <f>COUNTIF(Hdsmth!M$2:M$28,$A3)</f>
        <v>0</v>
      </c>
      <c r="N3" s="17">
        <f>COUNTIF(Hdsmth!N$2:N$28,$A3)</f>
        <v>0</v>
      </c>
    </row>
    <row r="4" spans="1:14" x14ac:dyDescent="0.2">
      <c r="A4" s="15">
        <v>3</v>
      </c>
      <c r="B4" s="17">
        <f>COUNTIF(Hdsmth!B$2:B$28,$A4)</f>
        <v>2</v>
      </c>
      <c r="C4" s="17">
        <f>COUNTIF(Hdsmth!C$2:C$28,$A4)</f>
        <v>2</v>
      </c>
      <c r="D4" s="17">
        <f>COUNTIF(Hdsmth!D$2:D$28,$A4)</f>
        <v>2</v>
      </c>
      <c r="E4" s="17">
        <f>COUNTIF(Hdsmth!E$2:E$28,$A4)</f>
        <v>3</v>
      </c>
      <c r="F4" s="17">
        <f>COUNTIF(Hdsmth!F$2:F$28,$A4)</f>
        <v>2</v>
      </c>
      <c r="G4" s="17">
        <f>COUNTIF(Hdsmth!G$2:G$28,$A4)</f>
        <v>2</v>
      </c>
      <c r="H4" s="17">
        <f>COUNTIF(Hdsmth!H$2:H$28,$A4)</f>
        <v>2</v>
      </c>
      <c r="I4" s="17">
        <f>COUNTIF(Hdsmth!I$2:I$28,$A4)</f>
        <v>2</v>
      </c>
      <c r="J4" s="17">
        <f>COUNTIF(Hdsmth!J$2:J$28,$A4)</f>
        <v>2</v>
      </c>
      <c r="K4" s="17">
        <f>COUNTIF(Hdsmth!K$2:K$28,$A4)</f>
        <v>2</v>
      </c>
      <c r="L4" s="17">
        <f>COUNTIF(Hdsmth!L$2:L$28,$A4)</f>
        <v>1</v>
      </c>
      <c r="M4" s="17">
        <f>COUNTIF(Hdsmth!M$2:M$28,$A4)</f>
        <v>1</v>
      </c>
      <c r="N4" s="17">
        <f>COUNTIF(Hdsmth!N$2:N$28,$A4)</f>
        <v>0</v>
      </c>
    </row>
    <row r="5" spans="1:14" x14ac:dyDescent="0.2">
      <c r="A5" s="15">
        <v>4</v>
      </c>
      <c r="B5" s="17">
        <f>COUNTIF(Hdsmth!B$2:B$28,$A5)</f>
        <v>2</v>
      </c>
      <c r="C5" s="17">
        <f>COUNTIF(Hdsmth!C$2:C$28,$A5)</f>
        <v>2</v>
      </c>
      <c r="D5" s="17">
        <f>COUNTIF(Hdsmth!D$2:D$28,$A5)</f>
        <v>2</v>
      </c>
      <c r="E5" s="17">
        <f>COUNTIF(Hdsmth!E$2:E$28,$A5)</f>
        <v>2</v>
      </c>
      <c r="F5" s="17">
        <f>COUNTIF(Hdsmth!F$2:F$28,$A5)</f>
        <v>3</v>
      </c>
      <c r="G5" s="17">
        <f>COUNTIF(Hdsmth!G$2:G$28,$A5)</f>
        <v>2</v>
      </c>
      <c r="H5" s="17">
        <f>COUNTIF(Hdsmth!H$2:H$28,$A5)</f>
        <v>3</v>
      </c>
      <c r="I5" s="17">
        <f>COUNTIF(Hdsmth!I$2:I$28,$A5)</f>
        <v>2</v>
      </c>
      <c r="J5" s="17">
        <f>COUNTIF(Hdsmth!J$2:J$28,$A5)</f>
        <v>2</v>
      </c>
      <c r="K5" s="17">
        <f>COUNTIF(Hdsmth!K$2:K$28,$A5)</f>
        <v>1</v>
      </c>
      <c r="L5" s="17">
        <f>COUNTIF(Hdsmth!L$2:L$28,$A5)</f>
        <v>1</v>
      </c>
      <c r="M5" s="17">
        <f>COUNTIF(Hdsmth!M$2:M$28,$A5)</f>
        <v>0</v>
      </c>
      <c r="N5" s="17">
        <f>COUNTIF(Hdsmth!N$2:N$28,$A5)</f>
        <v>1</v>
      </c>
    </row>
    <row r="6" spans="1:14" x14ac:dyDescent="0.2">
      <c r="A6" s="15">
        <v>5</v>
      </c>
      <c r="B6" s="17">
        <f>COUNTIF(Hdsmth!B$2:B$28,$A6)</f>
        <v>2</v>
      </c>
      <c r="C6" s="17">
        <f>COUNTIF(Hdsmth!C$2:C$28,$A6)</f>
        <v>2</v>
      </c>
      <c r="D6" s="17">
        <f>COUNTIF(Hdsmth!D$2:D$28,$A6)</f>
        <v>2</v>
      </c>
      <c r="E6" s="17">
        <f>COUNTIF(Hdsmth!E$2:E$28,$A6)</f>
        <v>2</v>
      </c>
      <c r="F6" s="17">
        <f>COUNTIF(Hdsmth!F$2:F$28,$A6)</f>
        <v>2</v>
      </c>
      <c r="G6" s="17">
        <f>COUNTIF(Hdsmth!G$2:G$28,$A6)</f>
        <v>2</v>
      </c>
      <c r="H6" s="17">
        <f>COUNTIF(Hdsmth!H$2:H$28,$A6)</f>
        <v>2</v>
      </c>
      <c r="I6" s="17">
        <f>COUNTIF(Hdsmth!I$2:I$28,$A6)</f>
        <v>2</v>
      </c>
      <c r="J6" s="17">
        <f>COUNTIF(Hdsmth!J$2:J$28,$A6)</f>
        <v>2</v>
      </c>
      <c r="K6" s="17">
        <f>COUNTIF(Hdsmth!K$2:K$28,$A6)</f>
        <v>2</v>
      </c>
      <c r="L6" s="17">
        <f>COUNTIF(Hdsmth!L$2:L$28,$A6)</f>
        <v>1</v>
      </c>
      <c r="M6" s="17">
        <f>COUNTIF(Hdsmth!M$2:M$28,$A6)</f>
        <v>1</v>
      </c>
      <c r="N6" s="17">
        <f>COUNTIF(Hdsmth!N$2:N$28,$A6)</f>
        <v>0</v>
      </c>
    </row>
    <row r="7" spans="1:14" x14ac:dyDescent="0.2">
      <c r="A7" s="15">
        <v>6</v>
      </c>
      <c r="B7" s="17">
        <f>COUNTIF(Hdsmth!B$2:B$28,$A7)</f>
        <v>1</v>
      </c>
      <c r="C7" s="17">
        <f>COUNTIF(Hdsmth!C$2:C$28,$A7)</f>
        <v>1</v>
      </c>
      <c r="D7" s="17">
        <f>COUNTIF(Hdsmth!D$2:D$28,$A7)</f>
        <v>2</v>
      </c>
      <c r="E7" s="17">
        <f>COUNTIF(Hdsmth!E$2:E$28,$A7)</f>
        <v>2</v>
      </c>
      <c r="F7" s="17">
        <f>COUNTIF(Hdsmth!F$2:F$28,$A7)</f>
        <v>1</v>
      </c>
      <c r="G7" s="17">
        <f>COUNTIF(Hdsmth!G$2:G$28,$A7)</f>
        <v>2</v>
      </c>
      <c r="H7" s="17">
        <f>COUNTIF(Hdsmth!H$2:H$28,$A7)</f>
        <v>1</v>
      </c>
      <c r="I7" s="17">
        <f>COUNTIF(Hdsmth!I$2:I$28,$A7)</f>
        <v>1</v>
      </c>
      <c r="J7" s="17">
        <f>COUNTIF(Hdsmth!J$2:J$28,$A7)</f>
        <v>1</v>
      </c>
      <c r="K7" s="17">
        <f>COUNTIF(Hdsmth!K$2:K$28,$A7)</f>
        <v>2</v>
      </c>
      <c r="L7" s="17">
        <f>COUNTIF(Hdsmth!L$2:L$28,$A7)</f>
        <v>2</v>
      </c>
      <c r="M7" s="17">
        <f>COUNTIF(Hdsmth!M$2:M$28,$A7)</f>
        <v>2</v>
      </c>
      <c r="N7" s="17">
        <f>COUNTIF(Hdsmth!N$2:N$28,$A7)</f>
        <v>1</v>
      </c>
    </row>
    <row r="8" spans="1:14" x14ac:dyDescent="0.2">
      <c r="A8" s="15">
        <v>7</v>
      </c>
      <c r="B8" s="17">
        <f>COUNTIF(Hdsmth!B$2:B$28,$A8)</f>
        <v>2</v>
      </c>
      <c r="C8" s="17">
        <f>COUNTIF(Hdsmth!C$2:C$28,$A8)</f>
        <v>2</v>
      </c>
      <c r="D8" s="17">
        <f>COUNTIF(Hdsmth!D$2:D$28,$A8)</f>
        <v>1</v>
      </c>
      <c r="E8" s="17">
        <f>COUNTIF(Hdsmth!E$2:E$28,$A8)</f>
        <v>2</v>
      </c>
      <c r="F8" s="17">
        <f>COUNTIF(Hdsmth!F$2:F$28,$A8)</f>
        <v>2</v>
      </c>
      <c r="G8" s="17">
        <f>COUNTIF(Hdsmth!G$2:G$28,$A8)</f>
        <v>2</v>
      </c>
      <c r="H8" s="17">
        <f>COUNTIF(Hdsmth!H$2:H$28,$A8)</f>
        <v>2</v>
      </c>
      <c r="I8" s="17">
        <f>COUNTIF(Hdsmth!I$2:I$28,$A8)</f>
        <v>2</v>
      </c>
      <c r="J8" s="17">
        <f>COUNTIF(Hdsmth!J$2:J$28,$A8)</f>
        <v>2</v>
      </c>
      <c r="K8" s="17">
        <f>COUNTIF(Hdsmth!K$2:K$28,$A8)</f>
        <v>1</v>
      </c>
      <c r="L8" s="17">
        <f>COUNTIF(Hdsmth!L$2:L$28,$A8)</f>
        <v>1</v>
      </c>
      <c r="M8" s="17">
        <f>COUNTIF(Hdsmth!M$2:M$28,$A8)</f>
        <v>1</v>
      </c>
      <c r="N8" s="17">
        <f>COUNTIF(Hdsmth!N$2:N$28,$A8)</f>
        <v>2</v>
      </c>
    </row>
    <row r="9" spans="1:14" x14ac:dyDescent="0.2">
      <c r="A9" s="15">
        <v>8</v>
      </c>
      <c r="B9" s="17">
        <f>COUNTIF(Hdsmth!B$2:B$28,$A9)</f>
        <v>2</v>
      </c>
      <c r="C9" s="17">
        <f>COUNTIF(Hdsmth!C$2:C$28,$A9)</f>
        <v>2</v>
      </c>
      <c r="D9" s="17">
        <f>COUNTIF(Hdsmth!D$2:D$28,$A9)</f>
        <v>2</v>
      </c>
      <c r="E9" s="17">
        <f>COUNTIF(Hdsmth!E$2:E$28,$A9)</f>
        <v>2</v>
      </c>
      <c r="F9" s="17">
        <f>COUNTIF(Hdsmth!F$2:F$28,$A9)</f>
        <v>2</v>
      </c>
      <c r="G9" s="17">
        <f>COUNTIF(Hdsmth!G$2:G$28,$A9)</f>
        <v>2</v>
      </c>
      <c r="H9" s="17">
        <f>COUNTIF(Hdsmth!H$2:H$28,$A9)</f>
        <v>2</v>
      </c>
      <c r="I9" s="17">
        <f>COUNTIF(Hdsmth!I$2:I$28,$A9)</f>
        <v>2</v>
      </c>
      <c r="J9" s="17">
        <f>COUNTIF(Hdsmth!J$2:J$28,$A9)</f>
        <v>2</v>
      </c>
      <c r="K9" s="17">
        <f>COUNTIF(Hdsmth!K$2:K$28,$A9)</f>
        <v>2</v>
      </c>
      <c r="L9" s="17">
        <f>COUNTIF(Hdsmth!L$2:L$28,$A9)</f>
        <v>2</v>
      </c>
      <c r="M9" s="17">
        <f>COUNTIF(Hdsmth!M$2:M$28,$A9)</f>
        <v>1</v>
      </c>
      <c r="N9" s="17">
        <f>COUNTIF(Hdsmth!N$2:N$28,$A9)</f>
        <v>1</v>
      </c>
    </row>
    <row r="10" spans="1:14" x14ac:dyDescent="0.2">
      <c r="A10" s="15">
        <v>9</v>
      </c>
      <c r="B10" s="17">
        <f>COUNTIF(Hdsmth!B$2:B$28,$A10)</f>
        <v>1</v>
      </c>
      <c r="C10" s="17">
        <f>COUNTIF(Hdsmth!C$2:C$28,$A10)</f>
        <v>2</v>
      </c>
      <c r="D10" s="17">
        <f>COUNTIF(Hdsmth!D$2:D$28,$A10)</f>
        <v>2</v>
      </c>
      <c r="E10" s="17">
        <f>COUNTIF(Hdsmth!E$2:E$28,$A10)</f>
        <v>1</v>
      </c>
      <c r="F10" s="17">
        <f>COUNTIF(Hdsmth!F$2:F$28,$A10)</f>
        <v>2</v>
      </c>
      <c r="G10" s="17">
        <f>COUNTIF(Hdsmth!G$2:G$28,$A10)</f>
        <v>2</v>
      </c>
      <c r="H10" s="17">
        <f>COUNTIF(Hdsmth!H$2:H$28,$A10)</f>
        <v>2</v>
      </c>
      <c r="I10" s="17">
        <f>COUNTIF(Hdsmth!I$2:I$28,$A10)</f>
        <v>2</v>
      </c>
      <c r="J10" s="17">
        <f>COUNTIF(Hdsmth!J$2:J$28,$A10)</f>
        <v>1</v>
      </c>
      <c r="K10" s="17">
        <f>COUNTIF(Hdsmth!K$2:K$28,$A10)</f>
        <v>1</v>
      </c>
      <c r="L10" s="17">
        <f>COUNTIF(Hdsmth!L$2:L$28,$A10)</f>
        <v>1</v>
      </c>
      <c r="M10" s="17">
        <f>COUNTIF(Hdsmth!M$2:M$28,$A10)</f>
        <v>2</v>
      </c>
      <c r="N10" s="17">
        <f>COUNTIF(Hdsmth!N$2:N$28,$A10)</f>
        <v>2</v>
      </c>
    </row>
    <row r="11" spans="1:14" x14ac:dyDescent="0.2">
      <c r="A11" s="15">
        <v>10</v>
      </c>
      <c r="B11" s="17">
        <f>COUNTIF(Hdsmth!B$2:B$28,$A11)</f>
        <v>2</v>
      </c>
      <c r="C11" s="17">
        <f>COUNTIF(Hdsmth!C$2:C$28,$A11)</f>
        <v>1</v>
      </c>
      <c r="D11" s="17">
        <f>COUNTIF(Hdsmth!D$2:D$28,$A11)</f>
        <v>2</v>
      </c>
      <c r="E11" s="17">
        <f>COUNTIF(Hdsmth!E$2:E$28,$A11)</f>
        <v>2</v>
      </c>
      <c r="F11" s="17">
        <f>COUNTIF(Hdsmth!F$2:F$28,$A11)</f>
        <v>2</v>
      </c>
      <c r="G11" s="17">
        <f>COUNTIF(Hdsmth!G$2:G$28,$A11)</f>
        <v>2</v>
      </c>
      <c r="H11" s="17">
        <f>COUNTIF(Hdsmth!H$2:H$28,$A11)</f>
        <v>2</v>
      </c>
      <c r="I11" s="17">
        <f>COUNTIF(Hdsmth!I$2:I$28,$A11)</f>
        <v>1</v>
      </c>
      <c r="J11" s="17">
        <f>COUNTIF(Hdsmth!J$2:J$28,$A11)</f>
        <v>2</v>
      </c>
      <c r="K11" s="17">
        <f>COUNTIF(Hdsmth!K$2:K$28,$A11)</f>
        <v>2</v>
      </c>
      <c r="L11" s="17">
        <f>COUNTIF(Hdsmth!L$2:L$28,$A11)</f>
        <v>2</v>
      </c>
      <c r="M11" s="17">
        <f>COUNTIF(Hdsmth!M$2:M$28,$A11)</f>
        <v>2</v>
      </c>
      <c r="N11" s="17">
        <f>COUNTIF(Hdsmth!N$2:N$28,$A11)</f>
        <v>2</v>
      </c>
    </row>
    <row r="12" spans="1:14" x14ac:dyDescent="0.2">
      <c r="A12" s="15">
        <v>11</v>
      </c>
      <c r="B12" s="17">
        <f>COUNTIF(Hdsmth!B$2:B$28,$A12)</f>
        <v>1</v>
      </c>
      <c r="C12" s="17">
        <f>COUNTIF(Hdsmth!C$2:C$28,$A12)</f>
        <v>2</v>
      </c>
      <c r="D12" s="17">
        <f>COUNTIF(Hdsmth!D$2:D$28,$A12)</f>
        <v>1</v>
      </c>
      <c r="E12" s="17">
        <f>COUNTIF(Hdsmth!E$2:E$28,$A12)</f>
        <v>2</v>
      </c>
      <c r="F12" s="17">
        <f>COUNTIF(Hdsmth!F$2:F$28,$A12)</f>
        <v>2</v>
      </c>
      <c r="G12" s="17">
        <f>COUNTIF(Hdsmth!G$2:G$28,$A12)</f>
        <v>1</v>
      </c>
      <c r="H12" s="17">
        <f>COUNTIF(Hdsmth!H$2:H$28,$A12)</f>
        <v>1</v>
      </c>
      <c r="I12" s="17">
        <f>COUNTIF(Hdsmth!I$2:I$28,$A12)</f>
        <v>2</v>
      </c>
      <c r="J12" s="17">
        <f>COUNTIF(Hdsmth!J$2:J$28,$A12)</f>
        <v>2</v>
      </c>
      <c r="K12" s="17">
        <f>COUNTIF(Hdsmth!K$2:K$28,$A12)</f>
        <v>2</v>
      </c>
      <c r="L12" s="17">
        <f>COUNTIF(Hdsmth!L$2:L$28,$A12)</f>
        <v>2</v>
      </c>
      <c r="M12" s="17">
        <f>COUNTIF(Hdsmth!M$2:M$28,$A12)</f>
        <v>2</v>
      </c>
      <c r="N12" s="17">
        <f>COUNTIF(Hdsmth!N$2:N$28,$A12)</f>
        <v>2</v>
      </c>
    </row>
    <row r="13" spans="1:14" x14ac:dyDescent="0.2">
      <c r="A13" s="15">
        <v>12</v>
      </c>
      <c r="B13" s="17">
        <f>COUNTIF(Hdsmth!B$2:B$28,$A13)</f>
        <v>2</v>
      </c>
      <c r="C13" s="17">
        <f>COUNTIF(Hdsmth!C$2:C$28,$A13)</f>
        <v>1</v>
      </c>
      <c r="D13" s="17">
        <f>COUNTIF(Hdsmth!D$2:D$28,$A13)</f>
        <v>2</v>
      </c>
      <c r="E13" s="17">
        <f>COUNTIF(Hdsmth!E$2:E$28,$A13)</f>
        <v>1</v>
      </c>
      <c r="F13" s="17">
        <f>COUNTIF(Hdsmth!F$2:F$28,$A13)</f>
        <v>1</v>
      </c>
      <c r="G13" s="17">
        <f>COUNTIF(Hdsmth!G$2:G$28,$A13)</f>
        <v>2</v>
      </c>
      <c r="H13" s="17">
        <f>COUNTIF(Hdsmth!H$2:H$28,$A13)</f>
        <v>2</v>
      </c>
      <c r="I13" s="17">
        <f>COUNTIF(Hdsmth!I$2:I$28,$A13)</f>
        <v>1</v>
      </c>
      <c r="J13" s="17">
        <f>COUNTIF(Hdsmth!J$2:J$28,$A13)</f>
        <v>1</v>
      </c>
      <c r="K13" s="17">
        <f>COUNTIF(Hdsmth!K$2:K$28,$A13)</f>
        <v>1</v>
      </c>
      <c r="L13" s="17">
        <f>COUNTIF(Hdsmth!L$2:L$28,$A13)</f>
        <v>2</v>
      </c>
      <c r="M13" s="17">
        <f>COUNTIF(Hdsmth!M$2:M$28,$A13)</f>
        <v>2</v>
      </c>
      <c r="N13" s="17">
        <f>COUNTIF(Hdsmth!N$2:N$28,$A13)</f>
        <v>3</v>
      </c>
    </row>
    <row r="14" spans="1:14" x14ac:dyDescent="0.2">
      <c r="A14" s="15">
        <v>13</v>
      </c>
      <c r="B14" s="17">
        <f>COUNTIF(Hdsmth!B$2:B$28,$A14)</f>
        <v>1</v>
      </c>
      <c r="C14" s="17">
        <f>COUNTIF(Hdsmth!C$2:C$28,$A14)</f>
        <v>1</v>
      </c>
      <c r="D14" s="17">
        <f>COUNTIF(Hdsmth!D$2:D$28,$A14)</f>
        <v>1</v>
      </c>
      <c r="E14" s="17">
        <f>COUNTIF(Hdsmth!E$2:E$28,$A14)</f>
        <v>1</v>
      </c>
      <c r="F14" s="17">
        <f>COUNTIF(Hdsmth!F$2:F$28,$A14)</f>
        <v>1</v>
      </c>
      <c r="G14" s="17">
        <f>COUNTIF(Hdsmth!G$2:G$28,$A14)</f>
        <v>1</v>
      </c>
      <c r="H14" s="17">
        <f>COUNTIF(Hdsmth!H$2:H$28,$A14)</f>
        <v>1</v>
      </c>
      <c r="I14" s="17">
        <f>COUNTIF(Hdsmth!I$2:I$28,$A14)</f>
        <v>2</v>
      </c>
      <c r="J14" s="17">
        <f>COUNTIF(Hdsmth!J$2:J$28,$A14)</f>
        <v>2</v>
      </c>
      <c r="K14" s="17">
        <f>COUNTIF(Hdsmth!K$2:K$28,$A14)</f>
        <v>2</v>
      </c>
      <c r="L14" s="17">
        <f>COUNTIF(Hdsmth!L$2:L$28,$A14)</f>
        <v>2</v>
      </c>
      <c r="M14" s="17">
        <f>COUNTIF(Hdsmth!M$2:M$28,$A14)</f>
        <v>2</v>
      </c>
      <c r="N14" s="17">
        <f>COUNTIF(Hdsmth!N$2:N$28,$A14)</f>
        <v>2</v>
      </c>
    </row>
    <row r="15" spans="1:14" x14ac:dyDescent="0.2">
      <c r="A15" s="15">
        <v>14</v>
      </c>
      <c r="B15" s="17">
        <f>COUNTIF(Hdsmth!B$2:B$28,$A15)</f>
        <v>1</v>
      </c>
      <c r="C15" s="17">
        <f>COUNTIF(Hdsmth!C$2:C$28,$A15)</f>
        <v>1</v>
      </c>
      <c r="D15" s="17">
        <f>COUNTIF(Hdsmth!D$2:D$28,$A15)</f>
        <v>1</v>
      </c>
      <c r="E15" s="17">
        <f>COUNTIF(Hdsmth!E$2:E$28,$A15)</f>
        <v>1</v>
      </c>
      <c r="F15" s="17">
        <f>COUNTIF(Hdsmth!F$2:F$28,$A15)</f>
        <v>1</v>
      </c>
      <c r="G15" s="17">
        <f>COUNTIF(Hdsmth!G$2:G$28,$A15)</f>
        <v>1</v>
      </c>
      <c r="H15" s="17">
        <f>COUNTIF(Hdsmth!H$2:H$28,$A15)</f>
        <v>1</v>
      </c>
      <c r="I15" s="17">
        <f>COUNTIF(Hdsmth!I$2:I$28,$A15)</f>
        <v>1</v>
      </c>
      <c r="J15" s="17">
        <f>COUNTIF(Hdsmth!J$2:J$28,$A15)</f>
        <v>1</v>
      </c>
      <c r="K15" s="17">
        <f>COUNTIF(Hdsmth!K$2:K$28,$A15)</f>
        <v>2</v>
      </c>
      <c r="L15" s="17">
        <f>COUNTIF(Hdsmth!L$2:L$28,$A15)</f>
        <v>1</v>
      </c>
      <c r="M15" s="17">
        <f>COUNTIF(Hdsmth!M$2:M$28,$A15)</f>
        <v>2</v>
      </c>
      <c r="N15" s="17">
        <f>COUNTIF(Hdsmth!N$2:N$28,$A15)</f>
        <v>2</v>
      </c>
    </row>
    <row r="16" spans="1:14" x14ac:dyDescent="0.2">
      <c r="A16" s="15">
        <v>15</v>
      </c>
      <c r="B16" s="17">
        <f>COUNTIF(Hdsmth!B$2:B$28,$A16)</f>
        <v>1</v>
      </c>
      <c r="C16" s="17">
        <f>COUNTIF(Hdsmth!C$2:C$28,$A16)</f>
        <v>1</v>
      </c>
      <c r="D16" s="17">
        <f>COUNTIF(Hdsmth!D$2:D$28,$A16)</f>
        <v>1</v>
      </c>
      <c r="E16" s="17">
        <f>COUNTIF(Hdsmth!E$2:E$28,$A16)</f>
        <v>1</v>
      </c>
      <c r="F16" s="17">
        <f>COUNTIF(Hdsmth!F$2:F$28,$A16)</f>
        <v>1</v>
      </c>
      <c r="G16" s="17">
        <f>COUNTIF(Hdsmth!G$2:G$28,$A16)</f>
        <v>1</v>
      </c>
      <c r="H16" s="17">
        <f>COUNTIF(Hdsmth!H$2:H$28,$A16)</f>
        <v>1</v>
      </c>
      <c r="I16" s="17">
        <f>COUNTIF(Hdsmth!I$2:I$28,$A16)</f>
        <v>1</v>
      </c>
      <c r="J16" s="17">
        <f>COUNTIF(Hdsmth!J$2:J$28,$A16)</f>
        <v>2</v>
      </c>
      <c r="K16" s="17">
        <f>COUNTIF(Hdsmth!K$2:K$28,$A16)</f>
        <v>2</v>
      </c>
      <c r="L16" s="17">
        <f>COUNTIF(Hdsmth!L$2:L$28,$A16)</f>
        <v>2</v>
      </c>
      <c r="M16" s="17">
        <f>COUNTIF(Hdsmth!M$2:M$28,$A16)</f>
        <v>2</v>
      </c>
      <c r="N16" s="17">
        <f>COUNTIF(Hdsmth!N$2:N$28,$A16)</f>
        <v>2</v>
      </c>
    </row>
    <row r="17" spans="1:14" x14ac:dyDescent="0.2">
      <c r="A17" s="15">
        <v>16</v>
      </c>
      <c r="B17" s="17">
        <f>COUNTIF(Hdsmth!B$2:B$28,$A17)</f>
        <v>1</v>
      </c>
      <c r="C17" s="17">
        <f>COUNTIF(Hdsmth!C$2:C$28,$A17)</f>
        <v>1</v>
      </c>
      <c r="D17" s="17">
        <f>COUNTIF(Hdsmth!D$2:D$28,$A17)</f>
        <v>0</v>
      </c>
      <c r="E17" s="17">
        <f>COUNTIF(Hdsmth!E$2:E$28,$A17)</f>
        <v>1</v>
      </c>
      <c r="F17" s="17">
        <f>COUNTIF(Hdsmth!F$2:F$28,$A17)</f>
        <v>1</v>
      </c>
      <c r="G17" s="17">
        <f>COUNTIF(Hdsmth!G$2:G$28,$A17)</f>
        <v>0</v>
      </c>
      <c r="H17" s="17">
        <f>COUNTIF(Hdsmth!H$2:H$28,$A17)</f>
        <v>0</v>
      </c>
      <c r="I17" s="17">
        <f>COUNTIF(Hdsmth!I$2:I$28,$A17)</f>
        <v>1</v>
      </c>
      <c r="J17" s="17">
        <f>COUNTIF(Hdsmth!J$2:J$28,$A17)</f>
        <v>1</v>
      </c>
      <c r="K17" s="17">
        <f>COUNTIF(Hdsmth!K$2:K$28,$A17)</f>
        <v>1</v>
      </c>
      <c r="L17" s="17">
        <f>COUNTIF(Hdsmth!L$2:L$28,$A17)</f>
        <v>2</v>
      </c>
      <c r="M17" s="17">
        <f>COUNTIF(Hdsmth!M$2:M$28,$A17)</f>
        <v>2</v>
      </c>
      <c r="N17" s="17">
        <f>COUNTIF(Hdsmth!N$2:N$28,$A17)</f>
        <v>2</v>
      </c>
    </row>
    <row r="18" spans="1:14" x14ac:dyDescent="0.2">
      <c r="A18" s="15">
        <v>17</v>
      </c>
      <c r="B18" s="17">
        <f>COUNTIF(Hdsmth!B$2:B$28,$A18)</f>
        <v>1</v>
      </c>
      <c r="C18" s="17">
        <f>COUNTIF(Hdsmth!C$2:C$28,$A18)</f>
        <v>1</v>
      </c>
      <c r="D18" s="17">
        <f>COUNTIF(Hdsmth!D$2:D$28,$A18)</f>
        <v>1</v>
      </c>
      <c r="E18" s="17">
        <f>COUNTIF(Hdsmth!E$2:E$28,$A18)</f>
        <v>0</v>
      </c>
      <c r="F18" s="17">
        <f>COUNTIF(Hdsmth!F$2:F$28,$A18)</f>
        <v>0</v>
      </c>
      <c r="G18" s="17">
        <f>COUNTIF(Hdsmth!G$2:G$28,$A18)</f>
        <v>1</v>
      </c>
      <c r="H18" s="17">
        <f>COUNTIF(Hdsmth!H$2:H$28,$A18)</f>
        <v>1</v>
      </c>
      <c r="I18" s="17">
        <f>COUNTIF(Hdsmth!I$2:I$28,$A18)</f>
        <v>1</v>
      </c>
      <c r="J18" s="17">
        <f>COUNTIF(Hdsmth!J$2:J$28,$A18)</f>
        <v>1</v>
      </c>
      <c r="K18" s="17">
        <f>COUNTIF(Hdsmth!K$2:K$28,$A18)</f>
        <v>2</v>
      </c>
      <c r="L18" s="17">
        <f>COUNTIF(Hdsmth!L$2:L$28,$A18)</f>
        <v>2</v>
      </c>
      <c r="M18" s="17">
        <f>COUNTIF(Hdsmth!M$2:M$28,$A18)</f>
        <v>1</v>
      </c>
      <c r="N18" s="17">
        <f>COUNTIF(Hdsmth!N$2:N$28,$A18)</f>
        <v>1</v>
      </c>
    </row>
    <row r="19" spans="1:14" x14ac:dyDescent="0.2">
      <c r="A19" s="15">
        <v>18</v>
      </c>
      <c r="B19" s="17">
        <f>COUNTIF(Hdsmth!B$2:B$28,$A19)</f>
        <v>0</v>
      </c>
      <c r="C19" s="17">
        <f>COUNTIF(Hdsmth!C$2:C$28,$A19)</f>
        <v>0</v>
      </c>
      <c r="D19" s="17">
        <f>COUNTIF(Hdsmth!D$2:D$28,$A19)</f>
        <v>0</v>
      </c>
      <c r="E19" s="17">
        <f>COUNTIF(Hdsmth!E$2:E$28,$A19)</f>
        <v>1</v>
      </c>
      <c r="F19" s="17">
        <f>COUNTIF(Hdsmth!F$2:F$28,$A19)</f>
        <v>0</v>
      </c>
      <c r="G19" s="17">
        <f>COUNTIF(Hdsmth!G$2:G$28,$A19)</f>
        <v>0</v>
      </c>
      <c r="H19" s="17">
        <f>COUNTIF(Hdsmth!H$2:H$28,$A19)</f>
        <v>0</v>
      </c>
      <c r="I19" s="17">
        <f>COUNTIF(Hdsmth!I$2:I$28,$A19)</f>
        <v>0</v>
      </c>
      <c r="J19" s="17">
        <f>COUNTIF(Hdsmth!J$2:J$28,$A19)</f>
        <v>1</v>
      </c>
      <c r="K19" s="17">
        <f>COUNTIF(Hdsmth!K$2:K$28,$A19)</f>
        <v>0</v>
      </c>
      <c r="L19" s="17">
        <f>COUNTIF(Hdsmth!L$2:L$28,$A19)</f>
        <v>0</v>
      </c>
      <c r="M19" s="17">
        <f>COUNTIF(Hdsmth!M$2:M$28,$A19)</f>
        <v>1</v>
      </c>
      <c r="N19" s="17">
        <f>COUNTIF(Hdsmth!N$2:N$28,$A19)</f>
        <v>1</v>
      </c>
    </row>
    <row r="20" spans="1:14" x14ac:dyDescent="0.2">
      <c r="A20" s="15">
        <v>19</v>
      </c>
      <c r="B20" s="17">
        <f>COUNTIF(Hdsmth!B$2:B$28,$A20)</f>
        <v>1</v>
      </c>
      <c r="C20" s="17">
        <f>COUNTIF(Hdsmth!C$2:C$28,$A20)</f>
        <v>1</v>
      </c>
      <c r="D20" s="17">
        <f>COUNTIF(Hdsmth!D$2:D$28,$A20)</f>
        <v>1</v>
      </c>
      <c r="E20" s="17">
        <f>COUNTIF(Hdsmth!E$2:E$28,$A20)</f>
        <v>0</v>
      </c>
      <c r="F20" s="17">
        <f>COUNTIF(Hdsmth!F$2:F$28,$A20)</f>
        <v>1</v>
      </c>
      <c r="G20" s="17">
        <f>COUNTIF(Hdsmth!G$2:G$28,$A20)</f>
        <v>1</v>
      </c>
      <c r="H20" s="17">
        <f>COUNTIF(Hdsmth!H$2:H$28,$A20)</f>
        <v>2</v>
      </c>
      <c r="I20" s="17">
        <f>COUNTIF(Hdsmth!I$2:I$28,$A20)</f>
        <v>2</v>
      </c>
      <c r="J20" s="17">
        <f>COUNTIF(Hdsmth!J$2:J$28,$A20)</f>
        <v>1</v>
      </c>
      <c r="K20" s="17">
        <f>COUNTIF(Hdsmth!K$2:K$28,$A20)</f>
        <v>1</v>
      </c>
      <c r="L20" s="17">
        <f>COUNTIF(Hdsmth!L$2:L$28,$A20)</f>
        <v>1</v>
      </c>
      <c r="M20" s="17">
        <f>COUNTIF(Hdsmth!M$2:M$28,$A20)</f>
        <v>1</v>
      </c>
      <c r="N20" s="17">
        <f>COUNTIF(Hdsmth!N$2:N$28,$A20)</f>
        <v>1</v>
      </c>
    </row>
    <row r="22" spans="1:14" x14ac:dyDescent="0.2">
      <c r="A22" s="18"/>
      <c r="B22" s="18" t="s">
        <v>86</v>
      </c>
      <c r="C22" s="18" t="s">
        <v>87</v>
      </c>
      <c r="D22" s="18" t="s">
        <v>88</v>
      </c>
      <c r="E22" s="18" t="s">
        <v>89</v>
      </c>
      <c r="F22" s="18" t="s">
        <v>90</v>
      </c>
      <c r="G22" s="18" t="s">
        <v>91</v>
      </c>
      <c r="H22" s="18" t="s">
        <v>92</v>
      </c>
      <c r="I22" s="18" t="s">
        <v>93</v>
      </c>
      <c r="J22" s="18" t="s">
        <v>94</v>
      </c>
      <c r="K22" s="18" t="s">
        <v>95</v>
      </c>
      <c r="L22" s="18" t="s">
        <v>96</v>
      </c>
      <c r="M22" s="18" t="s">
        <v>97</v>
      </c>
      <c r="N22" s="18" t="s">
        <v>98</v>
      </c>
    </row>
    <row r="23" spans="1:14" x14ac:dyDescent="0.2">
      <c r="A23" s="19" t="s">
        <v>99</v>
      </c>
      <c r="B23" s="19">
        <f>B2-B3</f>
        <v>0</v>
      </c>
      <c r="C23" s="19">
        <f t="shared" ref="B23:N38" si="0">C2-C3</f>
        <v>0</v>
      </c>
      <c r="D23" s="19">
        <f t="shared" si="0"/>
        <v>0</v>
      </c>
      <c r="E23" s="19">
        <f t="shared" si="0"/>
        <v>-1</v>
      </c>
      <c r="F23" s="19">
        <f t="shared" si="0"/>
        <v>-1</v>
      </c>
      <c r="G23" s="19">
        <f t="shared" si="0"/>
        <v>-1</v>
      </c>
      <c r="H23" s="19">
        <f t="shared" si="0"/>
        <v>0</v>
      </c>
      <c r="I23" s="19">
        <f t="shared" si="0"/>
        <v>0</v>
      </c>
      <c r="J23" s="19">
        <f t="shared" si="0"/>
        <v>1</v>
      </c>
      <c r="K23" s="19">
        <f t="shared" si="0"/>
        <v>1</v>
      </c>
      <c r="L23" s="19">
        <f t="shared" si="0"/>
        <v>0</v>
      </c>
      <c r="M23" s="19">
        <f t="shared" si="0"/>
        <v>2</v>
      </c>
      <c r="N23" s="19">
        <f t="shared" si="0"/>
        <v>2</v>
      </c>
    </row>
    <row r="24" spans="1:14" x14ac:dyDescent="0.2">
      <c r="A24" s="19" t="s">
        <v>100</v>
      </c>
      <c r="B24" s="19">
        <f t="shared" si="0"/>
        <v>0</v>
      </c>
      <c r="C24" s="19">
        <f>C3-C4</f>
        <v>0</v>
      </c>
      <c r="D24" s="19">
        <f t="shared" si="0"/>
        <v>0</v>
      </c>
      <c r="E24" s="19">
        <f t="shared" si="0"/>
        <v>-1</v>
      </c>
      <c r="F24" s="19">
        <f>F3-F4</f>
        <v>0</v>
      </c>
      <c r="G24" s="19">
        <f>G3-G4</f>
        <v>0</v>
      </c>
      <c r="H24" s="19">
        <f>H3-H4</f>
        <v>-1</v>
      </c>
      <c r="I24" s="19">
        <f t="shared" si="0"/>
        <v>-1</v>
      </c>
      <c r="J24" s="19">
        <f t="shared" si="0"/>
        <v>-2</v>
      </c>
      <c r="K24" s="19">
        <f t="shared" si="0"/>
        <v>-2</v>
      </c>
      <c r="L24" s="19">
        <f t="shared" si="0"/>
        <v>0</v>
      </c>
      <c r="M24" s="19">
        <f>M3-M4</f>
        <v>-1</v>
      </c>
      <c r="N24" s="19">
        <f t="shared" si="0"/>
        <v>0</v>
      </c>
    </row>
    <row r="25" spans="1:14" x14ac:dyDescent="0.2">
      <c r="A25" s="19" t="s">
        <v>101</v>
      </c>
      <c r="B25" s="19">
        <f t="shared" si="0"/>
        <v>0</v>
      </c>
      <c r="C25" s="19">
        <f t="shared" si="0"/>
        <v>0</v>
      </c>
      <c r="D25" s="19">
        <f t="shared" si="0"/>
        <v>0</v>
      </c>
      <c r="E25" s="19">
        <f t="shared" si="0"/>
        <v>1</v>
      </c>
      <c r="F25" s="19">
        <f t="shared" si="0"/>
        <v>-1</v>
      </c>
      <c r="G25" s="19">
        <f t="shared" si="0"/>
        <v>0</v>
      </c>
      <c r="H25" s="19">
        <f t="shared" si="0"/>
        <v>-1</v>
      </c>
      <c r="I25" s="19">
        <f t="shared" si="0"/>
        <v>0</v>
      </c>
      <c r="J25" s="19">
        <f t="shared" si="0"/>
        <v>0</v>
      </c>
      <c r="K25" s="19">
        <f t="shared" si="0"/>
        <v>1</v>
      </c>
      <c r="L25" s="19">
        <f t="shared" si="0"/>
        <v>0</v>
      </c>
      <c r="M25" s="19">
        <f t="shared" si="0"/>
        <v>1</v>
      </c>
      <c r="N25" s="19">
        <f t="shared" si="0"/>
        <v>-1</v>
      </c>
    </row>
    <row r="26" spans="1:14" x14ac:dyDescent="0.2">
      <c r="A26" s="19" t="s">
        <v>102</v>
      </c>
      <c r="B26" s="19">
        <f t="shared" si="0"/>
        <v>0</v>
      </c>
      <c r="C26" s="19">
        <f t="shared" si="0"/>
        <v>0</v>
      </c>
      <c r="D26" s="19">
        <f t="shared" si="0"/>
        <v>0</v>
      </c>
      <c r="E26" s="19">
        <f t="shared" si="0"/>
        <v>0</v>
      </c>
      <c r="F26" s="19">
        <f t="shared" si="0"/>
        <v>1</v>
      </c>
      <c r="G26" s="19">
        <f t="shared" si="0"/>
        <v>0</v>
      </c>
      <c r="H26" s="19">
        <f t="shared" si="0"/>
        <v>1</v>
      </c>
      <c r="I26" s="19">
        <f t="shared" si="0"/>
        <v>0</v>
      </c>
      <c r="J26" s="19">
        <f t="shared" si="0"/>
        <v>0</v>
      </c>
      <c r="K26" s="19">
        <f t="shared" si="0"/>
        <v>-1</v>
      </c>
      <c r="L26" s="19">
        <f t="shared" si="0"/>
        <v>0</v>
      </c>
      <c r="M26" s="19">
        <f>M5-M6</f>
        <v>-1</v>
      </c>
      <c r="N26" s="19">
        <f t="shared" si="0"/>
        <v>1</v>
      </c>
    </row>
    <row r="27" spans="1:14" x14ac:dyDescent="0.2">
      <c r="A27" s="19" t="s">
        <v>103</v>
      </c>
      <c r="B27" s="19">
        <f t="shared" si="0"/>
        <v>1</v>
      </c>
      <c r="C27" s="19">
        <f t="shared" si="0"/>
        <v>1</v>
      </c>
      <c r="D27" s="19">
        <f t="shared" si="0"/>
        <v>0</v>
      </c>
      <c r="E27" s="19">
        <f t="shared" si="0"/>
        <v>0</v>
      </c>
      <c r="F27" s="19">
        <f t="shared" si="0"/>
        <v>1</v>
      </c>
      <c r="G27" s="19">
        <f t="shared" si="0"/>
        <v>0</v>
      </c>
      <c r="H27" s="19">
        <f t="shared" si="0"/>
        <v>1</v>
      </c>
      <c r="I27" s="19">
        <f t="shared" si="0"/>
        <v>1</v>
      </c>
      <c r="J27" s="19">
        <f t="shared" si="0"/>
        <v>1</v>
      </c>
      <c r="K27" s="19">
        <f t="shared" si="0"/>
        <v>0</v>
      </c>
      <c r="L27" s="19">
        <f t="shared" si="0"/>
        <v>-1</v>
      </c>
      <c r="M27" s="19">
        <f t="shared" si="0"/>
        <v>-1</v>
      </c>
      <c r="N27" s="19">
        <f t="shared" si="0"/>
        <v>-1</v>
      </c>
    </row>
    <row r="28" spans="1:14" x14ac:dyDescent="0.2">
      <c r="A28" s="19" t="s">
        <v>104</v>
      </c>
      <c r="B28" s="19">
        <f t="shared" si="0"/>
        <v>-1</v>
      </c>
      <c r="C28" s="19">
        <f t="shared" si="0"/>
        <v>-1</v>
      </c>
      <c r="D28" s="19">
        <f t="shared" si="0"/>
        <v>1</v>
      </c>
      <c r="E28" s="19">
        <f t="shared" si="0"/>
        <v>0</v>
      </c>
      <c r="F28" s="19">
        <f t="shared" si="0"/>
        <v>-1</v>
      </c>
      <c r="G28" s="19">
        <f t="shared" si="0"/>
        <v>0</v>
      </c>
      <c r="H28" s="19">
        <f t="shared" si="0"/>
        <v>-1</v>
      </c>
      <c r="I28" s="19">
        <f t="shared" si="0"/>
        <v>-1</v>
      </c>
      <c r="J28" s="19">
        <f t="shared" si="0"/>
        <v>-1</v>
      </c>
      <c r="K28" s="19">
        <f t="shared" si="0"/>
        <v>1</v>
      </c>
      <c r="L28" s="19">
        <f t="shared" si="0"/>
        <v>1</v>
      </c>
      <c r="M28" s="19">
        <f t="shared" si="0"/>
        <v>1</v>
      </c>
      <c r="N28" s="19">
        <f>N7-N8</f>
        <v>-1</v>
      </c>
    </row>
    <row r="29" spans="1:14" x14ac:dyDescent="0.2">
      <c r="A29" s="19" t="s">
        <v>105</v>
      </c>
      <c r="B29" s="19">
        <f t="shared" si="0"/>
        <v>0</v>
      </c>
      <c r="C29" s="19">
        <f t="shared" si="0"/>
        <v>0</v>
      </c>
      <c r="D29" s="19">
        <f t="shared" si="0"/>
        <v>-1</v>
      </c>
      <c r="E29" s="19">
        <f t="shared" si="0"/>
        <v>0</v>
      </c>
      <c r="F29" s="19">
        <f t="shared" si="0"/>
        <v>0</v>
      </c>
      <c r="G29" s="19">
        <f t="shared" si="0"/>
        <v>0</v>
      </c>
      <c r="H29" s="19">
        <f t="shared" si="0"/>
        <v>0</v>
      </c>
      <c r="I29" s="19">
        <f t="shared" si="0"/>
        <v>0</v>
      </c>
      <c r="J29" s="19">
        <f t="shared" si="0"/>
        <v>0</v>
      </c>
      <c r="K29" s="19">
        <f t="shared" si="0"/>
        <v>-1</v>
      </c>
      <c r="L29" s="19">
        <f t="shared" si="0"/>
        <v>-1</v>
      </c>
      <c r="M29" s="19">
        <f t="shared" si="0"/>
        <v>0</v>
      </c>
      <c r="N29" s="19">
        <f t="shared" si="0"/>
        <v>1</v>
      </c>
    </row>
    <row r="30" spans="1:14" x14ac:dyDescent="0.2">
      <c r="A30" s="19" t="s">
        <v>106</v>
      </c>
      <c r="B30" s="19">
        <f t="shared" si="0"/>
        <v>1</v>
      </c>
      <c r="C30" s="19">
        <f t="shared" si="0"/>
        <v>0</v>
      </c>
      <c r="D30" s="19">
        <f t="shared" si="0"/>
        <v>0</v>
      </c>
      <c r="E30" s="19">
        <f t="shared" si="0"/>
        <v>1</v>
      </c>
      <c r="F30" s="19">
        <f t="shared" si="0"/>
        <v>0</v>
      </c>
      <c r="G30" s="19">
        <f t="shared" si="0"/>
        <v>0</v>
      </c>
      <c r="H30" s="19">
        <f t="shared" si="0"/>
        <v>0</v>
      </c>
      <c r="I30" s="19">
        <f t="shared" si="0"/>
        <v>0</v>
      </c>
      <c r="J30" s="19">
        <f t="shared" si="0"/>
        <v>1</v>
      </c>
      <c r="K30" s="19">
        <f t="shared" si="0"/>
        <v>1</v>
      </c>
      <c r="L30" s="19">
        <f t="shared" si="0"/>
        <v>1</v>
      </c>
      <c r="M30" s="19">
        <f t="shared" si="0"/>
        <v>-1</v>
      </c>
      <c r="N30" s="19">
        <f t="shared" si="0"/>
        <v>-1</v>
      </c>
    </row>
    <row r="31" spans="1:14" x14ac:dyDescent="0.2">
      <c r="A31" s="19" t="s">
        <v>107</v>
      </c>
      <c r="B31" s="19">
        <f t="shared" si="0"/>
        <v>-1</v>
      </c>
      <c r="C31" s="19">
        <f t="shared" si="0"/>
        <v>1</v>
      </c>
      <c r="D31" s="19">
        <f t="shared" si="0"/>
        <v>0</v>
      </c>
      <c r="E31" s="19">
        <f t="shared" si="0"/>
        <v>-1</v>
      </c>
      <c r="F31" s="19">
        <f t="shared" si="0"/>
        <v>0</v>
      </c>
      <c r="G31" s="19">
        <f t="shared" si="0"/>
        <v>0</v>
      </c>
      <c r="H31" s="19">
        <f t="shared" si="0"/>
        <v>0</v>
      </c>
      <c r="I31" s="19">
        <f t="shared" si="0"/>
        <v>1</v>
      </c>
      <c r="J31" s="19">
        <f t="shared" si="0"/>
        <v>-1</v>
      </c>
      <c r="K31" s="19">
        <f t="shared" si="0"/>
        <v>-1</v>
      </c>
      <c r="L31" s="19">
        <f t="shared" si="0"/>
        <v>-1</v>
      </c>
      <c r="M31" s="19">
        <f t="shared" si="0"/>
        <v>0</v>
      </c>
      <c r="N31" s="19">
        <f t="shared" si="0"/>
        <v>0</v>
      </c>
    </row>
    <row r="32" spans="1:14" x14ac:dyDescent="0.2">
      <c r="A32" s="19" t="s">
        <v>108</v>
      </c>
      <c r="B32" s="19">
        <f t="shared" si="0"/>
        <v>1</v>
      </c>
      <c r="C32" s="19">
        <f t="shared" si="0"/>
        <v>-1</v>
      </c>
      <c r="D32" s="19">
        <f t="shared" si="0"/>
        <v>1</v>
      </c>
      <c r="E32" s="19">
        <f t="shared" si="0"/>
        <v>0</v>
      </c>
      <c r="F32" s="19">
        <f t="shared" si="0"/>
        <v>0</v>
      </c>
      <c r="G32" s="19">
        <f t="shared" si="0"/>
        <v>1</v>
      </c>
      <c r="H32" s="19">
        <f t="shared" si="0"/>
        <v>1</v>
      </c>
      <c r="I32" s="19">
        <f t="shared" si="0"/>
        <v>-1</v>
      </c>
      <c r="J32" s="19">
        <f t="shared" si="0"/>
        <v>0</v>
      </c>
      <c r="K32" s="19">
        <f t="shared" si="0"/>
        <v>0</v>
      </c>
      <c r="L32" s="19">
        <f t="shared" si="0"/>
        <v>0</v>
      </c>
      <c r="M32" s="19">
        <f t="shared" si="0"/>
        <v>0</v>
      </c>
      <c r="N32" s="19">
        <f t="shared" si="0"/>
        <v>0</v>
      </c>
    </row>
    <row r="33" spans="1:14" x14ac:dyDescent="0.2">
      <c r="A33" s="19" t="s">
        <v>109</v>
      </c>
      <c r="B33" s="19">
        <f t="shared" si="0"/>
        <v>-1</v>
      </c>
      <c r="C33" s="19">
        <f t="shared" si="0"/>
        <v>1</v>
      </c>
      <c r="D33" s="19">
        <f t="shared" si="0"/>
        <v>-1</v>
      </c>
      <c r="E33" s="19">
        <f t="shared" si="0"/>
        <v>1</v>
      </c>
      <c r="F33" s="19">
        <f t="shared" si="0"/>
        <v>1</v>
      </c>
      <c r="G33" s="19">
        <f t="shared" si="0"/>
        <v>-1</v>
      </c>
      <c r="H33" s="19">
        <f t="shared" si="0"/>
        <v>-1</v>
      </c>
      <c r="I33" s="19">
        <f t="shared" si="0"/>
        <v>1</v>
      </c>
      <c r="J33" s="19">
        <f t="shared" si="0"/>
        <v>1</v>
      </c>
      <c r="K33" s="19">
        <f t="shared" si="0"/>
        <v>1</v>
      </c>
      <c r="L33" s="19">
        <f t="shared" si="0"/>
        <v>0</v>
      </c>
      <c r="M33" s="19">
        <f t="shared" si="0"/>
        <v>0</v>
      </c>
      <c r="N33" s="19">
        <f t="shared" si="0"/>
        <v>-1</v>
      </c>
    </row>
    <row r="34" spans="1:14" x14ac:dyDescent="0.2">
      <c r="A34" s="19" t="s">
        <v>110</v>
      </c>
      <c r="B34" s="19">
        <f t="shared" si="0"/>
        <v>1</v>
      </c>
      <c r="C34" s="19">
        <f t="shared" si="0"/>
        <v>0</v>
      </c>
      <c r="D34" s="19">
        <f t="shared" si="0"/>
        <v>1</v>
      </c>
      <c r="E34" s="19">
        <f t="shared" si="0"/>
        <v>0</v>
      </c>
      <c r="F34" s="19">
        <f t="shared" si="0"/>
        <v>0</v>
      </c>
      <c r="G34" s="19">
        <f t="shared" si="0"/>
        <v>1</v>
      </c>
      <c r="H34" s="19">
        <f t="shared" si="0"/>
        <v>1</v>
      </c>
      <c r="I34" s="19">
        <f t="shared" si="0"/>
        <v>-1</v>
      </c>
      <c r="J34" s="19">
        <f t="shared" si="0"/>
        <v>-1</v>
      </c>
      <c r="K34" s="19">
        <f t="shared" si="0"/>
        <v>-1</v>
      </c>
      <c r="L34" s="19">
        <f t="shared" si="0"/>
        <v>0</v>
      </c>
      <c r="M34" s="19">
        <f t="shared" si="0"/>
        <v>0</v>
      </c>
      <c r="N34" s="19">
        <f t="shared" si="0"/>
        <v>1</v>
      </c>
    </row>
    <row r="35" spans="1:14" x14ac:dyDescent="0.2">
      <c r="A35" s="19" t="s">
        <v>111</v>
      </c>
      <c r="B35" s="19">
        <f t="shared" si="0"/>
        <v>0</v>
      </c>
      <c r="C35" s="19">
        <f t="shared" si="0"/>
        <v>0</v>
      </c>
      <c r="D35" s="19">
        <f t="shared" si="0"/>
        <v>0</v>
      </c>
      <c r="E35" s="19">
        <f t="shared" si="0"/>
        <v>0</v>
      </c>
      <c r="F35" s="19">
        <f t="shared" si="0"/>
        <v>0</v>
      </c>
      <c r="G35" s="19">
        <f t="shared" si="0"/>
        <v>0</v>
      </c>
      <c r="H35" s="19">
        <f t="shared" si="0"/>
        <v>0</v>
      </c>
      <c r="I35" s="19">
        <f t="shared" si="0"/>
        <v>1</v>
      </c>
      <c r="J35" s="19">
        <f t="shared" si="0"/>
        <v>1</v>
      </c>
      <c r="K35" s="19">
        <f t="shared" si="0"/>
        <v>0</v>
      </c>
      <c r="L35" s="19">
        <f t="shared" si="0"/>
        <v>1</v>
      </c>
      <c r="M35" s="19">
        <f t="shared" si="0"/>
        <v>0</v>
      </c>
      <c r="N35" s="19">
        <f t="shared" si="0"/>
        <v>0</v>
      </c>
    </row>
    <row r="36" spans="1:14" x14ac:dyDescent="0.2">
      <c r="A36" s="19" t="s">
        <v>112</v>
      </c>
      <c r="B36" s="19">
        <f t="shared" si="0"/>
        <v>0</v>
      </c>
      <c r="C36" s="19">
        <f t="shared" si="0"/>
        <v>0</v>
      </c>
      <c r="D36" s="19">
        <f t="shared" si="0"/>
        <v>0</v>
      </c>
      <c r="E36" s="19">
        <f t="shared" si="0"/>
        <v>0</v>
      </c>
      <c r="F36" s="19">
        <f t="shared" si="0"/>
        <v>0</v>
      </c>
      <c r="G36" s="19">
        <f t="shared" si="0"/>
        <v>0</v>
      </c>
      <c r="H36" s="19">
        <f t="shared" si="0"/>
        <v>0</v>
      </c>
      <c r="I36" s="19">
        <f t="shared" si="0"/>
        <v>0</v>
      </c>
      <c r="J36" s="19">
        <f t="shared" si="0"/>
        <v>-1</v>
      </c>
      <c r="K36" s="19">
        <f t="shared" si="0"/>
        <v>0</v>
      </c>
      <c r="L36" s="19">
        <f t="shared" si="0"/>
        <v>-1</v>
      </c>
      <c r="M36" s="19">
        <f t="shared" si="0"/>
        <v>0</v>
      </c>
      <c r="N36" s="19">
        <f t="shared" si="0"/>
        <v>0</v>
      </c>
    </row>
    <row r="37" spans="1:14" x14ac:dyDescent="0.2">
      <c r="A37" s="19" t="s">
        <v>113</v>
      </c>
      <c r="B37" s="19">
        <f t="shared" si="0"/>
        <v>0</v>
      </c>
      <c r="C37" s="19">
        <f t="shared" si="0"/>
        <v>0</v>
      </c>
      <c r="D37" s="19">
        <f t="shared" si="0"/>
        <v>1</v>
      </c>
      <c r="E37" s="19">
        <f t="shared" si="0"/>
        <v>0</v>
      </c>
      <c r="F37" s="19">
        <f t="shared" si="0"/>
        <v>0</v>
      </c>
      <c r="G37" s="19">
        <f t="shared" si="0"/>
        <v>1</v>
      </c>
      <c r="H37" s="19">
        <f t="shared" si="0"/>
        <v>1</v>
      </c>
      <c r="I37" s="19">
        <f t="shared" si="0"/>
        <v>0</v>
      </c>
      <c r="J37" s="19">
        <f t="shared" si="0"/>
        <v>1</v>
      </c>
      <c r="K37" s="19">
        <f t="shared" si="0"/>
        <v>1</v>
      </c>
      <c r="L37" s="19">
        <f t="shared" si="0"/>
        <v>0</v>
      </c>
      <c r="M37" s="19">
        <f>M16-M17</f>
        <v>0</v>
      </c>
      <c r="N37" s="19">
        <f t="shared" si="0"/>
        <v>0</v>
      </c>
    </row>
    <row r="38" spans="1:14" x14ac:dyDescent="0.2">
      <c r="A38" s="19" t="s">
        <v>114</v>
      </c>
      <c r="B38" s="19">
        <f t="shared" si="0"/>
        <v>0</v>
      </c>
      <c r="C38" s="19">
        <f t="shared" si="0"/>
        <v>0</v>
      </c>
      <c r="D38" s="19">
        <f t="shared" si="0"/>
        <v>-1</v>
      </c>
      <c r="E38" s="19">
        <f t="shared" si="0"/>
        <v>1</v>
      </c>
      <c r="F38" s="19">
        <f t="shared" si="0"/>
        <v>1</v>
      </c>
      <c r="G38" s="19">
        <f t="shared" si="0"/>
        <v>-1</v>
      </c>
      <c r="H38" s="19">
        <f t="shared" si="0"/>
        <v>-1</v>
      </c>
      <c r="I38" s="19">
        <f t="shared" si="0"/>
        <v>0</v>
      </c>
      <c r="J38" s="19">
        <f t="shared" si="0"/>
        <v>0</v>
      </c>
      <c r="K38" s="19">
        <f t="shared" si="0"/>
        <v>-1</v>
      </c>
      <c r="L38" s="19">
        <f t="shared" si="0"/>
        <v>0</v>
      </c>
      <c r="M38" s="19">
        <f t="shared" si="0"/>
        <v>1</v>
      </c>
      <c r="N38" s="19">
        <f t="shared" si="0"/>
        <v>1</v>
      </c>
    </row>
    <row r="39" spans="1:14" x14ac:dyDescent="0.2">
      <c r="A39" s="19" t="s">
        <v>115</v>
      </c>
      <c r="B39" s="19">
        <f t="shared" ref="B39:N40" si="1">B18-B19</f>
        <v>1</v>
      </c>
      <c r="C39" s="19">
        <f t="shared" si="1"/>
        <v>1</v>
      </c>
      <c r="D39" s="19">
        <f t="shared" si="1"/>
        <v>1</v>
      </c>
      <c r="E39" s="19">
        <f t="shared" si="1"/>
        <v>-1</v>
      </c>
      <c r="F39" s="19">
        <f t="shared" si="1"/>
        <v>0</v>
      </c>
      <c r="G39" s="19">
        <f t="shared" si="1"/>
        <v>1</v>
      </c>
      <c r="H39" s="19">
        <f t="shared" si="1"/>
        <v>1</v>
      </c>
      <c r="I39" s="19">
        <f t="shared" si="1"/>
        <v>1</v>
      </c>
      <c r="J39" s="19">
        <f t="shared" si="1"/>
        <v>0</v>
      </c>
      <c r="K39" s="19">
        <f t="shared" si="1"/>
        <v>2</v>
      </c>
      <c r="L39" s="19">
        <f t="shared" si="1"/>
        <v>2</v>
      </c>
      <c r="M39" s="19">
        <f t="shared" si="1"/>
        <v>0</v>
      </c>
      <c r="N39" s="19">
        <f t="shared" si="1"/>
        <v>0</v>
      </c>
    </row>
    <row r="40" spans="1:14" x14ac:dyDescent="0.2">
      <c r="A40" s="19" t="s">
        <v>116</v>
      </c>
      <c r="B40" s="19">
        <f t="shared" si="1"/>
        <v>-1</v>
      </c>
      <c r="C40" s="19">
        <f t="shared" si="1"/>
        <v>-1</v>
      </c>
      <c r="D40" s="19">
        <f t="shared" si="1"/>
        <v>-1</v>
      </c>
      <c r="E40" s="19">
        <f t="shared" si="1"/>
        <v>1</v>
      </c>
      <c r="F40" s="19">
        <f t="shared" si="1"/>
        <v>-1</v>
      </c>
      <c r="G40" s="19">
        <f t="shared" si="1"/>
        <v>-1</v>
      </c>
      <c r="H40" s="19">
        <f t="shared" si="1"/>
        <v>-2</v>
      </c>
      <c r="I40" s="19">
        <f t="shared" si="1"/>
        <v>-2</v>
      </c>
      <c r="J40" s="19">
        <f t="shared" si="1"/>
        <v>0</v>
      </c>
      <c r="K40" s="19">
        <f t="shared" si="1"/>
        <v>-1</v>
      </c>
      <c r="L40" s="19">
        <f t="shared" si="1"/>
        <v>-1</v>
      </c>
      <c r="M40" s="19">
        <f t="shared" si="1"/>
        <v>0</v>
      </c>
      <c r="N40" s="19">
        <f t="shared" si="1"/>
        <v>0</v>
      </c>
    </row>
    <row r="41" spans="1:14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3" spans="1:14" x14ac:dyDescent="0.2">
      <c r="A43" s="19"/>
      <c r="B43" s="19" t="s">
        <v>117</v>
      </c>
      <c r="C43" s="19" t="s">
        <v>118</v>
      </c>
      <c r="D43" s="19" t="s">
        <v>119</v>
      </c>
      <c r="E43" s="19" t="s">
        <v>120</v>
      </c>
      <c r="F43" s="19" t="s">
        <v>121</v>
      </c>
      <c r="G43" s="19" t="s">
        <v>122</v>
      </c>
      <c r="H43" s="19" t="s">
        <v>123</v>
      </c>
      <c r="I43" s="19" t="s">
        <v>124</v>
      </c>
      <c r="J43" s="19" t="s">
        <v>125</v>
      </c>
      <c r="K43" s="19" t="s">
        <v>126</v>
      </c>
      <c r="L43" s="19" t="s">
        <v>127</v>
      </c>
      <c r="M43" s="19" t="s">
        <v>128</v>
      </c>
    </row>
    <row r="44" spans="1:14" x14ac:dyDescent="0.2">
      <c r="A44" s="19">
        <v>1</v>
      </c>
      <c r="B44" s="19">
        <f>C2-B2</f>
        <v>0</v>
      </c>
      <c r="C44" s="19">
        <f t="shared" ref="C44" si="2">D2-C2</f>
        <v>0</v>
      </c>
      <c r="D44" s="19">
        <f>E2-D2</f>
        <v>-1</v>
      </c>
      <c r="E44" s="19">
        <f t="shared" ref="E44:M59" si="3">F2-E2</f>
        <v>0</v>
      </c>
      <c r="F44" s="19">
        <f t="shared" si="3"/>
        <v>0</v>
      </c>
      <c r="G44" s="19">
        <f t="shared" si="3"/>
        <v>0</v>
      </c>
      <c r="H44" s="19">
        <f t="shared" si="3"/>
        <v>0</v>
      </c>
      <c r="I44" s="19">
        <f t="shared" si="3"/>
        <v>0</v>
      </c>
      <c r="J44" s="19">
        <f t="shared" si="3"/>
        <v>0</v>
      </c>
      <c r="K44" s="19">
        <f t="shared" si="3"/>
        <v>0</v>
      </c>
      <c r="L44" s="19">
        <f t="shared" si="3"/>
        <v>1</v>
      </c>
      <c r="M44" s="19">
        <f t="shared" si="3"/>
        <v>0</v>
      </c>
    </row>
    <row r="45" spans="1:14" x14ac:dyDescent="0.2">
      <c r="A45" s="19">
        <v>2</v>
      </c>
      <c r="B45" s="19">
        <f t="shared" ref="B45:M60" si="4">C3-B3</f>
        <v>0</v>
      </c>
      <c r="C45" s="19">
        <f t="shared" si="4"/>
        <v>0</v>
      </c>
      <c r="D45" s="19">
        <f t="shared" si="4"/>
        <v>0</v>
      </c>
      <c r="E45" s="19">
        <f t="shared" si="4"/>
        <v>0</v>
      </c>
      <c r="F45" s="19">
        <f t="shared" si="4"/>
        <v>0</v>
      </c>
      <c r="G45" s="19">
        <f t="shared" si="4"/>
        <v>-1</v>
      </c>
      <c r="H45" s="19">
        <f t="shared" si="4"/>
        <v>0</v>
      </c>
      <c r="I45" s="19">
        <f t="shared" si="4"/>
        <v>-1</v>
      </c>
      <c r="J45" s="19">
        <f t="shared" si="3"/>
        <v>0</v>
      </c>
      <c r="K45" s="19">
        <f t="shared" si="3"/>
        <v>1</v>
      </c>
      <c r="L45" s="19">
        <f t="shared" si="3"/>
        <v>-1</v>
      </c>
      <c r="M45" s="19">
        <f t="shared" si="3"/>
        <v>0</v>
      </c>
    </row>
    <row r="46" spans="1:14" x14ac:dyDescent="0.2">
      <c r="A46" s="19">
        <v>3</v>
      </c>
      <c r="B46" s="19">
        <f t="shared" si="4"/>
        <v>0</v>
      </c>
      <c r="C46" s="19">
        <f t="shared" si="4"/>
        <v>0</v>
      </c>
      <c r="D46" s="19">
        <f t="shared" si="4"/>
        <v>1</v>
      </c>
      <c r="E46" s="19">
        <f t="shared" si="4"/>
        <v>-1</v>
      </c>
      <c r="F46" s="19">
        <f>G4-F4</f>
        <v>0</v>
      </c>
      <c r="G46" s="19">
        <f t="shared" si="4"/>
        <v>0</v>
      </c>
      <c r="H46" s="19">
        <f t="shared" si="4"/>
        <v>0</v>
      </c>
      <c r="I46" s="19">
        <f t="shared" si="4"/>
        <v>0</v>
      </c>
      <c r="J46" s="19">
        <f t="shared" si="3"/>
        <v>0</v>
      </c>
      <c r="K46" s="19">
        <f t="shared" si="3"/>
        <v>-1</v>
      </c>
      <c r="L46" s="19">
        <f t="shared" si="3"/>
        <v>0</v>
      </c>
      <c r="M46" s="19">
        <f t="shared" si="3"/>
        <v>-1</v>
      </c>
    </row>
    <row r="47" spans="1:14" x14ac:dyDescent="0.2">
      <c r="A47" s="19">
        <v>4</v>
      </c>
      <c r="B47" s="19">
        <f t="shared" si="4"/>
        <v>0</v>
      </c>
      <c r="C47" s="19">
        <f t="shared" si="4"/>
        <v>0</v>
      </c>
      <c r="D47" s="19">
        <f t="shared" si="4"/>
        <v>0</v>
      </c>
      <c r="E47" s="19">
        <f t="shared" si="4"/>
        <v>1</v>
      </c>
      <c r="F47" s="19">
        <f t="shared" si="4"/>
        <v>-1</v>
      </c>
      <c r="G47" s="19">
        <f t="shared" si="4"/>
        <v>1</v>
      </c>
      <c r="H47" s="19">
        <f t="shared" si="4"/>
        <v>-1</v>
      </c>
      <c r="I47" s="19">
        <f t="shared" si="4"/>
        <v>0</v>
      </c>
      <c r="J47" s="19">
        <f t="shared" si="3"/>
        <v>-1</v>
      </c>
      <c r="K47" s="19">
        <f t="shared" si="3"/>
        <v>0</v>
      </c>
      <c r="L47" s="19">
        <f t="shared" si="3"/>
        <v>-1</v>
      </c>
      <c r="M47" s="19">
        <f t="shared" si="3"/>
        <v>1</v>
      </c>
    </row>
    <row r="48" spans="1:14" x14ac:dyDescent="0.2">
      <c r="A48" s="19">
        <v>5</v>
      </c>
      <c r="B48" s="19">
        <f t="shared" si="4"/>
        <v>0</v>
      </c>
      <c r="C48" s="19">
        <f t="shared" si="4"/>
        <v>0</v>
      </c>
      <c r="D48" s="19">
        <f t="shared" si="4"/>
        <v>0</v>
      </c>
      <c r="E48" s="19">
        <f t="shared" si="4"/>
        <v>0</v>
      </c>
      <c r="F48" s="19">
        <f t="shared" si="4"/>
        <v>0</v>
      </c>
      <c r="G48" s="19">
        <f t="shared" si="4"/>
        <v>0</v>
      </c>
      <c r="H48" s="19">
        <f t="shared" si="4"/>
        <v>0</v>
      </c>
      <c r="I48" s="19">
        <f t="shared" si="4"/>
        <v>0</v>
      </c>
      <c r="J48" s="19">
        <f t="shared" si="3"/>
        <v>0</v>
      </c>
      <c r="K48" s="19">
        <f t="shared" si="3"/>
        <v>-1</v>
      </c>
      <c r="L48" s="19">
        <f t="shared" si="3"/>
        <v>0</v>
      </c>
      <c r="M48" s="19">
        <f t="shared" si="3"/>
        <v>-1</v>
      </c>
    </row>
    <row r="49" spans="1:13" x14ac:dyDescent="0.2">
      <c r="A49" s="19">
        <v>6</v>
      </c>
      <c r="B49" s="19">
        <f t="shared" si="4"/>
        <v>0</v>
      </c>
      <c r="C49" s="19">
        <f t="shared" si="4"/>
        <v>1</v>
      </c>
      <c r="D49" s="19">
        <f t="shared" si="4"/>
        <v>0</v>
      </c>
      <c r="E49" s="19">
        <f t="shared" si="4"/>
        <v>-1</v>
      </c>
      <c r="F49" s="19">
        <f t="shared" si="4"/>
        <v>1</v>
      </c>
      <c r="G49" s="19">
        <f t="shared" si="4"/>
        <v>-1</v>
      </c>
      <c r="H49" s="19">
        <f t="shared" si="4"/>
        <v>0</v>
      </c>
      <c r="I49" s="19">
        <f t="shared" si="4"/>
        <v>0</v>
      </c>
      <c r="J49" s="19">
        <f t="shared" si="3"/>
        <v>1</v>
      </c>
      <c r="K49" s="19">
        <f t="shared" si="3"/>
        <v>0</v>
      </c>
      <c r="L49" s="19">
        <f t="shared" si="3"/>
        <v>0</v>
      </c>
      <c r="M49" s="19">
        <f t="shared" si="3"/>
        <v>-1</v>
      </c>
    </row>
    <row r="50" spans="1:13" x14ac:dyDescent="0.2">
      <c r="A50" s="19">
        <v>7</v>
      </c>
      <c r="B50" s="19">
        <f t="shared" si="4"/>
        <v>0</v>
      </c>
      <c r="C50" s="19">
        <f t="shared" si="4"/>
        <v>-1</v>
      </c>
      <c r="D50" s="19">
        <f t="shared" si="4"/>
        <v>1</v>
      </c>
      <c r="E50" s="19">
        <f t="shared" si="4"/>
        <v>0</v>
      </c>
      <c r="F50" s="19">
        <f t="shared" si="4"/>
        <v>0</v>
      </c>
      <c r="G50" s="19">
        <f t="shared" si="4"/>
        <v>0</v>
      </c>
      <c r="H50" s="19">
        <f t="shared" si="4"/>
        <v>0</v>
      </c>
      <c r="I50" s="19">
        <f t="shared" si="4"/>
        <v>0</v>
      </c>
      <c r="J50" s="19">
        <f t="shared" si="3"/>
        <v>-1</v>
      </c>
      <c r="K50" s="19">
        <f t="shared" si="3"/>
        <v>0</v>
      </c>
      <c r="L50" s="19">
        <f t="shared" si="3"/>
        <v>0</v>
      </c>
      <c r="M50" s="19">
        <f t="shared" si="3"/>
        <v>1</v>
      </c>
    </row>
    <row r="51" spans="1:13" x14ac:dyDescent="0.2">
      <c r="A51" s="19">
        <v>8</v>
      </c>
      <c r="B51" s="19">
        <f t="shared" si="4"/>
        <v>0</v>
      </c>
      <c r="C51" s="19">
        <f t="shared" si="4"/>
        <v>0</v>
      </c>
      <c r="D51" s="19">
        <f t="shared" si="4"/>
        <v>0</v>
      </c>
      <c r="E51" s="19">
        <f t="shared" si="4"/>
        <v>0</v>
      </c>
      <c r="F51" s="19">
        <f t="shared" si="4"/>
        <v>0</v>
      </c>
      <c r="G51" s="19">
        <f t="shared" si="4"/>
        <v>0</v>
      </c>
      <c r="H51" s="19">
        <f t="shared" si="4"/>
        <v>0</v>
      </c>
      <c r="I51" s="19">
        <f t="shared" si="4"/>
        <v>0</v>
      </c>
      <c r="J51" s="19">
        <f t="shared" si="3"/>
        <v>0</v>
      </c>
      <c r="K51" s="19">
        <f t="shared" si="3"/>
        <v>0</v>
      </c>
      <c r="L51" s="19">
        <f t="shared" si="3"/>
        <v>-1</v>
      </c>
      <c r="M51" s="19">
        <f t="shared" si="3"/>
        <v>0</v>
      </c>
    </row>
    <row r="52" spans="1:13" x14ac:dyDescent="0.2">
      <c r="A52" s="19">
        <v>9</v>
      </c>
      <c r="B52" s="19">
        <f t="shared" si="4"/>
        <v>1</v>
      </c>
      <c r="C52" s="19">
        <f t="shared" si="4"/>
        <v>0</v>
      </c>
      <c r="D52" s="19">
        <f t="shared" si="4"/>
        <v>-1</v>
      </c>
      <c r="E52" s="19">
        <f t="shared" si="4"/>
        <v>1</v>
      </c>
      <c r="F52" s="19">
        <f t="shared" si="4"/>
        <v>0</v>
      </c>
      <c r="G52" s="19">
        <f t="shared" si="4"/>
        <v>0</v>
      </c>
      <c r="H52" s="19">
        <f t="shared" si="4"/>
        <v>0</v>
      </c>
      <c r="I52" s="19">
        <f t="shared" si="4"/>
        <v>-1</v>
      </c>
      <c r="J52" s="19">
        <f t="shared" si="3"/>
        <v>0</v>
      </c>
      <c r="K52" s="19">
        <f t="shared" si="3"/>
        <v>0</v>
      </c>
      <c r="L52" s="19">
        <f t="shared" si="3"/>
        <v>1</v>
      </c>
      <c r="M52" s="19">
        <f t="shared" si="3"/>
        <v>0</v>
      </c>
    </row>
    <row r="53" spans="1:13" x14ac:dyDescent="0.2">
      <c r="A53" s="19">
        <v>10</v>
      </c>
      <c r="B53" s="19">
        <f t="shared" si="4"/>
        <v>-1</v>
      </c>
      <c r="C53" s="19">
        <f t="shared" si="4"/>
        <v>1</v>
      </c>
      <c r="D53" s="19">
        <f t="shared" si="4"/>
        <v>0</v>
      </c>
      <c r="E53" s="19">
        <f t="shared" si="4"/>
        <v>0</v>
      </c>
      <c r="F53" s="19">
        <f t="shared" si="4"/>
        <v>0</v>
      </c>
      <c r="G53" s="19">
        <f t="shared" si="4"/>
        <v>0</v>
      </c>
      <c r="H53" s="19">
        <f>I11-H11</f>
        <v>-1</v>
      </c>
      <c r="I53" s="19">
        <f t="shared" si="4"/>
        <v>1</v>
      </c>
      <c r="J53" s="19">
        <f t="shared" si="3"/>
        <v>0</v>
      </c>
      <c r="K53" s="19">
        <f t="shared" si="3"/>
        <v>0</v>
      </c>
      <c r="L53" s="19">
        <f t="shared" si="3"/>
        <v>0</v>
      </c>
      <c r="M53" s="19">
        <f t="shared" si="3"/>
        <v>0</v>
      </c>
    </row>
    <row r="54" spans="1:13" x14ac:dyDescent="0.2">
      <c r="A54" s="19">
        <v>11</v>
      </c>
      <c r="B54" s="19">
        <f t="shared" si="4"/>
        <v>1</v>
      </c>
      <c r="C54" s="19">
        <f t="shared" si="4"/>
        <v>-1</v>
      </c>
      <c r="D54" s="19">
        <f t="shared" si="4"/>
        <v>1</v>
      </c>
      <c r="E54" s="19">
        <f t="shared" si="4"/>
        <v>0</v>
      </c>
      <c r="F54" s="19">
        <f t="shared" si="4"/>
        <v>-1</v>
      </c>
      <c r="G54" s="19">
        <f t="shared" si="4"/>
        <v>0</v>
      </c>
      <c r="H54" s="19">
        <f t="shared" si="4"/>
        <v>1</v>
      </c>
      <c r="I54" s="19">
        <f t="shared" si="4"/>
        <v>0</v>
      </c>
      <c r="J54" s="19">
        <f t="shared" si="3"/>
        <v>0</v>
      </c>
      <c r="K54" s="19">
        <f t="shared" si="3"/>
        <v>0</v>
      </c>
      <c r="L54" s="19">
        <f t="shared" si="3"/>
        <v>0</v>
      </c>
      <c r="M54" s="19">
        <f t="shared" si="3"/>
        <v>0</v>
      </c>
    </row>
    <row r="55" spans="1:13" x14ac:dyDescent="0.2">
      <c r="A55" s="19">
        <v>12</v>
      </c>
      <c r="B55" s="19">
        <f t="shared" si="4"/>
        <v>-1</v>
      </c>
      <c r="C55" s="19">
        <f t="shared" si="4"/>
        <v>1</v>
      </c>
      <c r="D55" s="19">
        <f t="shared" si="4"/>
        <v>-1</v>
      </c>
      <c r="E55" s="19">
        <f t="shared" si="4"/>
        <v>0</v>
      </c>
      <c r="F55" s="19">
        <f t="shared" si="4"/>
        <v>1</v>
      </c>
      <c r="G55" s="19">
        <f t="shared" si="4"/>
        <v>0</v>
      </c>
      <c r="H55" s="19">
        <f t="shared" si="4"/>
        <v>-1</v>
      </c>
      <c r="I55" s="19">
        <f t="shared" si="4"/>
        <v>0</v>
      </c>
      <c r="J55" s="19">
        <f t="shared" si="3"/>
        <v>0</v>
      </c>
      <c r="K55" s="19">
        <f t="shared" si="3"/>
        <v>1</v>
      </c>
      <c r="L55" s="19">
        <f t="shared" si="3"/>
        <v>0</v>
      </c>
      <c r="M55" s="19">
        <f t="shared" si="3"/>
        <v>1</v>
      </c>
    </row>
    <row r="56" spans="1:13" x14ac:dyDescent="0.2">
      <c r="A56" s="19">
        <v>13</v>
      </c>
      <c r="B56" s="19">
        <f t="shared" si="4"/>
        <v>0</v>
      </c>
      <c r="C56" s="19">
        <f t="shared" si="4"/>
        <v>0</v>
      </c>
      <c r="D56" s="19">
        <f t="shared" si="4"/>
        <v>0</v>
      </c>
      <c r="E56" s="19">
        <f t="shared" si="4"/>
        <v>0</v>
      </c>
      <c r="F56" s="19">
        <f t="shared" si="4"/>
        <v>0</v>
      </c>
      <c r="G56" s="19">
        <f t="shared" si="4"/>
        <v>0</v>
      </c>
      <c r="H56" s="19">
        <f t="shared" si="4"/>
        <v>1</v>
      </c>
      <c r="I56" s="19">
        <f t="shared" si="4"/>
        <v>0</v>
      </c>
      <c r="J56" s="19">
        <f t="shared" si="3"/>
        <v>0</v>
      </c>
      <c r="K56" s="19">
        <f t="shared" si="3"/>
        <v>0</v>
      </c>
      <c r="L56" s="19">
        <f t="shared" si="3"/>
        <v>0</v>
      </c>
      <c r="M56" s="19">
        <f t="shared" si="3"/>
        <v>0</v>
      </c>
    </row>
    <row r="57" spans="1:13" x14ac:dyDescent="0.2">
      <c r="A57" s="19">
        <v>14</v>
      </c>
      <c r="B57" s="19">
        <f t="shared" si="4"/>
        <v>0</v>
      </c>
      <c r="C57" s="19">
        <f t="shared" si="4"/>
        <v>0</v>
      </c>
      <c r="D57" s="19">
        <f t="shared" si="4"/>
        <v>0</v>
      </c>
      <c r="E57" s="19">
        <f t="shared" si="4"/>
        <v>0</v>
      </c>
      <c r="F57" s="19">
        <f t="shared" si="4"/>
        <v>0</v>
      </c>
      <c r="G57" s="19">
        <f t="shared" si="4"/>
        <v>0</v>
      </c>
      <c r="H57" s="19">
        <f t="shared" si="4"/>
        <v>0</v>
      </c>
      <c r="I57" s="19">
        <f t="shared" si="4"/>
        <v>0</v>
      </c>
      <c r="J57" s="19">
        <f t="shared" si="3"/>
        <v>1</v>
      </c>
      <c r="K57" s="19">
        <f t="shared" si="3"/>
        <v>-1</v>
      </c>
      <c r="L57" s="19">
        <f t="shared" si="3"/>
        <v>1</v>
      </c>
      <c r="M57" s="19">
        <f t="shared" si="3"/>
        <v>0</v>
      </c>
    </row>
    <row r="58" spans="1:13" x14ac:dyDescent="0.2">
      <c r="A58" s="19">
        <v>15</v>
      </c>
      <c r="B58" s="19">
        <f t="shared" si="4"/>
        <v>0</v>
      </c>
      <c r="C58" s="19">
        <f t="shared" si="4"/>
        <v>0</v>
      </c>
      <c r="D58" s="19">
        <f t="shared" si="4"/>
        <v>0</v>
      </c>
      <c r="E58" s="19">
        <f t="shared" si="4"/>
        <v>0</v>
      </c>
      <c r="F58" s="19">
        <f t="shared" si="4"/>
        <v>0</v>
      </c>
      <c r="G58" s="19">
        <f t="shared" si="4"/>
        <v>0</v>
      </c>
      <c r="H58" s="19">
        <f t="shared" si="4"/>
        <v>0</v>
      </c>
      <c r="I58" s="19">
        <f t="shared" si="4"/>
        <v>1</v>
      </c>
      <c r="J58" s="19">
        <f t="shared" si="3"/>
        <v>0</v>
      </c>
      <c r="K58" s="19">
        <f t="shared" si="3"/>
        <v>0</v>
      </c>
      <c r="L58" s="19">
        <f t="shared" si="3"/>
        <v>0</v>
      </c>
      <c r="M58" s="19">
        <f t="shared" si="3"/>
        <v>0</v>
      </c>
    </row>
    <row r="59" spans="1:13" x14ac:dyDescent="0.2">
      <c r="A59" s="19">
        <v>16</v>
      </c>
      <c r="B59" s="19">
        <f t="shared" si="4"/>
        <v>0</v>
      </c>
      <c r="C59" s="19">
        <f t="shared" si="4"/>
        <v>-1</v>
      </c>
      <c r="D59" s="19">
        <f t="shared" si="4"/>
        <v>1</v>
      </c>
      <c r="E59" s="19">
        <f t="shared" si="4"/>
        <v>0</v>
      </c>
      <c r="F59" s="19">
        <f t="shared" si="4"/>
        <v>-1</v>
      </c>
      <c r="G59" s="19">
        <f t="shared" si="4"/>
        <v>0</v>
      </c>
      <c r="H59" s="19">
        <f t="shared" si="4"/>
        <v>1</v>
      </c>
      <c r="I59" s="19">
        <f t="shared" si="4"/>
        <v>0</v>
      </c>
      <c r="J59" s="19">
        <f t="shared" si="3"/>
        <v>0</v>
      </c>
      <c r="K59" s="19">
        <f t="shared" si="3"/>
        <v>1</v>
      </c>
      <c r="L59" s="19">
        <f t="shared" si="3"/>
        <v>0</v>
      </c>
      <c r="M59" s="19">
        <f t="shared" si="3"/>
        <v>0</v>
      </c>
    </row>
    <row r="60" spans="1:13" x14ac:dyDescent="0.2">
      <c r="A60" s="19">
        <v>17</v>
      </c>
      <c r="B60" s="19">
        <f t="shared" si="4"/>
        <v>0</v>
      </c>
      <c r="C60" s="19">
        <f t="shared" si="4"/>
        <v>0</v>
      </c>
      <c r="D60" s="19">
        <f t="shared" si="4"/>
        <v>-1</v>
      </c>
      <c r="E60" s="19">
        <f t="shared" si="4"/>
        <v>0</v>
      </c>
      <c r="F60" s="19">
        <f t="shared" si="4"/>
        <v>1</v>
      </c>
      <c r="G60" s="19">
        <f t="shared" si="4"/>
        <v>0</v>
      </c>
      <c r="H60" s="19">
        <f t="shared" si="4"/>
        <v>0</v>
      </c>
      <c r="I60" s="19">
        <f t="shared" si="4"/>
        <v>0</v>
      </c>
      <c r="J60" s="19">
        <f t="shared" si="4"/>
        <v>1</v>
      </c>
      <c r="K60" s="19">
        <f t="shared" si="4"/>
        <v>0</v>
      </c>
      <c r="L60" s="19">
        <f t="shared" si="4"/>
        <v>-1</v>
      </c>
      <c r="M60" s="19">
        <f t="shared" si="4"/>
        <v>0</v>
      </c>
    </row>
    <row r="61" spans="1:13" x14ac:dyDescent="0.2">
      <c r="A61" s="19">
        <v>18</v>
      </c>
      <c r="B61" s="19">
        <f t="shared" ref="B61:M62" si="5">C19-B19</f>
        <v>0</v>
      </c>
      <c r="C61" s="19">
        <f t="shared" si="5"/>
        <v>0</v>
      </c>
      <c r="D61" s="19">
        <f t="shared" si="5"/>
        <v>1</v>
      </c>
      <c r="E61" s="19">
        <f t="shared" si="5"/>
        <v>-1</v>
      </c>
      <c r="F61" s="19">
        <f t="shared" si="5"/>
        <v>0</v>
      </c>
      <c r="G61" s="19">
        <f t="shared" si="5"/>
        <v>0</v>
      </c>
      <c r="H61" s="19">
        <f t="shared" si="5"/>
        <v>0</v>
      </c>
      <c r="I61" s="19">
        <f t="shared" si="5"/>
        <v>1</v>
      </c>
      <c r="J61" s="19">
        <f t="shared" si="5"/>
        <v>-1</v>
      </c>
      <c r="K61" s="19">
        <f t="shared" si="5"/>
        <v>0</v>
      </c>
      <c r="L61" s="19">
        <f t="shared" si="5"/>
        <v>1</v>
      </c>
      <c r="M61" s="19">
        <f t="shared" si="5"/>
        <v>0</v>
      </c>
    </row>
    <row r="62" spans="1:13" x14ac:dyDescent="0.2">
      <c r="A62" s="19">
        <v>19</v>
      </c>
      <c r="B62" s="19">
        <f>C20-B20</f>
        <v>0</v>
      </c>
      <c r="C62" s="19">
        <f t="shared" si="5"/>
        <v>0</v>
      </c>
      <c r="D62" s="19">
        <f t="shared" si="5"/>
        <v>-1</v>
      </c>
      <c r="E62" s="19">
        <f t="shared" si="5"/>
        <v>1</v>
      </c>
      <c r="F62" s="19">
        <f t="shared" si="5"/>
        <v>0</v>
      </c>
      <c r="G62" s="19">
        <f t="shared" si="5"/>
        <v>1</v>
      </c>
      <c r="H62" s="19">
        <f t="shared" si="5"/>
        <v>0</v>
      </c>
      <c r="I62" s="19">
        <f t="shared" si="5"/>
        <v>-1</v>
      </c>
      <c r="J62" s="19">
        <f>K20-J20</f>
        <v>0</v>
      </c>
      <c r="K62" s="19">
        <f t="shared" si="5"/>
        <v>0</v>
      </c>
      <c r="L62" s="19">
        <f t="shared" si="5"/>
        <v>0</v>
      </c>
      <c r="M62" s="19">
        <f t="shared" si="5"/>
        <v>0</v>
      </c>
    </row>
  </sheetData>
  <conditionalFormatting sqref="B44:M62">
    <cfRule type="cellIs" dxfId="22" priority="1" stopIfTrue="1" operator="greaterThan">
      <formula>2</formula>
    </cfRule>
    <cfRule type="cellIs" dxfId="21" priority="2" operator="equal">
      <formula>-2</formula>
    </cfRule>
    <cfRule type="cellIs" dxfId="20" priority="3" operator="equal">
      <formula>2</formula>
    </cfRule>
    <cfRule type="cellIs" dxfId="19" priority="4" operator="lessThan">
      <formula>-1</formula>
    </cfRule>
    <cfRule type="cellIs" dxfId="18" priority="5" operator="greaterThan">
      <formula>2</formula>
    </cfRule>
    <cfRule type="cellIs" dxfId="17" priority="6" operator="equal">
      <formula>-2</formula>
    </cfRule>
    <cfRule type="cellIs" dxfId="16" priority="7" operator="lessThan">
      <formula>-1</formula>
    </cfRule>
  </conditionalFormatting>
  <conditionalFormatting sqref="B2:N20">
    <cfRule type="cellIs" dxfId="15" priority="8" operator="equal">
      <formula>9</formula>
    </cfRule>
    <cfRule type="cellIs" dxfId="14" priority="9" operator="equal">
      <formula>10</formula>
    </cfRule>
    <cfRule type="cellIs" dxfId="13" priority="10" operator="equal">
      <formula>11</formula>
    </cfRule>
    <cfRule type="cellIs" dxfId="12" priority="11" operator="equal">
      <formula>12</formula>
    </cfRule>
    <cfRule type="cellIs" dxfId="11" priority="12" operator="equal">
      <formula>13</formula>
    </cfRule>
    <cfRule type="cellIs" dxfId="10" priority="13" operator="equal">
      <formula>14</formula>
    </cfRule>
    <cfRule type="cellIs" dxfId="9" priority="14" operator="equal">
      <formula>15</formula>
    </cfRule>
    <cfRule type="cellIs" dxfId="8" priority="15" operator="equal">
      <formula>16</formula>
    </cfRule>
    <cfRule type="cellIs" dxfId="7" priority="16" operator="greaterThan">
      <formula>17</formula>
    </cfRule>
  </conditionalFormatting>
  <conditionalFormatting sqref="B23:N41">
    <cfRule type="cellIs" dxfId="6" priority="17" stopIfTrue="1" operator="greaterThan">
      <formula>2</formula>
    </cfRule>
    <cfRule type="cellIs" dxfId="5" priority="18" operator="equal">
      <formula>-2</formula>
    </cfRule>
    <cfRule type="cellIs" dxfId="4" priority="19" operator="equal">
      <formula>2</formula>
    </cfRule>
    <cfRule type="cellIs" dxfId="3" priority="20" operator="lessThan">
      <formula>-1</formula>
    </cfRule>
    <cfRule type="cellIs" dxfId="2" priority="21" operator="greaterThan">
      <formula>2</formula>
    </cfRule>
    <cfRule type="cellIs" dxfId="1" priority="22" operator="equal">
      <formula>-2</formula>
    </cfRule>
    <cfRule type="cellIs" dxfId="0" priority="23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Hdsmth</vt:lpstr>
      <vt:lpstr>freq</vt:lpstr>
      <vt:lpstr>dif</vt:lpstr>
      <vt:lpstr>smooth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UCOURTR</dc:creator>
  <cp:lastModifiedBy>LaToya Favre</cp:lastModifiedBy>
  <cp:revision>1</cp:revision>
  <dcterms:created xsi:type="dcterms:W3CDTF">2026-04-30T18:30:50Z</dcterms:created>
  <dcterms:modified xsi:type="dcterms:W3CDTF">2026-08-07T20:48:25Z</dcterms:modified>
</cp:coreProperties>
</file>