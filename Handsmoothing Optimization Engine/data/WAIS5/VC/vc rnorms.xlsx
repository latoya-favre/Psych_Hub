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ongoing projects\WAIS5\stdz\norms\5_reference_norms\"/>
    </mc:Choice>
  </mc:AlternateContent>
  <xr:revisionPtr revIDLastSave="0" documentId="13_ncr:1_{B6CFA339-1D14-470F-BE32-CA1930CCBB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andsmoothed" sheetId="1" r:id="rId1"/>
    <sheet name="checksmooth" sheetId="4" r:id="rId2"/>
    <sheet name="out" sheetId="6" r:id="rId3"/>
    <sheet name="QA" sheetId="5" r:id="rId4"/>
  </sheets>
  <definedNames>
    <definedName name="IDX" localSheetId="3">QA!#REF!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" l="1"/>
  <c r="C49" i="1"/>
  <c r="D49" i="1"/>
  <c r="B49" i="1"/>
  <c r="C48" i="1"/>
  <c r="D48" i="1"/>
  <c r="B48" i="1"/>
  <c r="M27" i="1"/>
  <c r="N27" i="1"/>
  <c r="O27" i="1"/>
  <c r="M28" i="1"/>
  <c r="N28" i="1"/>
  <c r="O28" i="1"/>
  <c r="D50" i="1" s="1"/>
  <c r="D59" i="1" s="1"/>
  <c r="M29" i="1"/>
  <c r="B50" i="1" s="1"/>
  <c r="N29" i="1"/>
  <c r="O29" i="1"/>
  <c r="M30" i="1"/>
  <c r="N30" i="1"/>
  <c r="O30" i="1"/>
  <c r="M31" i="1"/>
  <c r="N31" i="1"/>
  <c r="O31" i="1"/>
  <c r="M32" i="1"/>
  <c r="N32" i="1"/>
  <c r="O32" i="1"/>
  <c r="M33" i="1"/>
  <c r="N33" i="1"/>
  <c r="O33" i="1"/>
  <c r="M34" i="1"/>
  <c r="N34" i="1"/>
  <c r="O34" i="1"/>
  <c r="M35" i="1"/>
  <c r="N35" i="1"/>
  <c r="O35" i="1"/>
  <c r="M36" i="1"/>
  <c r="N36" i="1"/>
  <c r="O36" i="1"/>
  <c r="M37" i="1"/>
  <c r="N37" i="1"/>
  <c r="O37" i="1"/>
  <c r="M38" i="1"/>
  <c r="N38" i="1"/>
  <c r="O38" i="1"/>
  <c r="M39" i="1"/>
  <c r="N39" i="1"/>
  <c r="O39" i="1"/>
  <c r="M40" i="1"/>
  <c r="N40" i="1"/>
  <c r="O40" i="1"/>
  <c r="M41" i="1"/>
  <c r="N41" i="1"/>
  <c r="O41" i="1"/>
  <c r="M42" i="1"/>
  <c r="N42" i="1"/>
  <c r="O42" i="1"/>
  <c r="M43" i="1"/>
  <c r="N43" i="1"/>
  <c r="O43" i="1"/>
  <c r="M44" i="1"/>
  <c r="N44" i="1"/>
  <c r="O44" i="1"/>
  <c r="M45" i="1"/>
  <c r="N45" i="1"/>
  <c r="O45" i="1"/>
  <c r="M46" i="1"/>
  <c r="N46" i="1"/>
  <c r="O46" i="1"/>
  <c r="M47" i="1"/>
  <c r="N47" i="1"/>
  <c r="O47" i="1"/>
  <c r="O26" i="1"/>
  <c r="N26" i="1"/>
  <c r="M26" i="1"/>
  <c r="O25" i="1"/>
  <c r="N25" i="1"/>
  <c r="M25" i="1"/>
  <c r="O24" i="1"/>
  <c r="N24" i="1"/>
  <c r="M24" i="1"/>
  <c r="O23" i="1"/>
  <c r="N23" i="1"/>
  <c r="M23" i="1"/>
  <c r="O22" i="1"/>
  <c r="N22" i="1"/>
  <c r="M22" i="1"/>
  <c r="O21" i="1"/>
  <c r="N21" i="1"/>
  <c r="M21" i="1"/>
  <c r="O20" i="1"/>
  <c r="N20" i="1"/>
  <c r="M20" i="1"/>
  <c r="O19" i="1"/>
  <c r="N19" i="1"/>
  <c r="M19" i="1"/>
  <c r="O18" i="1"/>
  <c r="N18" i="1"/>
  <c r="M18" i="1"/>
  <c r="O17" i="1"/>
  <c r="N17" i="1"/>
  <c r="M17" i="1"/>
  <c r="O16" i="1"/>
  <c r="N16" i="1"/>
  <c r="M16" i="1"/>
  <c r="O15" i="1"/>
  <c r="N15" i="1"/>
  <c r="M15" i="1"/>
  <c r="O14" i="1"/>
  <c r="N14" i="1"/>
  <c r="M14" i="1"/>
  <c r="O13" i="1"/>
  <c r="N13" i="1"/>
  <c r="M13" i="1"/>
  <c r="O12" i="1"/>
  <c r="N12" i="1"/>
  <c r="M12" i="1"/>
  <c r="O11" i="1"/>
  <c r="N11" i="1"/>
  <c r="M11" i="1"/>
  <c r="O10" i="1"/>
  <c r="N10" i="1"/>
  <c r="M10" i="1"/>
  <c r="O9" i="1"/>
  <c r="N9" i="1"/>
  <c r="M9" i="1"/>
  <c r="O8" i="1"/>
  <c r="N8" i="1"/>
  <c r="M8" i="1"/>
  <c r="O7" i="1"/>
  <c r="N7" i="1"/>
  <c r="M7" i="1"/>
  <c r="O6" i="1"/>
  <c r="N6" i="1"/>
  <c r="M6" i="1"/>
  <c r="O5" i="1"/>
  <c r="N5" i="1"/>
  <c r="M5" i="1"/>
  <c r="O4" i="1"/>
  <c r="N4" i="1"/>
  <c r="M4" i="1"/>
  <c r="O3" i="1"/>
  <c r="N3" i="1"/>
  <c r="M3" i="1"/>
  <c r="O2" i="1"/>
  <c r="N2" i="1"/>
  <c r="M2" i="1"/>
  <c r="C50" i="1" l="1"/>
  <c r="C59" i="1" s="1"/>
  <c r="D58" i="1"/>
  <c r="C58" i="1"/>
  <c r="A3" i="6"/>
  <c r="B3" i="6"/>
  <c r="A4" i="6"/>
  <c r="B4" i="6"/>
  <c r="A5" i="6"/>
  <c r="B5" i="6"/>
  <c r="A6" i="6"/>
  <c r="B6" i="6"/>
  <c r="A7" i="6"/>
  <c r="B7" i="6"/>
  <c r="A8" i="6"/>
  <c r="B8" i="6"/>
  <c r="A9" i="6"/>
  <c r="B9" i="6"/>
  <c r="A10" i="6"/>
  <c r="B10" i="6"/>
  <c r="A11" i="6"/>
  <c r="B11" i="6"/>
  <c r="A12" i="6"/>
  <c r="B12" i="6"/>
  <c r="A13" i="6"/>
  <c r="B13" i="6"/>
  <c r="A14" i="6"/>
  <c r="B14" i="6"/>
  <c r="A15" i="6"/>
  <c r="B15" i="6"/>
  <c r="A16" i="6"/>
  <c r="B16" i="6"/>
  <c r="A17" i="6"/>
  <c r="B17" i="6"/>
  <c r="A18" i="6"/>
  <c r="B18" i="6"/>
  <c r="A19" i="6"/>
  <c r="B19" i="6"/>
  <c r="A20" i="6"/>
  <c r="B20" i="6"/>
  <c r="A21" i="6"/>
  <c r="B21" i="6"/>
  <c r="A22" i="6"/>
  <c r="B22" i="6"/>
  <c r="A23" i="6"/>
  <c r="B23" i="6"/>
  <c r="A24" i="6"/>
  <c r="B24" i="6"/>
  <c r="A25" i="6"/>
  <c r="B25" i="6"/>
  <c r="A26" i="6"/>
  <c r="B26" i="6"/>
  <c r="A27" i="6"/>
  <c r="B27" i="6"/>
  <c r="A28" i="6"/>
  <c r="B28" i="6"/>
  <c r="A29" i="6"/>
  <c r="B29" i="6"/>
  <c r="A30" i="6"/>
  <c r="B30" i="6"/>
  <c r="A31" i="6"/>
  <c r="B31" i="6"/>
  <c r="A32" i="6"/>
  <c r="B32" i="6"/>
  <c r="A33" i="6"/>
  <c r="B33" i="6"/>
  <c r="A34" i="6"/>
  <c r="B34" i="6"/>
  <c r="A35" i="6"/>
  <c r="B35" i="6"/>
  <c r="A36" i="6"/>
  <c r="B36" i="6"/>
  <c r="A37" i="6"/>
  <c r="B37" i="6"/>
  <c r="A38" i="6"/>
  <c r="B38" i="6"/>
  <c r="A39" i="6"/>
  <c r="B39" i="6"/>
  <c r="A40" i="6"/>
  <c r="B40" i="6"/>
  <c r="A41" i="6"/>
  <c r="B41" i="6"/>
  <c r="A42" i="6"/>
  <c r="B42" i="6"/>
  <c r="A43" i="6"/>
  <c r="B43" i="6"/>
  <c r="A44" i="6"/>
  <c r="B44" i="6"/>
  <c r="A45" i="6"/>
  <c r="B45" i="6"/>
  <c r="A46" i="6"/>
  <c r="B46" i="6"/>
  <c r="A47" i="6"/>
  <c r="B47" i="6"/>
  <c r="B2" i="6"/>
  <c r="A2" i="6"/>
  <c r="B2" i="4"/>
  <c r="C2" i="4"/>
  <c r="D2" i="4"/>
  <c r="B3" i="4"/>
  <c r="C3" i="4"/>
  <c r="D3" i="4"/>
  <c r="B4" i="4"/>
  <c r="C4" i="4"/>
  <c r="D4" i="4"/>
  <c r="B5" i="4"/>
  <c r="C5" i="4"/>
  <c r="D5" i="4"/>
  <c r="B6" i="4"/>
  <c r="C6" i="4"/>
  <c r="D6" i="4"/>
  <c r="B7" i="4"/>
  <c r="C7" i="4"/>
  <c r="D7" i="4"/>
  <c r="B8" i="4"/>
  <c r="C8" i="4"/>
  <c r="D8" i="4"/>
  <c r="B9" i="4"/>
  <c r="C9" i="4"/>
  <c r="D9" i="4"/>
  <c r="B10" i="4"/>
  <c r="C10" i="4"/>
  <c r="D10" i="4"/>
  <c r="B11" i="4"/>
  <c r="C11" i="4"/>
  <c r="D11" i="4"/>
  <c r="B12" i="4"/>
  <c r="C12" i="4"/>
  <c r="D12" i="4"/>
  <c r="B13" i="4"/>
  <c r="C13" i="4"/>
  <c r="D13" i="4"/>
  <c r="B14" i="4"/>
  <c r="C14" i="4"/>
  <c r="D14" i="4"/>
  <c r="B15" i="4"/>
  <c r="C15" i="4"/>
  <c r="D15" i="4"/>
  <c r="B16" i="4"/>
  <c r="C16" i="4"/>
  <c r="D16" i="4"/>
  <c r="B17" i="4"/>
  <c r="C17" i="4"/>
  <c r="D17" i="4"/>
  <c r="B18" i="4"/>
  <c r="C18" i="4"/>
  <c r="D18" i="4"/>
  <c r="B19" i="4"/>
  <c r="C19" i="4"/>
  <c r="D19" i="4"/>
  <c r="B20" i="4"/>
  <c r="C20" i="4"/>
  <c r="D20" i="4"/>
  <c r="B59" i="1" l="1"/>
  <c r="B58" i="1"/>
  <c r="N5" i="4"/>
  <c r="N4" i="4"/>
  <c r="N14" i="4"/>
  <c r="N8" i="4"/>
  <c r="H2" i="4"/>
  <c r="N12" i="4"/>
  <c r="H18" i="4"/>
  <c r="H14" i="4"/>
  <c r="H6" i="4"/>
  <c r="M19" i="4"/>
  <c r="M11" i="4"/>
  <c r="H10" i="4"/>
  <c r="M10" i="4"/>
  <c r="L10" i="4"/>
  <c r="L8" i="4"/>
  <c r="L6" i="4"/>
  <c r="G18" i="4"/>
  <c r="G10" i="4"/>
  <c r="G6" i="4"/>
  <c r="M16" i="4"/>
  <c r="M8" i="4"/>
  <c r="M4" i="4"/>
  <c r="M3" i="4"/>
  <c r="M14" i="4"/>
  <c r="M18" i="4"/>
  <c r="M13" i="4"/>
  <c r="L16" i="4"/>
  <c r="L5" i="4"/>
  <c r="G11" i="4"/>
  <c r="L19" i="4"/>
  <c r="L12" i="4"/>
  <c r="L7" i="4"/>
  <c r="L4" i="4"/>
  <c r="L2" i="4"/>
  <c r="L15" i="4"/>
  <c r="L14" i="4"/>
  <c r="L18" i="4"/>
  <c r="G8" i="4"/>
  <c r="G2" i="4"/>
  <c r="G12" i="4"/>
  <c r="G14" i="4"/>
  <c r="L11" i="4"/>
  <c r="L13" i="4"/>
  <c r="L3" i="4"/>
  <c r="L9" i="4"/>
  <c r="G4" i="4"/>
  <c r="G7" i="4"/>
  <c r="H19" i="4"/>
  <c r="H17" i="4"/>
  <c r="N7" i="4"/>
  <c r="M17" i="4"/>
  <c r="G17" i="4"/>
  <c r="M2" i="4"/>
  <c r="G13" i="4"/>
  <c r="M7" i="4"/>
  <c r="M5" i="4"/>
  <c r="G5" i="4"/>
  <c r="N3" i="4"/>
  <c r="N6" i="4"/>
  <c r="N15" i="4"/>
  <c r="M12" i="4"/>
  <c r="G9" i="4"/>
  <c r="M6" i="4"/>
  <c r="M9" i="4"/>
  <c r="N2" i="4"/>
  <c r="N18" i="4"/>
  <c r="N13" i="4"/>
  <c r="N17" i="4"/>
  <c r="H15" i="4"/>
  <c r="N11" i="4"/>
  <c r="N10" i="4"/>
  <c r="N9" i="4"/>
  <c r="N16" i="4"/>
  <c r="H11" i="4"/>
  <c r="H7" i="4"/>
  <c r="H3" i="4"/>
  <c r="G19" i="4"/>
  <c r="L17" i="4"/>
  <c r="G15" i="4"/>
  <c r="G3" i="4"/>
  <c r="H12" i="4"/>
  <c r="H8" i="4"/>
  <c r="H4" i="4"/>
  <c r="H20" i="4"/>
  <c r="H16" i="4"/>
  <c r="G20" i="4"/>
  <c r="N19" i="4"/>
  <c r="G16" i="4"/>
  <c r="M15" i="4"/>
  <c r="H13" i="4"/>
  <c r="H9" i="4"/>
  <c r="H5" i="4"/>
  <c r="D57" i="1" l="1"/>
  <c r="C57" i="1"/>
  <c r="B57" i="1"/>
  <c r="G47" i="1"/>
  <c r="F47" i="1"/>
  <c r="K46" i="1"/>
  <c r="J46" i="1"/>
  <c r="I46" i="1"/>
  <c r="G46" i="1"/>
  <c r="F46" i="1"/>
  <c r="K45" i="1"/>
  <c r="J45" i="1"/>
  <c r="I45" i="1"/>
  <c r="G45" i="1"/>
  <c r="F45" i="1"/>
  <c r="K44" i="1"/>
  <c r="J44" i="1"/>
  <c r="I44" i="1"/>
  <c r="G44" i="1"/>
  <c r="F44" i="1"/>
  <c r="K43" i="1"/>
  <c r="J43" i="1"/>
  <c r="I43" i="1"/>
  <c r="G43" i="1"/>
  <c r="F43" i="1"/>
  <c r="K42" i="1"/>
  <c r="J42" i="1"/>
  <c r="I42" i="1"/>
  <c r="G42" i="1"/>
  <c r="F42" i="1"/>
  <c r="K41" i="1"/>
  <c r="J41" i="1"/>
  <c r="I41" i="1"/>
  <c r="G41" i="1"/>
  <c r="F41" i="1"/>
  <c r="K40" i="1"/>
  <c r="J40" i="1"/>
  <c r="I40" i="1"/>
  <c r="G40" i="1"/>
  <c r="F40" i="1"/>
  <c r="K39" i="1"/>
  <c r="J39" i="1"/>
  <c r="I39" i="1"/>
  <c r="G39" i="1"/>
  <c r="F39" i="1"/>
  <c r="K38" i="1"/>
  <c r="J38" i="1"/>
  <c r="I38" i="1"/>
  <c r="G38" i="1"/>
  <c r="F38" i="1"/>
  <c r="K37" i="1"/>
  <c r="J37" i="1"/>
  <c r="I37" i="1"/>
  <c r="G37" i="1"/>
  <c r="F37" i="1"/>
  <c r="K36" i="1"/>
  <c r="J36" i="1"/>
  <c r="I36" i="1"/>
  <c r="G36" i="1"/>
  <c r="F36" i="1"/>
  <c r="K35" i="1"/>
  <c r="J35" i="1"/>
  <c r="I35" i="1"/>
  <c r="G35" i="1"/>
  <c r="F35" i="1"/>
  <c r="K34" i="1"/>
  <c r="J34" i="1"/>
  <c r="I34" i="1"/>
  <c r="G34" i="1"/>
  <c r="F34" i="1"/>
  <c r="K33" i="1"/>
  <c r="J33" i="1"/>
  <c r="I33" i="1"/>
  <c r="G33" i="1"/>
  <c r="F33" i="1"/>
  <c r="K32" i="1"/>
  <c r="J32" i="1"/>
  <c r="I32" i="1"/>
  <c r="G32" i="1"/>
  <c r="F32" i="1"/>
  <c r="K31" i="1"/>
  <c r="J31" i="1"/>
  <c r="I31" i="1"/>
  <c r="G31" i="1"/>
  <c r="F31" i="1"/>
  <c r="K30" i="1"/>
  <c r="J30" i="1"/>
  <c r="I30" i="1"/>
  <c r="G30" i="1"/>
  <c r="F30" i="1"/>
  <c r="K29" i="1"/>
  <c r="J29" i="1"/>
  <c r="I29" i="1"/>
  <c r="G29" i="1"/>
  <c r="F29" i="1"/>
  <c r="K28" i="1"/>
  <c r="J28" i="1"/>
  <c r="I28" i="1"/>
  <c r="G28" i="1"/>
  <c r="F28" i="1"/>
  <c r="K27" i="1"/>
  <c r="J27" i="1"/>
  <c r="I27" i="1"/>
  <c r="G27" i="1"/>
  <c r="F27" i="1"/>
  <c r="K26" i="1"/>
  <c r="J26" i="1"/>
  <c r="I26" i="1"/>
  <c r="G26" i="1"/>
  <c r="F26" i="1"/>
  <c r="K25" i="1"/>
  <c r="J25" i="1"/>
  <c r="I25" i="1"/>
  <c r="G25" i="1"/>
  <c r="F25" i="1"/>
  <c r="K24" i="1"/>
  <c r="J24" i="1"/>
  <c r="I24" i="1"/>
  <c r="G24" i="1"/>
  <c r="F24" i="1"/>
  <c r="K23" i="1"/>
  <c r="J23" i="1"/>
  <c r="I23" i="1"/>
  <c r="G23" i="1"/>
  <c r="F23" i="1"/>
  <c r="K22" i="1"/>
  <c r="J22" i="1"/>
  <c r="I22" i="1"/>
  <c r="G22" i="1"/>
  <c r="F22" i="1"/>
  <c r="K21" i="1"/>
  <c r="J21" i="1"/>
  <c r="I21" i="1"/>
  <c r="G21" i="1"/>
  <c r="F21" i="1"/>
  <c r="K20" i="1"/>
  <c r="J20" i="1"/>
  <c r="I20" i="1"/>
  <c r="G20" i="1"/>
  <c r="F20" i="1"/>
  <c r="K19" i="1"/>
  <c r="J19" i="1"/>
  <c r="I19" i="1"/>
  <c r="G19" i="1"/>
  <c r="F19" i="1"/>
  <c r="K18" i="1"/>
  <c r="J18" i="1"/>
  <c r="I18" i="1"/>
  <c r="G18" i="1"/>
  <c r="F18" i="1"/>
  <c r="K17" i="1"/>
  <c r="J17" i="1"/>
  <c r="I17" i="1"/>
  <c r="G17" i="1"/>
  <c r="F17" i="1"/>
  <c r="K16" i="1"/>
  <c r="J16" i="1"/>
  <c r="I16" i="1"/>
  <c r="G16" i="1"/>
  <c r="F16" i="1"/>
  <c r="K15" i="1"/>
  <c r="J15" i="1"/>
  <c r="I15" i="1"/>
  <c r="G15" i="1"/>
  <c r="F15" i="1"/>
  <c r="K14" i="1"/>
  <c r="J14" i="1"/>
  <c r="I14" i="1"/>
  <c r="G14" i="1"/>
  <c r="F14" i="1"/>
  <c r="K13" i="1"/>
  <c r="J13" i="1"/>
  <c r="I13" i="1"/>
  <c r="G13" i="1"/>
  <c r="F13" i="1"/>
  <c r="K12" i="1"/>
  <c r="J12" i="1"/>
  <c r="I12" i="1"/>
  <c r="G12" i="1"/>
  <c r="F12" i="1"/>
  <c r="K11" i="1"/>
  <c r="J11" i="1"/>
  <c r="I11" i="1"/>
  <c r="G11" i="1"/>
  <c r="F11" i="1"/>
  <c r="K10" i="1"/>
  <c r="J10" i="1"/>
  <c r="I10" i="1"/>
  <c r="G10" i="1"/>
  <c r="F10" i="1"/>
  <c r="K9" i="1"/>
  <c r="J9" i="1"/>
  <c r="I9" i="1"/>
  <c r="G9" i="1"/>
  <c r="F9" i="1"/>
  <c r="K8" i="1"/>
  <c r="J8" i="1"/>
  <c r="I8" i="1"/>
  <c r="G8" i="1"/>
  <c r="F8" i="1"/>
  <c r="K7" i="1"/>
  <c r="J7" i="1"/>
  <c r="I7" i="1"/>
  <c r="G7" i="1"/>
  <c r="F7" i="1"/>
  <c r="K6" i="1"/>
  <c r="J6" i="1"/>
  <c r="I6" i="1"/>
  <c r="G6" i="1"/>
  <c r="F6" i="1"/>
  <c r="K5" i="1"/>
  <c r="J5" i="1"/>
  <c r="I5" i="1"/>
  <c r="G5" i="1"/>
  <c r="F5" i="1"/>
  <c r="K4" i="1"/>
  <c r="J4" i="1"/>
  <c r="I4" i="1"/>
  <c r="G4" i="1"/>
  <c r="F4" i="1"/>
  <c r="K3" i="1"/>
  <c r="J3" i="1"/>
  <c r="I3" i="1"/>
  <c r="G3" i="1"/>
  <c r="F3" i="1"/>
  <c r="K2" i="1"/>
  <c r="J2" i="1"/>
  <c r="I2" i="1"/>
  <c r="G2" i="1"/>
  <c r="F2" i="1"/>
  <c r="D55" i="1" l="1"/>
  <c r="B55" i="1"/>
  <c r="C53" i="1"/>
  <c r="E48" i="1"/>
  <c r="D56" i="1" l="1"/>
  <c r="D51" i="1"/>
  <c r="D53" i="1"/>
  <c r="C55" i="1"/>
  <c r="C51" i="1"/>
  <c r="B53" i="1"/>
  <c r="B56" i="1"/>
  <c r="B51" i="1"/>
  <c r="E49" i="1"/>
  <c r="E51" i="1" s="1"/>
  <c r="C56" i="1"/>
  <c r="C52" i="1"/>
  <c r="C54" i="1"/>
  <c r="D54" i="1" l="1"/>
  <c r="D52" i="1"/>
  <c r="E50" i="1"/>
  <c r="E54" i="1" s="1"/>
  <c r="B54" i="1"/>
  <c r="B52" i="1"/>
  <c r="E53" i="1"/>
  <c r="E55" i="1"/>
  <c r="E52" i="1" l="1"/>
  <c r="E56" i="1"/>
</calcChain>
</file>

<file path=xl/sharedStrings.xml><?xml version="1.0" encoding="utf-8"?>
<sst xmlns="http://schemas.openxmlformats.org/spreadsheetml/2006/main" count="223" uniqueCount="48">
  <si>
    <t>vctot</t>
  </si>
  <si>
    <t>ss1</t>
  </si>
  <si>
    <t>ss3</t>
  </si>
  <si>
    <t>ss5</t>
  </si>
  <si>
    <t>ReverseCross</t>
  </si>
  <si>
    <t>c3_4</t>
  </si>
  <si>
    <t>c4_5</t>
  </si>
  <si>
    <t>ReverseDown</t>
  </si>
  <si>
    <t>d3</t>
  </si>
  <si>
    <t>d4</t>
  </si>
  <si>
    <t>d5</t>
  </si>
  <si>
    <t/>
  </si>
  <si>
    <t>N</t>
  </si>
  <si>
    <t>MEAN</t>
  </si>
  <si>
    <t>SD</t>
  </si>
  <si>
    <t>IDEALm</t>
  </si>
  <si>
    <t>IDEALs</t>
  </si>
  <si>
    <t>STANDARDm</t>
  </si>
  <si>
    <t>STANDARDs</t>
  </si>
  <si>
    <t>EXCEPIONm</t>
  </si>
  <si>
    <t>EXCEPIONs</t>
  </si>
  <si>
    <t>N1</t>
  </si>
  <si>
    <t>MEAN1</t>
  </si>
  <si>
    <t>SD1</t>
  </si>
  <si>
    <t>ssq3</t>
  </si>
  <si>
    <t>ssq4</t>
  </si>
  <si>
    <t>ssq5</t>
  </si>
  <si>
    <t>Obs</t>
  </si>
  <si>
    <t>g5</t>
  </si>
  <si>
    <t>g4</t>
  </si>
  <si>
    <t>g3</t>
  </si>
  <si>
    <t>wais5_vc_raw</t>
  </si>
  <si>
    <t>The MEANS Procedure</t>
  </si>
  <si>
    <t>Analysis Variable : vc_ss</t>
  </si>
  <si>
    <t>Mean</t>
  </si>
  <si>
    <t>Std Dev</t>
  </si>
  <si>
    <t>Minimum</t>
  </si>
  <si>
    <t>Maximum</t>
  </si>
  <si>
    <t>wais5 norm (vc)</t>
  </si>
  <si>
    <t>P_02</t>
  </si>
  <si>
    <t>P_16</t>
  </si>
  <si>
    <t>P_50</t>
  </si>
  <si>
    <t>P_84</t>
  </si>
  <si>
    <t>P_98</t>
  </si>
  <si>
    <t>f3</t>
  </si>
  <si>
    <t>f345</t>
  </si>
  <si>
    <t>f5</t>
  </si>
  <si>
    <t>Overall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</si>
</sst>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7" x14ac:knownFonts="1">
    <font>
      <sz val="9.5"/>
      <color rgb="FF000000"/>
      <name val="Arial"/>
    </font>
    <font>
      <sz val="11"/>
      <color theme="1"/>
      <name val="Courier New"/>
      <family val="2"/>
      <scheme val="minor"/>
    </font>
    <font>
      <sz val="9.5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9.5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</fills>
  <borders count="4">
    <border>
      <left/>
      <right/>
      <top/>
      <bottom/>
      <diagonal/>
    </border>
    <border>
      <left style="medium">
        <color rgb="FFC1C1C1"/>
      </left>
      <right/>
      <top style="medium">
        <color rgb="FFC1C1C1"/>
      </top>
      <bottom/>
      <diagonal/>
    </border>
    <border>
      <left/>
      <right/>
      <top style="medium">
        <color rgb="FFC1C1C1"/>
      </top>
      <bottom/>
      <diagonal/>
    </border>
    <border>
      <left style="medium">
        <color rgb="FFC1C1C1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 applyFont="1" applyFill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 wrapText="1"/>
    </xf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top" wrapText="1"/>
    </xf>
    <xf numFmtId="164" fontId="4" fillId="0" borderId="0" xfId="0" applyNumberFormat="1" applyFont="1" applyAlignment="1">
      <alignment horizontal="center" vertical="top" wrapText="1"/>
    </xf>
    <xf numFmtId="0" fontId="0" fillId="0" borderId="0" xfId="0" applyAlignment="1">
      <alignment vertical="center"/>
    </xf>
    <xf numFmtId="0" fontId="1" fillId="0" borderId="0" xfId="1"/>
    <xf numFmtId="0" fontId="1" fillId="0" borderId="0" xfId="1" applyAlignment="1">
      <alignment horizontal="center"/>
    </xf>
    <xf numFmtId="0" fontId="4" fillId="0" borderId="2" xfId="1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  <xf numFmtId="165" fontId="4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5" fillId="2" borderId="0" xfId="0" applyFont="1" applyFill="1" applyBorder="1" applyAlignment="1">
      <alignment horizontal="left" vertical="top" wrapText="1"/>
    </xf>
    <xf numFmtId="0" fontId="0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center" vertical="top" wrapText="1"/>
    </xf>
    <xf numFmtId="0" fontId="6" fillId="0" borderId="3" xfId="0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center" vertical="top" wrapText="1"/>
    </xf>
    <xf numFmtId="0" fontId="6" fillId="0" borderId="2" xfId="0" applyFont="1" applyFill="1" applyBorder="1" applyAlignment="1">
      <alignment horizontal="center" vertical="top" wrapText="1"/>
    </xf>
    <xf numFmtId="0" fontId="6" fillId="0" borderId="2" xfId="0" applyFont="1" applyFill="1" applyBorder="1" applyAlignment="1">
      <alignment horizontal="center" vertical="top" wrapText="1"/>
    </xf>
  </cellXfs>
  <cellStyles count="2">
    <cellStyle name="Normal" xfId="0" builtinId="0"/>
    <cellStyle name="Normal 2" xfId="1" xr:uid="{E53C4D72-7E38-4FC4-AB53-C623DABE7404}"/>
  </cellStyles>
  <dxfs count="32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77"/>
  <sheetViews>
    <sheetView tabSelected="1" zoomScale="77" zoomScaleNormal="77" workbookViewId="0">
      <selection activeCell="E5" sqref="E5"/>
    </sheetView>
  </sheetViews>
  <sheetFormatPr defaultRowHeight="12" customHeight="1" x14ac:dyDescent="0.2"/>
  <cols>
    <col min="1" max="1" width="11.5703125" style="7" customWidth="1"/>
    <col min="2" max="2" width="13.140625" style="3" bestFit="1" customWidth="1"/>
    <col min="3" max="4" width="9.140625" style="3" bestFit="1" customWidth="1"/>
    <col min="5" max="5" width="9.140625" style="3"/>
    <col min="6" max="7" width="6.85546875" style="3" customWidth="1"/>
    <col min="8" max="8" width="7.7109375" style="3" customWidth="1"/>
    <col min="9" max="11" width="5.42578125" style="3" customWidth="1"/>
    <col min="12" max="24" width="7.7109375" style="3" customWidth="1"/>
    <col min="25" max="16384" width="9.140625" style="3"/>
  </cols>
  <sheetData>
    <row r="1" spans="1:38" ht="45" x14ac:dyDescent="0.2">
      <c r="A1" s="1" t="s">
        <v>0</v>
      </c>
      <c r="B1" s="2" t="s">
        <v>2</v>
      </c>
      <c r="C1" s="2" t="s">
        <v>1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/>
      <c r="M1" s="2" t="s">
        <v>24</v>
      </c>
      <c r="N1" s="2" t="s">
        <v>25</v>
      </c>
      <c r="O1" s="2" t="s">
        <v>26</v>
      </c>
      <c r="P1" s="15"/>
      <c r="Q1" s="2" t="s">
        <v>44</v>
      </c>
      <c r="R1" s="2" t="s">
        <v>45</v>
      </c>
      <c r="S1" s="2" t="s">
        <v>46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8" ht="15" x14ac:dyDescent="0.2">
      <c r="A2" s="4">
        <v>0</v>
      </c>
      <c r="B2" s="5">
        <v>1</v>
      </c>
      <c r="C2" s="5">
        <v>1</v>
      </c>
      <c r="D2" s="5">
        <v>1</v>
      </c>
      <c r="E2" s="5" t="s">
        <v>11</v>
      </c>
      <c r="F2" s="12">
        <f>B2-C2</f>
        <v>0</v>
      </c>
      <c r="G2" s="12">
        <f>C2-D2</f>
        <v>0</v>
      </c>
      <c r="H2" s="5" t="s">
        <v>11</v>
      </c>
      <c r="I2" s="5">
        <f>B3-B2</f>
        <v>0</v>
      </c>
      <c r="J2" s="5">
        <f>C3-C2</f>
        <v>0</v>
      </c>
      <c r="K2" s="5">
        <f>D3-D2</f>
        <v>0</v>
      </c>
      <c r="L2" s="5"/>
      <c r="M2" s="5">
        <f t="shared" ref="M2:O17" si="0">B2^2</f>
        <v>1</v>
      </c>
      <c r="N2" s="5">
        <f t="shared" si="0"/>
        <v>1</v>
      </c>
      <c r="O2" s="5">
        <f t="shared" si="0"/>
        <v>1</v>
      </c>
      <c r="P2" s="5"/>
      <c r="Q2" s="5">
        <v>0</v>
      </c>
      <c r="R2" s="5">
        <v>1.8518518518518517E-3</v>
      </c>
      <c r="S2" s="5">
        <v>5.5555555555555558E-3</v>
      </c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ht="15" x14ac:dyDescent="0.2">
      <c r="A3" s="4">
        <v>1</v>
      </c>
      <c r="B3" s="5">
        <v>1</v>
      </c>
      <c r="C3" s="5">
        <v>1</v>
      </c>
      <c r="D3" s="5">
        <v>1</v>
      </c>
      <c r="E3" s="5" t="s">
        <v>11</v>
      </c>
      <c r="F3" s="12">
        <f>B3-C3</f>
        <v>0</v>
      </c>
      <c r="G3" s="12">
        <f>C3-D3</f>
        <v>0</v>
      </c>
      <c r="H3" s="5" t="s">
        <v>11</v>
      </c>
      <c r="I3" s="5">
        <f>B4-B3</f>
        <v>0</v>
      </c>
      <c r="J3" s="5">
        <f>C4-C3</f>
        <v>0</v>
      </c>
      <c r="K3" s="5">
        <f>D4-D3</f>
        <v>0</v>
      </c>
      <c r="L3" s="5"/>
      <c r="M3" s="5">
        <f t="shared" si="0"/>
        <v>1</v>
      </c>
      <c r="N3" s="5">
        <f t="shared" si="0"/>
        <v>1</v>
      </c>
      <c r="O3" s="5">
        <f t="shared" si="0"/>
        <v>1</v>
      </c>
      <c r="P3" s="5"/>
      <c r="Q3" s="5">
        <v>0</v>
      </c>
      <c r="R3" s="5">
        <v>0</v>
      </c>
      <c r="S3" s="5">
        <v>0</v>
      </c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ht="15" x14ac:dyDescent="0.2">
      <c r="A4" s="4">
        <v>2</v>
      </c>
      <c r="B4" s="5">
        <v>1</v>
      </c>
      <c r="C4" s="5">
        <v>1</v>
      </c>
      <c r="D4" s="5">
        <v>1</v>
      </c>
      <c r="E4" s="5" t="s">
        <v>11</v>
      </c>
      <c r="F4" s="12">
        <f>B4-C4</f>
        <v>0</v>
      </c>
      <c r="G4" s="12">
        <f>C4-D4</f>
        <v>0</v>
      </c>
      <c r="H4" s="5" t="s">
        <v>11</v>
      </c>
      <c r="I4" s="5">
        <f>B5-B4</f>
        <v>0</v>
      </c>
      <c r="J4" s="5">
        <f>C5-C4</f>
        <v>0</v>
      </c>
      <c r="K4" s="5">
        <f>D5-D4</f>
        <v>0</v>
      </c>
      <c r="L4" s="5"/>
      <c r="M4" s="5">
        <f t="shared" si="0"/>
        <v>1</v>
      </c>
      <c r="N4" s="5">
        <f t="shared" si="0"/>
        <v>1</v>
      </c>
      <c r="O4" s="5">
        <f t="shared" si="0"/>
        <v>1</v>
      </c>
      <c r="P4" s="5"/>
      <c r="Q4" s="5">
        <v>0</v>
      </c>
      <c r="R4" s="5">
        <v>0</v>
      </c>
      <c r="S4" s="5">
        <v>0</v>
      </c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ht="15" x14ac:dyDescent="0.2">
      <c r="A5" s="4">
        <v>3</v>
      </c>
      <c r="B5" s="5">
        <v>1</v>
      </c>
      <c r="C5" s="5">
        <v>1</v>
      </c>
      <c r="D5" s="5">
        <v>1</v>
      </c>
      <c r="E5" s="5" t="s">
        <v>11</v>
      </c>
      <c r="F5" s="12">
        <f>B5-C5</f>
        <v>0</v>
      </c>
      <c r="G5" s="12">
        <f>C5-D5</f>
        <v>0</v>
      </c>
      <c r="H5" s="5" t="s">
        <v>11</v>
      </c>
      <c r="I5" s="5">
        <f>B6-B5</f>
        <v>1</v>
      </c>
      <c r="J5" s="5">
        <f>C6-C5</f>
        <v>1</v>
      </c>
      <c r="K5" s="5">
        <f>D6-D5</f>
        <v>1</v>
      </c>
      <c r="L5" s="5"/>
      <c r="M5" s="5">
        <f t="shared" si="0"/>
        <v>1</v>
      </c>
      <c r="N5" s="5">
        <f t="shared" si="0"/>
        <v>1</v>
      </c>
      <c r="O5" s="5">
        <f t="shared" si="0"/>
        <v>1</v>
      </c>
      <c r="P5" s="5"/>
      <c r="Q5" s="5">
        <v>0</v>
      </c>
      <c r="R5" s="5">
        <v>0</v>
      </c>
      <c r="S5" s="5">
        <v>0</v>
      </c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ht="15" x14ac:dyDescent="0.2">
      <c r="A6" s="4">
        <v>4</v>
      </c>
      <c r="B6" s="5">
        <v>2</v>
      </c>
      <c r="C6" s="5">
        <v>2</v>
      </c>
      <c r="D6" s="5">
        <v>2</v>
      </c>
      <c r="E6" s="5" t="s">
        <v>11</v>
      </c>
      <c r="F6" s="12">
        <f>B6-C6</f>
        <v>0</v>
      </c>
      <c r="G6" s="12">
        <f>C6-D6</f>
        <v>0</v>
      </c>
      <c r="H6" s="5" t="s">
        <v>11</v>
      </c>
      <c r="I6" s="5">
        <f>B7-B6</f>
        <v>0</v>
      </c>
      <c r="J6" s="5">
        <f>C7-C6</f>
        <v>0</v>
      </c>
      <c r="K6" s="5">
        <f>D7-D6</f>
        <v>0</v>
      </c>
      <c r="L6" s="5"/>
      <c r="M6" s="5">
        <f t="shared" si="0"/>
        <v>4</v>
      </c>
      <c r="N6" s="5">
        <f t="shared" si="0"/>
        <v>4</v>
      </c>
      <c r="O6" s="5">
        <f t="shared" si="0"/>
        <v>4</v>
      </c>
      <c r="P6" s="5"/>
      <c r="Q6" s="5">
        <v>0</v>
      </c>
      <c r="R6" s="5">
        <v>3.7037037037037034E-3</v>
      </c>
      <c r="S6" s="5">
        <v>5.5555555555555558E-3</v>
      </c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</row>
    <row r="7" spans="1:38" ht="15" x14ac:dyDescent="0.2">
      <c r="A7" s="4">
        <v>5</v>
      </c>
      <c r="B7" s="5">
        <v>2</v>
      </c>
      <c r="C7" s="5">
        <v>2</v>
      </c>
      <c r="D7" s="5">
        <v>2</v>
      </c>
      <c r="E7" s="5" t="s">
        <v>11</v>
      </c>
      <c r="F7" s="12">
        <f>B7-C7</f>
        <v>0</v>
      </c>
      <c r="G7" s="12">
        <f>C7-D7</f>
        <v>0</v>
      </c>
      <c r="H7" s="5" t="s">
        <v>11</v>
      </c>
      <c r="I7" s="5">
        <f>B8-B7</f>
        <v>1</v>
      </c>
      <c r="J7" s="5">
        <f>C8-C7</f>
        <v>1</v>
      </c>
      <c r="K7" s="5">
        <f>D8-D7</f>
        <v>1</v>
      </c>
      <c r="L7" s="5"/>
      <c r="M7" s="5">
        <f t="shared" si="0"/>
        <v>4</v>
      </c>
      <c r="N7" s="5">
        <f t="shared" si="0"/>
        <v>4</v>
      </c>
      <c r="O7" s="5">
        <f t="shared" si="0"/>
        <v>4</v>
      </c>
      <c r="P7" s="5"/>
      <c r="Q7" s="5">
        <v>0</v>
      </c>
      <c r="R7" s="5">
        <v>0</v>
      </c>
      <c r="S7" s="5">
        <v>0</v>
      </c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</row>
    <row r="8" spans="1:38" ht="15" x14ac:dyDescent="0.2">
      <c r="A8" s="4">
        <v>6</v>
      </c>
      <c r="B8" s="5">
        <v>3</v>
      </c>
      <c r="C8" s="5">
        <v>3</v>
      </c>
      <c r="D8" s="5">
        <v>3</v>
      </c>
      <c r="E8" s="5" t="s">
        <v>11</v>
      </c>
      <c r="F8" s="12">
        <f>B8-C8</f>
        <v>0</v>
      </c>
      <c r="G8" s="12">
        <f>C8-D8</f>
        <v>0</v>
      </c>
      <c r="H8" s="5" t="s">
        <v>11</v>
      </c>
      <c r="I8" s="5">
        <f>B9-B8</f>
        <v>0</v>
      </c>
      <c r="J8" s="5">
        <f>C9-C8</f>
        <v>0</v>
      </c>
      <c r="K8" s="5">
        <f>D9-D8</f>
        <v>0</v>
      </c>
      <c r="L8" s="5"/>
      <c r="M8" s="5">
        <f t="shared" si="0"/>
        <v>9</v>
      </c>
      <c r="N8" s="5">
        <f t="shared" si="0"/>
        <v>9</v>
      </c>
      <c r="O8" s="5">
        <f t="shared" si="0"/>
        <v>9</v>
      </c>
      <c r="P8" s="5"/>
      <c r="Q8" s="5">
        <v>0</v>
      </c>
      <c r="R8" s="5">
        <v>0</v>
      </c>
      <c r="S8" s="5">
        <v>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</row>
    <row r="9" spans="1:38" ht="15" x14ac:dyDescent="0.2">
      <c r="A9" s="4">
        <v>7</v>
      </c>
      <c r="B9" s="5">
        <v>3</v>
      </c>
      <c r="C9" s="5">
        <v>3</v>
      </c>
      <c r="D9" s="5">
        <v>3</v>
      </c>
      <c r="E9" s="5" t="s">
        <v>11</v>
      </c>
      <c r="F9" s="12">
        <f>B9-C9</f>
        <v>0</v>
      </c>
      <c r="G9" s="12">
        <f>C9-D9</f>
        <v>0</v>
      </c>
      <c r="H9" s="5" t="s">
        <v>11</v>
      </c>
      <c r="I9" s="5">
        <f>B10-B9</f>
        <v>0</v>
      </c>
      <c r="J9" s="5">
        <f>C10-C9</f>
        <v>0</v>
      </c>
      <c r="K9" s="5">
        <f>D10-D9</f>
        <v>0</v>
      </c>
      <c r="L9" s="5"/>
      <c r="M9" s="5">
        <f t="shared" si="0"/>
        <v>9</v>
      </c>
      <c r="N9" s="5">
        <f t="shared" si="0"/>
        <v>9</v>
      </c>
      <c r="O9" s="5">
        <f t="shared" si="0"/>
        <v>9</v>
      </c>
      <c r="P9" s="5"/>
      <c r="Q9" s="5">
        <v>0</v>
      </c>
      <c r="R9" s="5">
        <v>1.8518518518518517E-3</v>
      </c>
      <c r="S9" s="5">
        <v>5.5555555555555558E-3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</row>
    <row r="10" spans="1:38" ht="15" x14ac:dyDescent="0.2">
      <c r="A10" s="4">
        <v>8</v>
      </c>
      <c r="B10" s="5">
        <v>3</v>
      </c>
      <c r="C10" s="5">
        <v>3</v>
      </c>
      <c r="D10" s="5">
        <v>3</v>
      </c>
      <c r="E10" s="5" t="s">
        <v>11</v>
      </c>
      <c r="F10" s="12">
        <f>B10-C10</f>
        <v>0</v>
      </c>
      <c r="G10" s="12">
        <f>C10-D10</f>
        <v>0</v>
      </c>
      <c r="H10" s="5" t="s">
        <v>11</v>
      </c>
      <c r="I10" s="5">
        <f>B11-B10</f>
        <v>1</v>
      </c>
      <c r="J10" s="5">
        <f>C11-C10</f>
        <v>1</v>
      </c>
      <c r="K10" s="5">
        <f>D11-D10</f>
        <v>1</v>
      </c>
      <c r="L10" s="5"/>
      <c r="M10" s="5">
        <f t="shared" si="0"/>
        <v>9</v>
      </c>
      <c r="N10" s="5">
        <f t="shared" si="0"/>
        <v>9</v>
      </c>
      <c r="O10" s="5">
        <f t="shared" si="0"/>
        <v>9</v>
      </c>
      <c r="P10" s="5"/>
      <c r="Q10" s="5">
        <v>0</v>
      </c>
      <c r="R10" s="5">
        <v>3.7037037037037034E-3</v>
      </c>
      <c r="S10" s="5">
        <v>5.5555555555555558E-3</v>
      </c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</row>
    <row r="11" spans="1:38" ht="15" x14ac:dyDescent="0.2">
      <c r="A11" s="4">
        <v>9</v>
      </c>
      <c r="B11" s="5">
        <v>4</v>
      </c>
      <c r="C11" s="5">
        <v>4</v>
      </c>
      <c r="D11" s="5">
        <v>4</v>
      </c>
      <c r="E11" s="5" t="s">
        <v>11</v>
      </c>
      <c r="F11" s="12">
        <f>B11-C11</f>
        <v>0</v>
      </c>
      <c r="G11" s="12">
        <f>C11-D11</f>
        <v>0</v>
      </c>
      <c r="H11" s="5" t="s">
        <v>11</v>
      </c>
      <c r="I11" s="5">
        <f>B12-B11</f>
        <v>0</v>
      </c>
      <c r="J11" s="5">
        <f>C12-C11</f>
        <v>0</v>
      </c>
      <c r="K11" s="5">
        <f>D12-D11</f>
        <v>0</v>
      </c>
      <c r="L11" s="5"/>
      <c r="M11" s="5">
        <f t="shared" si="0"/>
        <v>16</v>
      </c>
      <c r="N11" s="5">
        <f t="shared" si="0"/>
        <v>16</v>
      </c>
      <c r="O11" s="5">
        <f t="shared" si="0"/>
        <v>16</v>
      </c>
      <c r="P11" s="5"/>
      <c r="Q11" s="5">
        <v>1.6666666666666666E-2</v>
      </c>
      <c r="R11" s="5">
        <v>9.2592592592592587E-3</v>
      </c>
      <c r="S11" s="5">
        <v>1.1111111111111112E-2</v>
      </c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</row>
    <row r="12" spans="1:38" ht="15" x14ac:dyDescent="0.2">
      <c r="A12" s="4">
        <v>10</v>
      </c>
      <c r="B12" s="5">
        <v>4</v>
      </c>
      <c r="C12" s="5">
        <v>4</v>
      </c>
      <c r="D12" s="5">
        <v>4</v>
      </c>
      <c r="E12" s="5" t="s">
        <v>11</v>
      </c>
      <c r="F12" s="12">
        <f>B12-C12</f>
        <v>0</v>
      </c>
      <c r="G12" s="12">
        <f>C12-D12</f>
        <v>0</v>
      </c>
      <c r="H12" s="5" t="s">
        <v>11</v>
      </c>
      <c r="I12" s="5">
        <f>B13-B12</f>
        <v>0</v>
      </c>
      <c r="J12" s="5">
        <f>C13-C12</f>
        <v>0</v>
      </c>
      <c r="K12" s="5">
        <f>D13-D12</f>
        <v>0</v>
      </c>
      <c r="L12" s="5"/>
      <c r="M12" s="5">
        <f t="shared" si="0"/>
        <v>16</v>
      </c>
      <c r="N12" s="5">
        <f t="shared" si="0"/>
        <v>16</v>
      </c>
      <c r="O12" s="5">
        <f t="shared" si="0"/>
        <v>16</v>
      </c>
      <c r="P12" s="5"/>
      <c r="Q12" s="5">
        <v>0</v>
      </c>
      <c r="R12" s="5">
        <v>3.7037037037037034E-3</v>
      </c>
      <c r="S12" s="5">
        <v>5.5555555555555558E-3</v>
      </c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</row>
    <row r="13" spans="1:38" ht="15" x14ac:dyDescent="0.2">
      <c r="A13" s="4">
        <v>11</v>
      </c>
      <c r="B13" s="5">
        <v>4</v>
      </c>
      <c r="C13" s="5">
        <v>4</v>
      </c>
      <c r="D13" s="5">
        <v>4</v>
      </c>
      <c r="E13" s="5" t="s">
        <v>11</v>
      </c>
      <c r="F13" s="12">
        <f>B13-C13</f>
        <v>0</v>
      </c>
      <c r="G13" s="12">
        <f>C13-D13</f>
        <v>0</v>
      </c>
      <c r="H13" s="5" t="s">
        <v>11</v>
      </c>
      <c r="I13" s="5">
        <f>B14-B13</f>
        <v>1</v>
      </c>
      <c r="J13" s="5">
        <f>C14-C13</f>
        <v>1</v>
      </c>
      <c r="K13" s="5">
        <f>D14-D13</f>
        <v>1</v>
      </c>
      <c r="L13" s="5"/>
      <c r="M13" s="5">
        <f t="shared" si="0"/>
        <v>16</v>
      </c>
      <c r="N13" s="5">
        <f t="shared" si="0"/>
        <v>16</v>
      </c>
      <c r="O13" s="5">
        <f t="shared" si="0"/>
        <v>16</v>
      </c>
      <c r="P13" s="5"/>
      <c r="Q13" s="5">
        <v>1.6666666666666666E-2</v>
      </c>
      <c r="R13" s="5">
        <v>1.4814814814814814E-2</v>
      </c>
      <c r="S13" s="5">
        <v>1.6666666666666666E-2</v>
      </c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</row>
    <row r="14" spans="1:38" ht="15" x14ac:dyDescent="0.2">
      <c r="A14" s="4">
        <v>12</v>
      </c>
      <c r="B14" s="5">
        <v>5</v>
      </c>
      <c r="C14" s="5">
        <v>5</v>
      </c>
      <c r="D14" s="5">
        <v>5</v>
      </c>
      <c r="E14" s="5" t="s">
        <v>11</v>
      </c>
      <c r="F14" s="12">
        <f>B14-C14</f>
        <v>0</v>
      </c>
      <c r="G14" s="12">
        <f>C14-D14</f>
        <v>0</v>
      </c>
      <c r="H14" s="5" t="s">
        <v>11</v>
      </c>
      <c r="I14" s="5">
        <f>B15-B14</f>
        <v>0</v>
      </c>
      <c r="J14" s="5">
        <f>C15-C14</f>
        <v>0</v>
      </c>
      <c r="K14" s="5">
        <f>D15-D14</f>
        <v>0</v>
      </c>
      <c r="L14" s="5"/>
      <c r="M14" s="5">
        <f t="shared" si="0"/>
        <v>25</v>
      </c>
      <c r="N14" s="5">
        <f t="shared" si="0"/>
        <v>25</v>
      </c>
      <c r="O14" s="5">
        <f t="shared" si="0"/>
        <v>25</v>
      </c>
      <c r="P14" s="5"/>
      <c r="Q14" s="5">
        <v>5.5555555555555558E-3</v>
      </c>
      <c r="R14" s="5">
        <v>5.5555555555555558E-3</v>
      </c>
      <c r="S14" s="5">
        <v>5.5555555555555558E-3</v>
      </c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</row>
    <row r="15" spans="1:38" ht="15" x14ac:dyDescent="0.2">
      <c r="A15" s="4">
        <v>13</v>
      </c>
      <c r="B15" s="5">
        <v>5</v>
      </c>
      <c r="C15" s="5">
        <v>5</v>
      </c>
      <c r="D15" s="5">
        <v>5</v>
      </c>
      <c r="E15" s="5" t="s">
        <v>11</v>
      </c>
      <c r="F15" s="12">
        <f>B15-C15</f>
        <v>0</v>
      </c>
      <c r="G15" s="12">
        <f>C15-D15</f>
        <v>0</v>
      </c>
      <c r="H15" s="5" t="s">
        <v>11</v>
      </c>
      <c r="I15" s="5">
        <f>B16-B15</f>
        <v>1</v>
      </c>
      <c r="J15" s="5">
        <f>C16-C15</f>
        <v>0</v>
      </c>
      <c r="K15" s="5">
        <f>D16-D15</f>
        <v>0</v>
      </c>
      <c r="L15" s="5"/>
      <c r="M15" s="5">
        <f t="shared" si="0"/>
        <v>25</v>
      </c>
      <c r="N15" s="5">
        <f t="shared" si="0"/>
        <v>25</v>
      </c>
      <c r="O15" s="5">
        <f t="shared" si="0"/>
        <v>25</v>
      </c>
      <c r="P15" s="5"/>
      <c r="Q15" s="5">
        <v>3.3333333333333333E-2</v>
      </c>
      <c r="R15" s="5">
        <v>3.518518518518518E-2</v>
      </c>
      <c r="S15" s="5">
        <v>2.7777777777777776E-2</v>
      </c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</row>
    <row r="16" spans="1:38" ht="15" x14ac:dyDescent="0.2">
      <c r="A16" s="4">
        <v>14</v>
      </c>
      <c r="B16" s="5">
        <v>6</v>
      </c>
      <c r="C16" s="5">
        <v>5</v>
      </c>
      <c r="D16" s="5">
        <v>5</v>
      </c>
      <c r="E16" s="5" t="s">
        <v>11</v>
      </c>
      <c r="F16" s="12">
        <f>B16-C16</f>
        <v>1</v>
      </c>
      <c r="G16" s="12">
        <f>C16-D16</f>
        <v>0</v>
      </c>
      <c r="H16" s="5" t="s">
        <v>11</v>
      </c>
      <c r="I16" s="5">
        <f>B17-B16</f>
        <v>0</v>
      </c>
      <c r="J16" s="5">
        <f>C17-C16</f>
        <v>1</v>
      </c>
      <c r="K16" s="5">
        <f>D17-D16</f>
        <v>1</v>
      </c>
      <c r="L16" s="5"/>
      <c r="M16" s="5">
        <f t="shared" si="0"/>
        <v>36</v>
      </c>
      <c r="N16" s="5">
        <f t="shared" si="0"/>
        <v>25</v>
      </c>
      <c r="O16" s="5">
        <f t="shared" si="0"/>
        <v>25</v>
      </c>
      <c r="P16" s="5"/>
      <c r="Q16" s="5">
        <v>5.5555555555555558E-3</v>
      </c>
      <c r="R16" s="5">
        <v>1.1111111111111112E-2</v>
      </c>
      <c r="S16" s="5">
        <v>1.6666666666666666E-2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</row>
    <row r="17" spans="1:38" ht="15" x14ac:dyDescent="0.2">
      <c r="A17" s="4">
        <v>15</v>
      </c>
      <c r="B17" s="5">
        <v>6</v>
      </c>
      <c r="C17" s="5">
        <v>6</v>
      </c>
      <c r="D17" s="5">
        <v>6</v>
      </c>
      <c r="E17" s="5" t="s">
        <v>11</v>
      </c>
      <c r="F17" s="12">
        <f>B17-C17</f>
        <v>0</v>
      </c>
      <c r="G17" s="12">
        <f>C17-D17</f>
        <v>0</v>
      </c>
      <c r="H17" s="5" t="s">
        <v>11</v>
      </c>
      <c r="I17" s="5">
        <f>B18-B17</f>
        <v>1</v>
      </c>
      <c r="J17" s="5">
        <f>C18-C17</f>
        <v>0</v>
      </c>
      <c r="K17" s="5">
        <f>D18-D17</f>
        <v>0</v>
      </c>
      <c r="L17" s="5"/>
      <c r="M17" s="5">
        <f t="shared" si="0"/>
        <v>36</v>
      </c>
      <c r="N17" s="5">
        <f t="shared" si="0"/>
        <v>36</v>
      </c>
      <c r="O17" s="5">
        <f t="shared" si="0"/>
        <v>36</v>
      </c>
      <c r="P17" s="5"/>
      <c r="Q17" s="5">
        <v>1.1111111111111112E-2</v>
      </c>
      <c r="R17" s="5">
        <v>1.8518518518518517E-2</v>
      </c>
      <c r="S17" s="5">
        <v>2.7777777777777776E-2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</row>
    <row r="18" spans="1:38" ht="15" x14ac:dyDescent="0.2">
      <c r="A18" s="4">
        <v>16</v>
      </c>
      <c r="B18" s="5">
        <v>7</v>
      </c>
      <c r="C18" s="5">
        <v>6</v>
      </c>
      <c r="D18" s="5">
        <v>6</v>
      </c>
      <c r="E18" s="5" t="s">
        <v>11</v>
      </c>
      <c r="F18" s="12">
        <f>B18-C18</f>
        <v>1</v>
      </c>
      <c r="G18" s="12">
        <f>C18-D18</f>
        <v>0</v>
      </c>
      <c r="H18" s="5" t="s">
        <v>11</v>
      </c>
      <c r="I18" s="5">
        <f>B19-B18</f>
        <v>0</v>
      </c>
      <c r="J18" s="5">
        <f>C19-C18</f>
        <v>0</v>
      </c>
      <c r="K18" s="5">
        <f>D19-D18</f>
        <v>0</v>
      </c>
      <c r="L18" s="5"/>
      <c r="M18" s="5">
        <f t="shared" ref="M18:O41" si="1">B18^2</f>
        <v>49</v>
      </c>
      <c r="N18" s="5">
        <f t="shared" si="1"/>
        <v>36</v>
      </c>
      <c r="O18" s="5">
        <f t="shared" si="1"/>
        <v>36</v>
      </c>
      <c r="P18" s="5"/>
      <c r="Q18" s="5">
        <v>1.1111111111111112E-2</v>
      </c>
      <c r="R18" s="5">
        <v>7.4074074074074068E-3</v>
      </c>
      <c r="S18" s="5">
        <v>5.5555555555555558E-3</v>
      </c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</row>
    <row r="19" spans="1:38" ht="15" x14ac:dyDescent="0.2">
      <c r="A19" s="4">
        <v>17</v>
      </c>
      <c r="B19" s="5">
        <v>7</v>
      </c>
      <c r="C19" s="5">
        <v>6</v>
      </c>
      <c r="D19" s="5">
        <v>6</v>
      </c>
      <c r="E19" s="5" t="s">
        <v>11</v>
      </c>
      <c r="F19" s="12">
        <f>B19-C19</f>
        <v>1</v>
      </c>
      <c r="G19" s="12">
        <f>C19-D19</f>
        <v>0</v>
      </c>
      <c r="H19" s="5" t="s">
        <v>11</v>
      </c>
      <c r="I19" s="5">
        <f>B20-B19</f>
        <v>0</v>
      </c>
      <c r="J19" s="5">
        <f>C20-C19</f>
        <v>1</v>
      </c>
      <c r="K19" s="5">
        <f>D20-D19</f>
        <v>1</v>
      </c>
      <c r="L19" s="5"/>
      <c r="M19" s="5">
        <f t="shared" si="1"/>
        <v>49</v>
      </c>
      <c r="N19" s="5">
        <f t="shared" si="1"/>
        <v>36</v>
      </c>
      <c r="O19" s="5">
        <f t="shared" si="1"/>
        <v>36</v>
      </c>
      <c r="P19" s="5"/>
      <c r="Q19" s="5">
        <v>1.6666666666666666E-2</v>
      </c>
      <c r="R19" s="5">
        <v>1.1111111111111112E-2</v>
      </c>
      <c r="S19" s="5">
        <v>5.5555555555555558E-3</v>
      </c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</row>
    <row r="20" spans="1:38" ht="15" x14ac:dyDescent="0.2">
      <c r="A20" s="4">
        <v>18</v>
      </c>
      <c r="B20" s="5">
        <v>7</v>
      </c>
      <c r="C20" s="5">
        <v>7</v>
      </c>
      <c r="D20" s="5">
        <v>7</v>
      </c>
      <c r="E20" s="5" t="s">
        <v>11</v>
      </c>
      <c r="F20" s="12">
        <f>B20-C20</f>
        <v>0</v>
      </c>
      <c r="G20" s="12">
        <f>C20-D20</f>
        <v>0</v>
      </c>
      <c r="H20" s="5" t="s">
        <v>11</v>
      </c>
      <c r="I20" s="5">
        <f>B21-B20</f>
        <v>1</v>
      </c>
      <c r="J20" s="5">
        <f>C21-C20</f>
        <v>0</v>
      </c>
      <c r="K20" s="5">
        <f>D21-D20</f>
        <v>0</v>
      </c>
      <c r="L20" s="5"/>
      <c r="M20" s="5">
        <f t="shared" si="1"/>
        <v>49</v>
      </c>
      <c r="N20" s="5">
        <f t="shared" si="1"/>
        <v>49</v>
      </c>
      <c r="O20" s="5">
        <f t="shared" si="1"/>
        <v>49</v>
      </c>
      <c r="P20" s="5"/>
      <c r="Q20" s="5">
        <v>3.3333333333333333E-2</v>
      </c>
      <c r="R20" s="5">
        <v>2.0370370370370369E-2</v>
      </c>
      <c r="S20" s="5">
        <v>1.1111111111111112E-2</v>
      </c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</row>
    <row r="21" spans="1:38" ht="15" x14ac:dyDescent="0.2">
      <c r="A21" s="4">
        <v>19</v>
      </c>
      <c r="B21" s="5">
        <v>8</v>
      </c>
      <c r="C21" s="5">
        <v>7</v>
      </c>
      <c r="D21" s="5">
        <v>7</v>
      </c>
      <c r="E21" s="5" t="s">
        <v>11</v>
      </c>
      <c r="F21" s="12">
        <f>B21-C21</f>
        <v>1</v>
      </c>
      <c r="G21" s="12">
        <f>C21-D21</f>
        <v>0</v>
      </c>
      <c r="H21" s="5" t="s">
        <v>11</v>
      </c>
      <c r="I21" s="5">
        <f>B22-B21</f>
        <v>0</v>
      </c>
      <c r="J21" s="5">
        <f>C22-C21</f>
        <v>0</v>
      </c>
      <c r="K21" s="5">
        <f>D22-D21</f>
        <v>0</v>
      </c>
      <c r="L21" s="5"/>
      <c r="M21" s="5">
        <f t="shared" si="1"/>
        <v>64</v>
      </c>
      <c r="N21" s="5">
        <f t="shared" si="1"/>
        <v>49</v>
      </c>
      <c r="O21" s="5">
        <f t="shared" si="1"/>
        <v>49</v>
      </c>
      <c r="P21" s="5"/>
      <c r="Q21" s="5">
        <v>1.6666666666666666E-2</v>
      </c>
      <c r="R21" s="5">
        <v>2.2222222222222223E-2</v>
      </c>
      <c r="S21" s="5">
        <v>1.6666666666666666E-2</v>
      </c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</row>
    <row r="22" spans="1:38" ht="15" x14ac:dyDescent="0.2">
      <c r="A22" s="4">
        <v>20</v>
      </c>
      <c r="B22" s="5">
        <v>8</v>
      </c>
      <c r="C22" s="5">
        <v>7</v>
      </c>
      <c r="D22" s="5">
        <v>7</v>
      </c>
      <c r="E22" s="5" t="s">
        <v>11</v>
      </c>
      <c r="F22" s="12">
        <f>B22-C22</f>
        <v>1</v>
      </c>
      <c r="G22" s="12">
        <f>C22-D22</f>
        <v>0</v>
      </c>
      <c r="H22" s="5" t="s">
        <v>11</v>
      </c>
      <c r="I22" s="5">
        <f>B23-B22</f>
        <v>0</v>
      </c>
      <c r="J22" s="5">
        <f>C23-C22</f>
        <v>1</v>
      </c>
      <c r="K22" s="5">
        <f>D23-D22</f>
        <v>1</v>
      </c>
      <c r="L22" s="5"/>
      <c r="M22" s="5">
        <f t="shared" si="1"/>
        <v>64</v>
      </c>
      <c r="N22" s="5">
        <f t="shared" si="1"/>
        <v>49</v>
      </c>
      <c r="O22" s="5">
        <f t="shared" si="1"/>
        <v>49</v>
      </c>
      <c r="P22" s="5"/>
      <c r="Q22" s="5">
        <v>3.888888888888889E-2</v>
      </c>
      <c r="R22" s="5">
        <v>2.7777777777777776E-2</v>
      </c>
      <c r="S22" s="5">
        <v>2.7777777777777776E-2</v>
      </c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</row>
    <row r="23" spans="1:38" ht="15" x14ac:dyDescent="0.2">
      <c r="A23" s="4">
        <v>21</v>
      </c>
      <c r="B23" s="5">
        <v>8</v>
      </c>
      <c r="C23" s="5">
        <v>8</v>
      </c>
      <c r="D23" s="5">
        <v>8</v>
      </c>
      <c r="E23" s="5" t="s">
        <v>11</v>
      </c>
      <c r="F23" s="12">
        <f>B23-C23</f>
        <v>0</v>
      </c>
      <c r="G23" s="12">
        <f>C23-D23</f>
        <v>0</v>
      </c>
      <c r="H23" s="5" t="s">
        <v>11</v>
      </c>
      <c r="I23" s="5">
        <f>B24-B23</f>
        <v>1</v>
      </c>
      <c r="J23" s="5">
        <f>C24-C23</f>
        <v>0</v>
      </c>
      <c r="K23" s="5">
        <f>D24-D23</f>
        <v>0</v>
      </c>
      <c r="L23" s="5"/>
      <c r="M23" s="5">
        <f t="shared" si="1"/>
        <v>64</v>
      </c>
      <c r="N23" s="5">
        <f t="shared" si="1"/>
        <v>64</v>
      </c>
      <c r="O23" s="5">
        <f t="shared" si="1"/>
        <v>64</v>
      </c>
      <c r="P23" s="5"/>
      <c r="Q23" s="5">
        <v>7.2222222222222229E-2</v>
      </c>
      <c r="R23" s="5">
        <v>4.2592592592592585E-2</v>
      </c>
      <c r="S23" s="5">
        <v>2.7777777777777776E-2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</row>
    <row r="24" spans="1:38" ht="15" x14ac:dyDescent="0.2">
      <c r="A24" s="4">
        <v>22</v>
      </c>
      <c r="B24" s="5">
        <v>9</v>
      </c>
      <c r="C24" s="5">
        <v>8</v>
      </c>
      <c r="D24" s="5">
        <v>8</v>
      </c>
      <c r="E24" s="5" t="s">
        <v>11</v>
      </c>
      <c r="F24" s="12">
        <f>B24-C24</f>
        <v>1</v>
      </c>
      <c r="G24" s="12">
        <f>C24-D24</f>
        <v>0</v>
      </c>
      <c r="H24" s="5" t="s">
        <v>11</v>
      </c>
      <c r="I24" s="5">
        <f>B25-B24</f>
        <v>0</v>
      </c>
      <c r="J24" s="5">
        <f>C25-C24</f>
        <v>0</v>
      </c>
      <c r="K24" s="5">
        <f>D25-D24</f>
        <v>0</v>
      </c>
      <c r="L24" s="5"/>
      <c r="M24" s="5">
        <f t="shared" si="1"/>
        <v>81</v>
      </c>
      <c r="N24" s="5">
        <f t="shared" si="1"/>
        <v>64</v>
      </c>
      <c r="O24" s="5">
        <f t="shared" si="1"/>
        <v>64</v>
      </c>
      <c r="P24" s="5"/>
      <c r="Q24" s="5">
        <v>1.1111111111111112E-2</v>
      </c>
      <c r="R24" s="5">
        <v>1.8518518518518517E-2</v>
      </c>
      <c r="S24" s="5">
        <v>1.6666666666666666E-2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</row>
    <row r="25" spans="1:38" ht="15" x14ac:dyDescent="0.2">
      <c r="A25" s="4">
        <v>23</v>
      </c>
      <c r="B25" s="5">
        <v>9</v>
      </c>
      <c r="C25" s="5">
        <v>8</v>
      </c>
      <c r="D25" s="5">
        <v>8</v>
      </c>
      <c r="E25" s="5" t="s">
        <v>11</v>
      </c>
      <c r="F25" s="12">
        <f>B25-C25</f>
        <v>1</v>
      </c>
      <c r="G25" s="12">
        <f>C25-D25</f>
        <v>0</v>
      </c>
      <c r="H25" s="5" t="s">
        <v>11</v>
      </c>
      <c r="I25" s="5">
        <f>B26-B25</f>
        <v>0</v>
      </c>
      <c r="J25" s="5">
        <f>C26-C25</f>
        <v>1</v>
      </c>
      <c r="K25" s="5">
        <f>D26-D25</f>
        <v>1</v>
      </c>
      <c r="L25" s="5"/>
      <c r="M25" s="5">
        <f t="shared" si="1"/>
        <v>81</v>
      </c>
      <c r="N25" s="5">
        <f t="shared" si="1"/>
        <v>64</v>
      </c>
      <c r="O25" s="5">
        <f t="shared" si="1"/>
        <v>64</v>
      </c>
      <c r="P25" s="5"/>
      <c r="Q25" s="5">
        <v>2.7777777777777776E-2</v>
      </c>
      <c r="R25" s="5">
        <v>2.9629629629629627E-2</v>
      </c>
      <c r="S25" s="5">
        <v>2.7777777777777776E-2</v>
      </c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</row>
    <row r="26" spans="1:38" ht="15" x14ac:dyDescent="0.2">
      <c r="A26" s="4">
        <v>24</v>
      </c>
      <c r="B26" s="5">
        <v>9</v>
      </c>
      <c r="C26" s="5">
        <v>9</v>
      </c>
      <c r="D26" s="5">
        <v>9</v>
      </c>
      <c r="E26" s="5" t="s">
        <v>11</v>
      </c>
      <c r="F26" s="12">
        <f>B26-C26</f>
        <v>0</v>
      </c>
      <c r="G26" s="12">
        <f>C26-D26</f>
        <v>0</v>
      </c>
      <c r="H26" s="5" t="s">
        <v>11</v>
      </c>
      <c r="I26" s="5">
        <f>B27-B26</f>
        <v>1</v>
      </c>
      <c r="J26" s="5">
        <f>C27-C26</f>
        <v>0</v>
      </c>
      <c r="K26" s="5">
        <f>D27-D26</f>
        <v>0</v>
      </c>
      <c r="L26" s="5"/>
      <c r="M26" s="5">
        <f t="shared" si="1"/>
        <v>81</v>
      </c>
      <c r="N26" s="5">
        <f t="shared" si="1"/>
        <v>81</v>
      </c>
      <c r="O26" s="5">
        <f t="shared" si="1"/>
        <v>81</v>
      </c>
      <c r="P26" s="5"/>
      <c r="Q26" s="5">
        <v>0.05</v>
      </c>
      <c r="R26" s="5">
        <v>5.185185185185185E-2</v>
      </c>
      <c r="S26" s="5">
        <v>3.888888888888889E-2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</row>
    <row r="27" spans="1:38" ht="15" x14ac:dyDescent="0.2">
      <c r="A27" s="4">
        <v>25</v>
      </c>
      <c r="B27" s="5">
        <v>10</v>
      </c>
      <c r="C27" s="5">
        <v>9</v>
      </c>
      <c r="D27" s="5">
        <v>9</v>
      </c>
      <c r="E27" s="5" t="s">
        <v>11</v>
      </c>
      <c r="F27" s="12">
        <f>B27-C27</f>
        <v>1</v>
      </c>
      <c r="G27" s="12">
        <f>C27-D27</f>
        <v>0</v>
      </c>
      <c r="H27" s="5" t="s">
        <v>11</v>
      </c>
      <c r="I27" s="5">
        <f>B28-B27</f>
        <v>0</v>
      </c>
      <c r="J27" s="5">
        <f>C28-C27</f>
        <v>0</v>
      </c>
      <c r="K27" s="5">
        <f>D28-D27</f>
        <v>0</v>
      </c>
      <c r="L27" s="5"/>
      <c r="M27" s="5">
        <f t="shared" ref="M27:M47" si="2">B27^2</f>
        <v>100</v>
      </c>
      <c r="N27" s="5">
        <f t="shared" ref="N27:N47" si="3">C27^2</f>
        <v>81</v>
      </c>
      <c r="O27" s="5">
        <f t="shared" ref="O27:O47" si="4">D27^2</f>
        <v>81</v>
      </c>
      <c r="P27" s="5"/>
      <c r="Q27" s="5">
        <v>0.05</v>
      </c>
      <c r="R27" s="5">
        <v>3.888888888888889E-2</v>
      </c>
      <c r="S27" s="5">
        <v>3.888888888888889E-2</v>
      </c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</row>
    <row r="28" spans="1:38" ht="15" x14ac:dyDescent="0.2">
      <c r="A28" s="4">
        <v>26</v>
      </c>
      <c r="B28" s="5">
        <v>10</v>
      </c>
      <c r="C28" s="5">
        <v>9</v>
      </c>
      <c r="D28" s="5">
        <v>9</v>
      </c>
      <c r="E28" s="5" t="s">
        <v>11</v>
      </c>
      <c r="F28" s="12">
        <f>B28-C28</f>
        <v>1</v>
      </c>
      <c r="G28" s="12">
        <f>C28-D28</f>
        <v>0</v>
      </c>
      <c r="H28" s="5" t="s">
        <v>11</v>
      </c>
      <c r="I28" s="5">
        <f>B29-B28</f>
        <v>0</v>
      </c>
      <c r="J28" s="5">
        <f>C29-C28</f>
        <v>1</v>
      </c>
      <c r="K28" s="5">
        <f>D29-D28</f>
        <v>1</v>
      </c>
      <c r="L28" s="5"/>
      <c r="M28" s="5">
        <f t="shared" si="2"/>
        <v>100</v>
      </c>
      <c r="N28" s="5">
        <f t="shared" si="3"/>
        <v>81</v>
      </c>
      <c r="O28" s="5">
        <f t="shared" si="4"/>
        <v>81</v>
      </c>
      <c r="P28" s="5"/>
      <c r="Q28" s="5">
        <v>5.5555555555555552E-2</v>
      </c>
      <c r="R28" s="5">
        <v>4.4444444444444446E-2</v>
      </c>
      <c r="S28" s="5">
        <v>3.3333333333333333E-2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</row>
    <row r="29" spans="1:38" ht="15" x14ac:dyDescent="0.2">
      <c r="A29" s="4">
        <v>27</v>
      </c>
      <c r="B29" s="5">
        <v>10</v>
      </c>
      <c r="C29" s="5">
        <v>10</v>
      </c>
      <c r="D29" s="5">
        <v>10</v>
      </c>
      <c r="E29" s="5" t="s">
        <v>11</v>
      </c>
      <c r="F29" s="12">
        <f>B29-C29</f>
        <v>0</v>
      </c>
      <c r="G29" s="12">
        <f>C29-D29</f>
        <v>0</v>
      </c>
      <c r="H29" s="5" t="s">
        <v>11</v>
      </c>
      <c r="I29" s="5">
        <f>B30-B29</f>
        <v>1</v>
      </c>
      <c r="J29" s="5">
        <f>C30-C29</f>
        <v>0</v>
      </c>
      <c r="K29" s="5">
        <f>D30-D29</f>
        <v>0</v>
      </c>
      <c r="L29" s="5"/>
      <c r="M29" s="5">
        <f t="shared" si="2"/>
        <v>100</v>
      </c>
      <c r="N29" s="5">
        <f t="shared" si="3"/>
        <v>100</v>
      </c>
      <c r="O29" s="5">
        <f t="shared" si="4"/>
        <v>100</v>
      </c>
      <c r="P29" s="5"/>
      <c r="Q29" s="5">
        <v>8.3333333333333343E-2</v>
      </c>
      <c r="R29" s="5">
        <v>7.2222222222222215E-2</v>
      </c>
      <c r="S29" s="5">
        <v>3.888888888888889E-2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</row>
    <row r="30" spans="1:38" ht="15" x14ac:dyDescent="0.2">
      <c r="A30" s="4">
        <v>28</v>
      </c>
      <c r="B30" s="5">
        <v>11</v>
      </c>
      <c r="C30" s="5">
        <v>10</v>
      </c>
      <c r="D30" s="5">
        <v>10</v>
      </c>
      <c r="E30" s="5" t="s">
        <v>11</v>
      </c>
      <c r="F30" s="12">
        <f>B30-C30</f>
        <v>1</v>
      </c>
      <c r="G30" s="12">
        <f>C30-D30</f>
        <v>0</v>
      </c>
      <c r="H30" s="5" t="s">
        <v>11</v>
      </c>
      <c r="I30" s="5">
        <f>B31-B30</f>
        <v>0</v>
      </c>
      <c r="J30" s="5">
        <f>C31-C30</f>
        <v>1</v>
      </c>
      <c r="K30" s="5">
        <f>D31-D30</f>
        <v>0</v>
      </c>
      <c r="L30" s="5"/>
      <c r="M30" s="5">
        <f t="shared" si="2"/>
        <v>121</v>
      </c>
      <c r="N30" s="5">
        <f t="shared" si="3"/>
        <v>100</v>
      </c>
      <c r="O30" s="5">
        <f t="shared" si="4"/>
        <v>100</v>
      </c>
      <c r="P30" s="5"/>
      <c r="Q30" s="5">
        <v>7.7777777777777779E-2</v>
      </c>
      <c r="R30" s="5">
        <v>6.4814814814814811E-2</v>
      </c>
      <c r="S30" s="5">
        <v>7.7777777777777779E-2</v>
      </c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</row>
    <row r="31" spans="1:38" ht="15" x14ac:dyDescent="0.2">
      <c r="A31" s="4">
        <v>29</v>
      </c>
      <c r="B31" s="5">
        <v>11</v>
      </c>
      <c r="C31" s="5">
        <v>11</v>
      </c>
      <c r="D31" s="5">
        <v>10</v>
      </c>
      <c r="E31" s="5" t="s">
        <v>11</v>
      </c>
      <c r="F31" s="12">
        <f>B31-C31</f>
        <v>0</v>
      </c>
      <c r="G31" s="12">
        <f>C31-D31</f>
        <v>1</v>
      </c>
      <c r="H31" s="5" t="s">
        <v>11</v>
      </c>
      <c r="I31" s="5">
        <f>B32-B31</f>
        <v>1</v>
      </c>
      <c r="J31" s="5">
        <f>C32-C31</f>
        <v>0</v>
      </c>
      <c r="K31" s="5">
        <f>D32-D31</f>
        <v>1</v>
      </c>
      <c r="L31" s="5"/>
      <c r="M31" s="5">
        <f t="shared" si="2"/>
        <v>121</v>
      </c>
      <c r="N31" s="5">
        <f t="shared" si="3"/>
        <v>121</v>
      </c>
      <c r="O31" s="5">
        <f t="shared" si="4"/>
        <v>100</v>
      </c>
      <c r="P31" s="5"/>
      <c r="Q31" s="5">
        <v>0.05</v>
      </c>
      <c r="R31" s="5">
        <v>6.6666666666666666E-2</v>
      </c>
      <c r="S31" s="5">
        <v>7.2222222222222229E-2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</row>
    <row r="32" spans="1:38" ht="15" x14ac:dyDescent="0.2">
      <c r="A32" s="4">
        <v>30</v>
      </c>
      <c r="B32" s="5">
        <v>12</v>
      </c>
      <c r="C32" s="5">
        <v>11</v>
      </c>
      <c r="D32" s="5">
        <v>11</v>
      </c>
      <c r="E32" s="5" t="s">
        <v>11</v>
      </c>
      <c r="F32" s="12">
        <f>B32-C32</f>
        <v>1</v>
      </c>
      <c r="G32" s="12">
        <f>C32-D32</f>
        <v>0</v>
      </c>
      <c r="H32" s="5" t="s">
        <v>11</v>
      </c>
      <c r="I32" s="5">
        <f>B33-B32</f>
        <v>0</v>
      </c>
      <c r="J32" s="5">
        <f>C33-C32</f>
        <v>1</v>
      </c>
      <c r="K32" s="5">
        <f>D33-D32</f>
        <v>0</v>
      </c>
      <c r="L32" s="5"/>
      <c r="M32" s="5">
        <f t="shared" si="2"/>
        <v>144</v>
      </c>
      <c r="N32" s="5">
        <f t="shared" si="3"/>
        <v>121</v>
      </c>
      <c r="O32" s="5">
        <f t="shared" si="4"/>
        <v>121</v>
      </c>
      <c r="P32" s="5"/>
      <c r="Q32" s="5">
        <v>4.4444444444444446E-2</v>
      </c>
      <c r="R32" s="5">
        <v>5.5555555555555552E-2</v>
      </c>
      <c r="S32" s="5">
        <v>0.05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</row>
    <row r="33" spans="1:38" ht="15" x14ac:dyDescent="0.2">
      <c r="A33" s="4">
        <v>31</v>
      </c>
      <c r="B33" s="5">
        <v>12</v>
      </c>
      <c r="C33" s="5">
        <v>12</v>
      </c>
      <c r="D33" s="5">
        <v>11</v>
      </c>
      <c r="E33" s="5" t="s">
        <v>11</v>
      </c>
      <c r="F33" s="12">
        <f>B33-C33</f>
        <v>0</v>
      </c>
      <c r="G33" s="12">
        <f>C33-D33</f>
        <v>1</v>
      </c>
      <c r="H33" s="5" t="s">
        <v>11</v>
      </c>
      <c r="I33" s="5">
        <f>B34-B33</f>
        <v>1</v>
      </c>
      <c r="J33" s="5">
        <f>C34-C33</f>
        <v>0</v>
      </c>
      <c r="K33" s="5">
        <f>D34-D33</f>
        <v>1</v>
      </c>
      <c r="L33" s="5"/>
      <c r="M33" s="5">
        <f t="shared" si="2"/>
        <v>144</v>
      </c>
      <c r="N33" s="5">
        <f t="shared" si="3"/>
        <v>144</v>
      </c>
      <c r="O33" s="5">
        <f t="shared" si="4"/>
        <v>121</v>
      </c>
      <c r="P33" s="5"/>
      <c r="Q33" s="5">
        <v>4.4444444444444446E-2</v>
      </c>
      <c r="R33" s="5">
        <v>3.7037037037037035E-2</v>
      </c>
      <c r="S33" s="5">
        <v>3.888888888888889E-2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</row>
    <row r="34" spans="1:38" ht="15" x14ac:dyDescent="0.2">
      <c r="A34" s="4">
        <v>32</v>
      </c>
      <c r="B34" s="5">
        <v>13</v>
      </c>
      <c r="C34" s="5">
        <v>12</v>
      </c>
      <c r="D34" s="5">
        <v>12</v>
      </c>
      <c r="E34" s="5" t="s">
        <v>11</v>
      </c>
      <c r="F34" s="12">
        <f>B34-C34</f>
        <v>1</v>
      </c>
      <c r="G34" s="12">
        <f>C34-D34</f>
        <v>0</v>
      </c>
      <c r="H34" s="5" t="s">
        <v>11</v>
      </c>
      <c r="I34" s="5">
        <f>B35-B34</f>
        <v>0</v>
      </c>
      <c r="J34" s="5">
        <f>C35-C34</f>
        <v>1</v>
      </c>
      <c r="K34" s="5">
        <f>D35-D34</f>
        <v>0</v>
      </c>
      <c r="L34" s="5"/>
      <c r="M34" s="5">
        <f t="shared" si="2"/>
        <v>169</v>
      </c>
      <c r="N34" s="5">
        <f t="shared" si="3"/>
        <v>144</v>
      </c>
      <c r="O34" s="5">
        <f t="shared" si="4"/>
        <v>144</v>
      </c>
      <c r="P34" s="5"/>
      <c r="Q34" s="5">
        <v>0.05</v>
      </c>
      <c r="R34" s="5">
        <v>0.05</v>
      </c>
      <c r="S34" s="5">
        <v>3.888888888888889E-2</v>
      </c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</row>
    <row r="35" spans="1:38" ht="15" x14ac:dyDescent="0.2">
      <c r="A35" s="4">
        <v>33</v>
      </c>
      <c r="B35" s="5">
        <v>13</v>
      </c>
      <c r="C35" s="5">
        <v>13</v>
      </c>
      <c r="D35" s="5">
        <v>12</v>
      </c>
      <c r="E35" s="5" t="s">
        <v>11</v>
      </c>
      <c r="F35" s="12">
        <f>B35-C35</f>
        <v>0</v>
      </c>
      <c r="G35" s="12">
        <f>C35-D35</f>
        <v>1</v>
      </c>
      <c r="H35" s="5" t="s">
        <v>11</v>
      </c>
      <c r="I35" s="5">
        <f>B36-B35</f>
        <v>1</v>
      </c>
      <c r="J35" s="5">
        <f>C36-C35</f>
        <v>0</v>
      </c>
      <c r="K35" s="5">
        <f>D36-D35</f>
        <v>1</v>
      </c>
      <c r="L35" s="5"/>
      <c r="M35" s="5">
        <f t="shared" si="2"/>
        <v>169</v>
      </c>
      <c r="N35" s="5">
        <f t="shared" si="3"/>
        <v>169</v>
      </c>
      <c r="O35" s="5">
        <f t="shared" si="4"/>
        <v>144</v>
      </c>
      <c r="P35" s="5"/>
      <c r="Q35" s="5">
        <v>5.5555555555555552E-2</v>
      </c>
      <c r="R35" s="5">
        <v>5.3703703703703705E-2</v>
      </c>
      <c r="S35" s="5">
        <v>6.1111111111111116E-2</v>
      </c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</row>
    <row r="36" spans="1:38" ht="15" x14ac:dyDescent="0.2">
      <c r="A36" s="4">
        <v>34</v>
      </c>
      <c r="B36" s="5">
        <v>14</v>
      </c>
      <c r="C36" s="5">
        <v>13</v>
      </c>
      <c r="D36" s="5">
        <v>13</v>
      </c>
      <c r="E36" s="5" t="s">
        <v>11</v>
      </c>
      <c r="F36" s="12">
        <f>B36-C36</f>
        <v>1</v>
      </c>
      <c r="G36" s="12">
        <f>C36-D36</f>
        <v>0</v>
      </c>
      <c r="H36" s="5" t="s">
        <v>11</v>
      </c>
      <c r="I36" s="5">
        <f>B37-B36</f>
        <v>1</v>
      </c>
      <c r="J36" s="5">
        <f>C37-C36</f>
        <v>1</v>
      </c>
      <c r="K36" s="5">
        <f>D37-D36</f>
        <v>0</v>
      </c>
      <c r="L36" s="5"/>
      <c r="M36" s="5">
        <f t="shared" si="2"/>
        <v>196</v>
      </c>
      <c r="N36" s="5">
        <f t="shared" si="3"/>
        <v>169</v>
      </c>
      <c r="O36" s="5">
        <f t="shared" si="4"/>
        <v>169</v>
      </c>
      <c r="P36" s="5"/>
      <c r="Q36" s="5">
        <v>0.05</v>
      </c>
      <c r="R36" s="5">
        <v>5.7407407407407407E-2</v>
      </c>
      <c r="S36" s="5">
        <v>0.05</v>
      </c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</row>
    <row r="37" spans="1:38" ht="15" x14ac:dyDescent="0.2">
      <c r="A37" s="4">
        <v>35</v>
      </c>
      <c r="B37" s="5">
        <v>15</v>
      </c>
      <c r="C37" s="5">
        <v>14</v>
      </c>
      <c r="D37" s="5">
        <v>13</v>
      </c>
      <c r="E37" s="5" t="s">
        <v>11</v>
      </c>
      <c r="F37" s="12">
        <f>B37-C37</f>
        <v>1</v>
      </c>
      <c r="G37" s="12">
        <f>C37-D37</f>
        <v>1</v>
      </c>
      <c r="H37" s="5" t="s">
        <v>11</v>
      </c>
      <c r="I37" s="5">
        <f>B38-B37</f>
        <v>0</v>
      </c>
      <c r="J37" s="5">
        <f>C38-C37</f>
        <v>0</v>
      </c>
      <c r="K37" s="5">
        <f>D38-D37</f>
        <v>1</v>
      </c>
      <c r="L37" s="5"/>
      <c r="M37" s="5">
        <f t="shared" si="2"/>
        <v>225</v>
      </c>
      <c r="N37" s="5">
        <f t="shared" si="3"/>
        <v>196</v>
      </c>
      <c r="O37" s="5">
        <f t="shared" si="4"/>
        <v>169</v>
      </c>
      <c r="P37" s="5"/>
      <c r="Q37" s="5">
        <v>2.7777777777777776E-2</v>
      </c>
      <c r="R37" s="5">
        <v>3.7037037037037035E-2</v>
      </c>
      <c r="S37" s="5">
        <v>5.5555555555555552E-2</v>
      </c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</row>
    <row r="38" spans="1:38" ht="15" x14ac:dyDescent="0.2">
      <c r="A38" s="4">
        <v>36</v>
      </c>
      <c r="B38" s="5">
        <v>15</v>
      </c>
      <c r="C38" s="5">
        <v>14</v>
      </c>
      <c r="D38" s="5">
        <v>14</v>
      </c>
      <c r="E38" s="5" t="s">
        <v>11</v>
      </c>
      <c r="F38" s="12">
        <f>B38-C38</f>
        <v>1</v>
      </c>
      <c r="G38" s="12">
        <f>C38-D38</f>
        <v>0</v>
      </c>
      <c r="H38" s="5" t="s">
        <v>11</v>
      </c>
      <c r="I38" s="5">
        <f>B39-B38</f>
        <v>1</v>
      </c>
      <c r="J38" s="5">
        <f>C39-C38</f>
        <v>1</v>
      </c>
      <c r="K38" s="5">
        <f>D39-D38</f>
        <v>0</v>
      </c>
      <c r="L38" s="5"/>
      <c r="M38" s="5">
        <f t="shared" si="2"/>
        <v>225</v>
      </c>
      <c r="N38" s="5">
        <f t="shared" si="3"/>
        <v>196</v>
      </c>
      <c r="O38" s="5">
        <f t="shared" si="4"/>
        <v>196</v>
      </c>
      <c r="P38" s="5"/>
      <c r="Q38" s="5">
        <v>5.5555555555555558E-3</v>
      </c>
      <c r="R38" s="5">
        <v>2.4074074074074074E-2</v>
      </c>
      <c r="S38" s="5">
        <v>5.5555555555555552E-2</v>
      </c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</row>
    <row r="39" spans="1:38" ht="15" x14ac:dyDescent="0.2">
      <c r="A39" s="4">
        <v>37</v>
      </c>
      <c r="B39" s="5">
        <v>16</v>
      </c>
      <c r="C39" s="5">
        <v>15</v>
      </c>
      <c r="D39" s="5">
        <v>14</v>
      </c>
      <c r="E39" s="5" t="s">
        <v>11</v>
      </c>
      <c r="F39" s="12">
        <f>B39-C39</f>
        <v>1</v>
      </c>
      <c r="G39" s="12">
        <f>C39-D39</f>
        <v>1</v>
      </c>
      <c r="H39" s="5" t="s">
        <v>11</v>
      </c>
      <c r="I39" s="5">
        <f>B40-B39</f>
        <v>0</v>
      </c>
      <c r="J39" s="5">
        <f>C40-C39</f>
        <v>0</v>
      </c>
      <c r="K39" s="5">
        <f>D40-D39</f>
        <v>1</v>
      </c>
      <c r="L39" s="5"/>
      <c r="M39" s="5">
        <f t="shared" si="2"/>
        <v>256</v>
      </c>
      <c r="N39" s="5">
        <f t="shared" si="3"/>
        <v>225</v>
      </c>
      <c r="O39" s="5">
        <f t="shared" si="4"/>
        <v>196</v>
      </c>
      <c r="P39" s="5"/>
      <c r="Q39" s="5">
        <v>2.2222222222222223E-2</v>
      </c>
      <c r="R39" s="5">
        <v>2.4074074074074074E-2</v>
      </c>
      <c r="S39" s="5">
        <v>1.6666666666666666E-2</v>
      </c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</row>
    <row r="40" spans="1:38" ht="15" x14ac:dyDescent="0.2">
      <c r="A40" s="4">
        <v>38</v>
      </c>
      <c r="B40" s="5">
        <v>16</v>
      </c>
      <c r="C40" s="5">
        <v>15</v>
      </c>
      <c r="D40" s="5">
        <v>15</v>
      </c>
      <c r="E40" s="5" t="s">
        <v>11</v>
      </c>
      <c r="F40" s="12">
        <f>B40-C40</f>
        <v>1</v>
      </c>
      <c r="G40" s="12">
        <f>C40-D40</f>
        <v>0</v>
      </c>
      <c r="H40" s="5" t="s">
        <v>11</v>
      </c>
      <c r="I40" s="5">
        <f>B41-B40</f>
        <v>1</v>
      </c>
      <c r="J40" s="5">
        <f>C41-C40</f>
        <v>1</v>
      </c>
      <c r="K40" s="5">
        <f>D41-D40</f>
        <v>0</v>
      </c>
      <c r="L40" s="5"/>
      <c r="M40" s="5">
        <f t="shared" si="2"/>
        <v>256</v>
      </c>
      <c r="N40" s="5">
        <f t="shared" si="3"/>
        <v>225</v>
      </c>
      <c r="O40" s="5">
        <f t="shared" si="4"/>
        <v>225</v>
      </c>
      <c r="P40" s="5"/>
      <c r="Q40" s="5">
        <v>0</v>
      </c>
      <c r="R40" s="5">
        <v>5.5555555555555558E-3</v>
      </c>
      <c r="S40" s="5">
        <v>1.6666666666666666E-2</v>
      </c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</row>
    <row r="41" spans="1:38" ht="15" x14ac:dyDescent="0.2">
      <c r="A41" s="4">
        <v>39</v>
      </c>
      <c r="B41" s="5">
        <v>17</v>
      </c>
      <c r="C41" s="5">
        <v>16</v>
      </c>
      <c r="D41" s="5">
        <v>15</v>
      </c>
      <c r="E41" s="5" t="s">
        <v>11</v>
      </c>
      <c r="F41" s="12">
        <f>B41-C41</f>
        <v>1</v>
      </c>
      <c r="G41" s="12">
        <f>C41-D41</f>
        <v>1</v>
      </c>
      <c r="H41" s="5" t="s">
        <v>11</v>
      </c>
      <c r="I41" s="5">
        <f>B42-B41</f>
        <v>0</v>
      </c>
      <c r="J41" s="5">
        <f>C42-C41</f>
        <v>0</v>
      </c>
      <c r="K41" s="5">
        <f>D42-D41</f>
        <v>1</v>
      </c>
      <c r="L41" s="5"/>
      <c r="M41" s="5">
        <f t="shared" si="2"/>
        <v>289</v>
      </c>
      <c r="N41" s="5">
        <f t="shared" si="3"/>
        <v>256</v>
      </c>
      <c r="O41" s="5">
        <f t="shared" si="4"/>
        <v>225</v>
      </c>
      <c r="P41" s="5"/>
      <c r="Q41" s="5">
        <v>1.1111111111111112E-2</v>
      </c>
      <c r="R41" s="5">
        <v>1.2962962962962963E-2</v>
      </c>
      <c r="S41" s="5">
        <v>1.1111111111111112E-2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</row>
    <row r="42" spans="1:38" ht="15" x14ac:dyDescent="0.2">
      <c r="A42" s="4">
        <v>40</v>
      </c>
      <c r="B42" s="5">
        <v>17</v>
      </c>
      <c r="C42" s="5">
        <v>16</v>
      </c>
      <c r="D42" s="5">
        <v>16</v>
      </c>
      <c r="E42" s="5" t="s">
        <v>11</v>
      </c>
      <c r="F42" s="12">
        <f>B42-C42</f>
        <v>1</v>
      </c>
      <c r="G42" s="12">
        <f>C42-D42</f>
        <v>0</v>
      </c>
      <c r="H42" s="5" t="s">
        <v>11</v>
      </c>
      <c r="I42" s="5">
        <f>B43-B42</f>
        <v>1</v>
      </c>
      <c r="J42" s="5">
        <f>C43-C42</f>
        <v>1</v>
      </c>
      <c r="K42" s="5">
        <f>D43-D42</f>
        <v>0</v>
      </c>
      <c r="L42" s="5"/>
      <c r="M42" s="5">
        <f t="shared" si="2"/>
        <v>289</v>
      </c>
      <c r="N42" s="5">
        <f t="shared" si="3"/>
        <v>256</v>
      </c>
      <c r="O42" s="5">
        <f t="shared" si="4"/>
        <v>256</v>
      </c>
      <c r="P42" s="5"/>
      <c r="Q42" s="5">
        <v>0</v>
      </c>
      <c r="R42" s="5">
        <v>3.7037037037037034E-3</v>
      </c>
      <c r="S42" s="5">
        <v>1.1111111111111112E-2</v>
      </c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</row>
    <row r="43" spans="1:38" ht="15" x14ac:dyDescent="0.2">
      <c r="A43" s="4">
        <v>41</v>
      </c>
      <c r="B43" s="5">
        <v>18</v>
      </c>
      <c r="C43" s="5">
        <v>17</v>
      </c>
      <c r="D43" s="5">
        <v>16</v>
      </c>
      <c r="E43" s="5" t="s">
        <v>11</v>
      </c>
      <c r="F43" s="12">
        <f>B43-C43</f>
        <v>1</v>
      </c>
      <c r="G43" s="12">
        <f>C43-D43</f>
        <v>1</v>
      </c>
      <c r="H43" s="5" t="s">
        <v>11</v>
      </c>
      <c r="I43" s="5">
        <f>B44-B43</f>
        <v>0</v>
      </c>
      <c r="J43" s="5">
        <f>C44-C43</f>
        <v>1</v>
      </c>
      <c r="K43" s="5">
        <f>D44-D43</f>
        <v>1</v>
      </c>
      <c r="L43" s="5"/>
      <c r="M43" s="5">
        <f t="shared" si="2"/>
        <v>324</v>
      </c>
      <c r="N43" s="5">
        <f t="shared" si="3"/>
        <v>289</v>
      </c>
      <c r="O43" s="5">
        <f t="shared" si="4"/>
        <v>256</v>
      </c>
      <c r="P43" s="5"/>
      <c r="Q43" s="5">
        <v>5.5555555555555558E-3</v>
      </c>
      <c r="R43" s="5">
        <v>7.4074074074074068E-3</v>
      </c>
      <c r="S43" s="5">
        <v>1.6666666666666666E-2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</row>
    <row r="44" spans="1:38" ht="15" x14ac:dyDescent="0.2">
      <c r="A44" s="4">
        <v>42</v>
      </c>
      <c r="B44" s="5">
        <v>18</v>
      </c>
      <c r="C44" s="5">
        <v>18</v>
      </c>
      <c r="D44" s="5">
        <v>17</v>
      </c>
      <c r="E44" s="5" t="s">
        <v>11</v>
      </c>
      <c r="F44" s="12">
        <f>B44-C44</f>
        <v>0</v>
      </c>
      <c r="G44" s="12">
        <f>C44-D44</f>
        <v>1</v>
      </c>
      <c r="H44" s="5" t="s">
        <v>11</v>
      </c>
      <c r="I44" s="5">
        <f>B45-B44</f>
        <v>1</v>
      </c>
      <c r="J44" s="5">
        <f>C45-C44</f>
        <v>0</v>
      </c>
      <c r="K44" s="5">
        <f>D45-D44</f>
        <v>1</v>
      </c>
      <c r="L44" s="5"/>
      <c r="M44" s="5">
        <f t="shared" si="2"/>
        <v>324</v>
      </c>
      <c r="N44" s="5">
        <f t="shared" si="3"/>
        <v>324</v>
      </c>
      <c r="O44" s="5">
        <f t="shared" si="4"/>
        <v>289</v>
      </c>
      <c r="P44" s="5"/>
      <c r="Q44" s="5">
        <v>0</v>
      </c>
      <c r="R44" s="5">
        <v>0</v>
      </c>
      <c r="S44" s="5">
        <v>0</v>
      </c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</row>
    <row r="45" spans="1:38" ht="15" x14ac:dyDescent="0.2">
      <c r="A45" s="4">
        <v>43</v>
      </c>
      <c r="B45" s="5">
        <v>19</v>
      </c>
      <c r="C45" s="5">
        <v>18</v>
      </c>
      <c r="D45" s="5">
        <v>18</v>
      </c>
      <c r="E45" s="5" t="s">
        <v>11</v>
      </c>
      <c r="F45" s="12">
        <f>B45-C45</f>
        <v>1</v>
      </c>
      <c r="G45" s="12">
        <f>C45-D45</f>
        <v>0</v>
      </c>
      <c r="H45" s="5" t="s">
        <v>11</v>
      </c>
      <c r="I45" s="5">
        <f>B46-B45</f>
        <v>0</v>
      </c>
      <c r="J45" s="5">
        <f>C46-C45</f>
        <v>1</v>
      </c>
      <c r="K45" s="5">
        <f>D46-D45</f>
        <v>0</v>
      </c>
      <c r="L45" s="5"/>
      <c r="M45" s="5">
        <f t="shared" si="2"/>
        <v>361</v>
      </c>
      <c r="N45" s="5">
        <f t="shared" si="3"/>
        <v>324</v>
      </c>
      <c r="O45" s="5">
        <f t="shared" si="4"/>
        <v>324</v>
      </c>
      <c r="P45" s="5"/>
      <c r="Q45" s="5">
        <v>0</v>
      </c>
      <c r="R45" s="5">
        <v>0</v>
      </c>
      <c r="S45" s="5">
        <v>0</v>
      </c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</row>
    <row r="46" spans="1:38" ht="15" x14ac:dyDescent="0.2">
      <c r="A46" s="4">
        <v>44</v>
      </c>
      <c r="B46" s="5">
        <v>19</v>
      </c>
      <c r="C46" s="5">
        <v>19</v>
      </c>
      <c r="D46" s="5">
        <v>18</v>
      </c>
      <c r="E46" s="5" t="s">
        <v>11</v>
      </c>
      <c r="F46" s="12">
        <f>B46-C46</f>
        <v>0</v>
      </c>
      <c r="G46" s="12">
        <f>C46-D46</f>
        <v>1</v>
      </c>
      <c r="H46" s="5" t="s">
        <v>11</v>
      </c>
      <c r="I46" s="5">
        <f>B47-B46</f>
        <v>0</v>
      </c>
      <c r="J46" s="5">
        <f>C47-C46</f>
        <v>0</v>
      </c>
      <c r="K46" s="5">
        <f>D47-D46</f>
        <v>1</v>
      </c>
      <c r="L46" s="5"/>
      <c r="M46" s="5">
        <f t="shared" si="2"/>
        <v>361</v>
      </c>
      <c r="N46" s="5">
        <f t="shared" si="3"/>
        <v>361</v>
      </c>
      <c r="O46" s="5">
        <f t="shared" si="4"/>
        <v>324</v>
      </c>
      <c r="P46" s="5"/>
      <c r="Q46" s="5">
        <v>0</v>
      </c>
      <c r="R46" s="5">
        <v>3.7037037037037034E-3</v>
      </c>
      <c r="S46" s="5">
        <v>5.5555555555555558E-3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</row>
    <row r="47" spans="1:38" ht="15" x14ac:dyDescent="0.2">
      <c r="A47" s="4">
        <v>45</v>
      </c>
      <c r="B47" s="5">
        <v>19</v>
      </c>
      <c r="C47" s="5">
        <v>19</v>
      </c>
      <c r="D47" s="5">
        <v>19</v>
      </c>
      <c r="E47" s="5" t="s">
        <v>11</v>
      </c>
      <c r="F47" s="12">
        <f>B47-C47</f>
        <v>0</v>
      </c>
      <c r="G47" s="12">
        <f>C47-D47</f>
        <v>0</v>
      </c>
      <c r="H47" s="5" t="s">
        <v>11</v>
      </c>
      <c r="I47" s="5" t="s">
        <v>11</v>
      </c>
      <c r="J47" s="5" t="s">
        <v>11</v>
      </c>
      <c r="K47" s="5" t="s">
        <v>11</v>
      </c>
      <c r="L47" s="5"/>
      <c r="M47" s="5">
        <f t="shared" si="2"/>
        <v>361</v>
      </c>
      <c r="N47" s="5">
        <f t="shared" si="3"/>
        <v>361</v>
      </c>
      <c r="O47" s="5">
        <f t="shared" si="4"/>
        <v>361</v>
      </c>
      <c r="P47" s="5"/>
      <c r="Q47" s="5">
        <v>0</v>
      </c>
      <c r="R47" s="5">
        <v>0</v>
      </c>
      <c r="S47" s="5">
        <v>0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</row>
    <row r="48" spans="1:38" ht="15" x14ac:dyDescent="0.2">
      <c r="A48" s="4" t="s">
        <v>12</v>
      </c>
      <c r="B48" s="5">
        <f>SUM(Q2:Q47)</f>
        <v>1</v>
      </c>
      <c r="C48" s="5">
        <f t="shared" ref="C48:D48" si="5">SUM(R2:R47)</f>
        <v>0.99999999999999978</v>
      </c>
      <c r="D48" s="5">
        <f t="shared" si="5"/>
        <v>1.0000000000000002</v>
      </c>
      <c r="E48" s="5">
        <f>SUM(B48:D48)</f>
        <v>3</v>
      </c>
      <c r="F48" s="5" t="s">
        <v>11</v>
      </c>
      <c r="G48" s="5" t="s">
        <v>11</v>
      </c>
      <c r="H48" s="5" t="s">
        <v>11</v>
      </c>
      <c r="I48" s="5" t="s">
        <v>11</v>
      </c>
      <c r="J48" s="5" t="s">
        <v>11</v>
      </c>
      <c r="K48" s="5" t="s">
        <v>11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</row>
    <row r="49" spans="1:38" ht="15" x14ac:dyDescent="0.2">
      <c r="A49" s="4" t="s">
        <v>13</v>
      </c>
      <c r="B49" s="5">
        <f>(SUMPRODUCT(B2:B47,Q2:Q47)/B48)</f>
        <v>10.255555555555555</v>
      </c>
      <c r="C49" s="5">
        <f t="shared" ref="C49:D49" si="6">(SUMPRODUCT(C2:C47,R2:R47)/C48)</f>
        <v>10.020370370370371</v>
      </c>
      <c r="D49" s="5">
        <f t="shared" si="6"/>
        <v>10.044444444444443</v>
      </c>
      <c r="E49" s="6" t="e">
        <f>#REF!/E48</f>
        <v>#REF!</v>
      </c>
      <c r="F49" s="5" t="s">
        <v>11</v>
      </c>
      <c r="G49" s="5" t="s">
        <v>11</v>
      </c>
      <c r="H49" s="5" t="s">
        <v>11</v>
      </c>
      <c r="I49" s="5" t="s">
        <v>11</v>
      </c>
      <c r="J49" s="5" t="s">
        <v>11</v>
      </c>
      <c r="K49" s="5" t="s">
        <v>11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</row>
    <row r="50" spans="1:38" ht="15" x14ac:dyDescent="0.2">
      <c r="A50" s="4" t="s">
        <v>14</v>
      </c>
      <c r="B50" s="5">
        <f>SQRT(SUMPRODUCT(M2:M47,Q2:Q47)/B48-B49^2)</f>
        <v>2.8792788877738551</v>
      </c>
      <c r="C50" s="5">
        <f t="shared" ref="C50:D50" si="7">SQRT(SUMPRODUCT(N2:N47,R2:R47)/C48-C49^2)</f>
        <v>3.021765465666137</v>
      </c>
      <c r="D50" s="5">
        <f t="shared" si="7"/>
        <v>3.1566899369473549</v>
      </c>
      <c r="E50" s="6" t="e">
        <f>SQRT((#REF!-E49^2*E48)/(E48-1))</f>
        <v>#REF!</v>
      </c>
      <c r="F50" s="5" t="s">
        <v>11</v>
      </c>
      <c r="G50" s="5" t="s">
        <v>11</v>
      </c>
      <c r="H50" s="5" t="s">
        <v>11</v>
      </c>
      <c r="I50" s="5" t="s">
        <v>11</v>
      </c>
      <c r="J50" s="5" t="s">
        <v>11</v>
      </c>
      <c r="K50" s="5" t="s">
        <v>11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</row>
    <row r="51" spans="1:38" ht="15" x14ac:dyDescent="0.2">
      <c r="A51" s="4" t="s">
        <v>15</v>
      </c>
      <c r="B51" s="5">
        <f t="shared" ref="B51:E51" si="8">0.3-ABS(10-ROUND(B49,2))</f>
        <v>4.0000000000000202E-2</v>
      </c>
      <c r="C51" s="5">
        <f t="shared" si="8"/>
        <v>0.28000000000000042</v>
      </c>
      <c r="D51" s="5">
        <f t="shared" si="8"/>
        <v>0.26000000000000084</v>
      </c>
      <c r="E51" s="5" t="e">
        <f t="shared" si="8"/>
        <v>#REF!</v>
      </c>
      <c r="F51" s="5" t="s">
        <v>11</v>
      </c>
      <c r="G51" s="5" t="s">
        <v>11</v>
      </c>
      <c r="H51" s="5" t="s">
        <v>11</v>
      </c>
      <c r="I51" s="5" t="s">
        <v>11</v>
      </c>
      <c r="J51" s="5" t="s">
        <v>11</v>
      </c>
      <c r="K51" s="5" t="s">
        <v>11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</row>
    <row r="52" spans="1:38" ht="15" x14ac:dyDescent="0.2">
      <c r="A52" s="4" t="s">
        <v>16</v>
      </c>
      <c r="B52" s="5">
        <f t="shared" ref="B52:E52" si="9">0.3-ABS(3-ROUND(B50,2))</f>
        <v>0.17999999999999988</v>
      </c>
      <c r="C52" s="5">
        <f t="shared" si="9"/>
        <v>0.27999999999999997</v>
      </c>
      <c r="D52" s="5">
        <f t="shared" si="9"/>
        <v>0.13999999999999985</v>
      </c>
      <c r="E52" s="5" t="e">
        <f t="shared" si="9"/>
        <v>#REF!</v>
      </c>
      <c r="F52" s="5" t="s">
        <v>11</v>
      </c>
      <c r="G52" s="5" t="s">
        <v>11</v>
      </c>
      <c r="H52" s="5" t="s">
        <v>11</v>
      </c>
      <c r="I52" s="5" t="s">
        <v>11</v>
      </c>
      <c r="J52" s="5" t="s">
        <v>11</v>
      </c>
      <c r="K52" s="5" t="s">
        <v>11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</row>
    <row r="53" spans="1:38" ht="30" x14ac:dyDescent="0.2">
      <c r="A53" s="4" t="s">
        <v>17</v>
      </c>
      <c r="B53" s="5">
        <f t="shared" ref="B53:E53" si="10">0.6-ABS(10-ROUND(B49,2))</f>
        <v>0.34000000000000019</v>
      </c>
      <c r="C53" s="5">
        <f t="shared" si="10"/>
        <v>0.5800000000000004</v>
      </c>
      <c r="D53" s="5">
        <f t="shared" si="10"/>
        <v>0.56000000000000083</v>
      </c>
      <c r="E53" s="5" t="e">
        <f t="shared" si="10"/>
        <v>#REF!</v>
      </c>
      <c r="F53" s="5" t="s">
        <v>11</v>
      </c>
      <c r="G53" s="5" t="s">
        <v>11</v>
      </c>
      <c r="H53" s="5" t="s">
        <v>11</v>
      </c>
      <c r="I53" s="5" t="s">
        <v>11</v>
      </c>
      <c r="J53" s="5" t="s">
        <v>11</v>
      </c>
      <c r="K53" s="5" t="s">
        <v>11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</row>
    <row r="54" spans="1:38" ht="30" x14ac:dyDescent="0.2">
      <c r="A54" s="4" t="s">
        <v>18</v>
      </c>
      <c r="B54" s="5">
        <f t="shared" ref="B54:E54" si="11">0.3-ABS(3-ROUND(B50,2))</f>
        <v>0.17999999999999988</v>
      </c>
      <c r="C54" s="5">
        <f t="shared" si="11"/>
        <v>0.27999999999999997</v>
      </c>
      <c r="D54" s="5">
        <f t="shared" si="11"/>
        <v>0.13999999999999985</v>
      </c>
      <c r="E54" s="5" t="e">
        <f t="shared" si="11"/>
        <v>#REF!</v>
      </c>
      <c r="F54" s="5" t="s">
        <v>11</v>
      </c>
      <c r="G54" s="5" t="s">
        <v>11</v>
      </c>
      <c r="H54" s="5" t="s">
        <v>11</v>
      </c>
      <c r="I54" s="5" t="s">
        <v>11</v>
      </c>
      <c r="J54" s="5" t="s">
        <v>11</v>
      </c>
      <c r="K54" s="5" t="s">
        <v>11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</row>
    <row r="55" spans="1:38" ht="30" x14ac:dyDescent="0.2">
      <c r="A55" s="4" t="s">
        <v>19</v>
      </c>
      <c r="B55" s="5">
        <f t="shared" ref="B55:E55" si="12">0.9-ABS(10-ROUND(B49,2))</f>
        <v>0.64000000000000024</v>
      </c>
      <c r="C55" s="5">
        <f t="shared" si="12"/>
        <v>0.88000000000000045</v>
      </c>
      <c r="D55" s="5">
        <f t="shared" si="12"/>
        <v>0.86000000000000087</v>
      </c>
      <c r="E55" s="5" t="e">
        <f t="shared" si="12"/>
        <v>#REF!</v>
      </c>
      <c r="F55" s="5" t="s">
        <v>11</v>
      </c>
      <c r="G55" s="5" t="s">
        <v>11</v>
      </c>
      <c r="H55" s="5" t="s">
        <v>11</v>
      </c>
      <c r="I55" s="5" t="s">
        <v>11</v>
      </c>
      <c r="J55" s="5" t="s">
        <v>11</v>
      </c>
      <c r="K55" s="5" t="s">
        <v>11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</row>
    <row r="56" spans="1:38" ht="30" x14ac:dyDescent="0.2">
      <c r="A56" s="4" t="s">
        <v>20</v>
      </c>
      <c r="B56" s="5">
        <f t="shared" ref="B56:E56" si="13">0.45-ABS(3-ROUND(B50,2))</f>
        <v>0.3299999999999999</v>
      </c>
      <c r="C56" s="5">
        <f t="shared" si="13"/>
        <v>0.43</v>
      </c>
      <c r="D56" s="5">
        <f t="shared" si="13"/>
        <v>0.28999999999999987</v>
      </c>
      <c r="E56" s="5" t="e">
        <f t="shared" si="13"/>
        <v>#REF!</v>
      </c>
      <c r="F56" s="5" t="s">
        <v>11</v>
      </c>
      <c r="G56" s="5" t="s">
        <v>11</v>
      </c>
      <c r="H56" s="5" t="s">
        <v>11</v>
      </c>
      <c r="I56" s="5" t="s">
        <v>11</v>
      </c>
      <c r="J56" s="5" t="s">
        <v>11</v>
      </c>
      <c r="K56" s="5" t="s">
        <v>11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</row>
    <row r="57" spans="1:38" ht="15" x14ac:dyDescent="0.2">
      <c r="A57" s="4" t="s">
        <v>21</v>
      </c>
      <c r="B57" s="5" t="e">
        <f>SUM(#REF!)</f>
        <v>#REF!</v>
      </c>
      <c r="C57" s="5" t="e">
        <f>SUM(#REF!)</f>
        <v>#REF!</v>
      </c>
      <c r="D57" s="5" t="e">
        <f>SUM(#REF!)</f>
        <v>#REF!</v>
      </c>
      <c r="E57" s="5" t="s">
        <v>11</v>
      </c>
      <c r="F57" s="5" t="s">
        <v>11</v>
      </c>
      <c r="G57" s="5" t="s">
        <v>11</v>
      </c>
      <c r="H57" s="5" t="s">
        <v>11</v>
      </c>
      <c r="I57" s="5" t="s">
        <v>11</v>
      </c>
      <c r="J57" s="5" t="s">
        <v>11</v>
      </c>
      <c r="K57" s="5" t="s">
        <v>11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</row>
    <row r="58" spans="1:38" ht="15" x14ac:dyDescent="0.2">
      <c r="A58" s="4" t="s">
        <v>22</v>
      </c>
      <c r="B58" s="14">
        <f>ROUND(B49,1)</f>
        <v>10.3</v>
      </c>
      <c r="C58" s="14">
        <f t="shared" ref="C58:D58" si="14">ROUND(C49,1)</f>
        <v>10</v>
      </c>
      <c r="D58" s="14">
        <f t="shared" si="14"/>
        <v>10</v>
      </c>
      <c r="E58" s="5" t="s">
        <v>11</v>
      </c>
      <c r="F58" s="5" t="s">
        <v>11</v>
      </c>
      <c r="G58" s="5" t="s">
        <v>11</v>
      </c>
      <c r="H58" s="5" t="s">
        <v>11</v>
      </c>
      <c r="I58" s="5" t="s">
        <v>11</v>
      </c>
      <c r="J58" s="5" t="s">
        <v>11</v>
      </c>
      <c r="K58" s="5" t="s">
        <v>11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</row>
    <row r="59" spans="1:38" ht="15" x14ac:dyDescent="0.2">
      <c r="A59" s="4" t="s">
        <v>23</v>
      </c>
      <c r="B59" s="14">
        <f>ROUND(B50,1)</f>
        <v>2.9</v>
      </c>
      <c r="C59" s="14">
        <f t="shared" ref="C59:D59" si="15">ROUND(C50,1)</f>
        <v>3</v>
      </c>
      <c r="D59" s="14">
        <f t="shared" si="15"/>
        <v>3.2</v>
      </c>
      <c r="E59" s="5" t="s">
        <v>11</v>
      </c>
      <c r="F59" s="5" t="s">
        <v>11</v>
      </c>
      <c r="G59" s="5" t="s">
        <v>11</v>
      </c>
      <c r="H59" s="5" t="s">
        <v>11</v>
      </c>
      <c r="I59" s="5" t="s">
        <v>11</v>
      </c>
      <c r="J59" s="5" t="s">
        <v>11</v>
      </c>
      <c r="K59" s="5" t="s">
        <v>11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</row>
    <row r="60" spans="1:38" ht="15" x14ac:dyDescent="0.2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</row>
    <row r="61" spans="1:38" ht="15" x14ac:dyDescent="0.2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</row>
    <row r="62" spans="1:38" ht="15" x14ac:dyDescent="0.2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</row>
    <row r="63" spans="1:38" ht="15" x14ac:dyDescent="0.2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</row>
    <row r="64" spans="1:38" ht="15" x14ac:dyDescent="0.2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</row>
    <row r="65" spans="1:38" ht="15" x14ac:dyDescent="0.2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</row>
    <row r="66" spans="1:38" ht="15" x14ac:dyDescent="0.2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</row>
    <row r="67" spans="1:38" ht="15" x14ac:dyDescent="0.2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</row>
    <row r="68" spans="1:38" ht="15" x14ac:dyDescent="0.2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</row>
    <row r="69" spans="1:38" ht="15" x14ac:dyDescent="0.2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</row>
    <row r="70" spans="1:38" ht="15" x14ac:dyDescent="0.2">
      <c r="A70" s="4"/>
      <c r="B70" s="6"/>
      <c r="C70" s="6"/>
      <c r="D70" s="6"/>
      <c r="E70" s="6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</row>
    <row r="71" spans="1:38" ht="15" x14ac:dyDescent="0.2">
      <c r="A71" s="4"/>
      <c r="B71" s="6"/>
      <c r="C71" s="6"/>
      <c r="D71" s="6"/>
      <c r="E71" s="6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</row>
    <row r="72" spans="1:38" ht="15" x14ac:dyDescent="0.2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</row>
    <row r="73" spans="1:38" ht="15" x14ac:dyDescent="0.2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</row>
    <row r="74" spans="1:38" ht="15" x14ac:dyDescent="0.2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</row>
    <row r="75" spans="1:38" ht="15" x14ac:dyDescent="0.2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</row>
    <row r="76" spans="1:38" ht="15" x14ac:dyDescent="0.2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</row>
    <row r="77" spans="1:38" ht="15" x14ac:dyDescent="0.2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</row>
  </sheetData>
  <conditionalFormatting sqref="B70:E70">
    <cfRule type="cellIs" dxfId="31" priority="33" operator="between">
      <formula>9.5</formula>
      <formula>10.5</formula>
    </cfRule>
  </conditionalFormatting>
  <conditionalFormatting sqref="B71:E71">
    <cfRule type="cellIs" dxfId="30" priority="32" operator="between">
      <formula>2.5</formula>
      <formula>3.5</formula>
    </cfRule>
  </conditionalFormatting>
  <conditionalFormatting sqref="F60:G68">
    <cfRule type="cellIs" dxfId="29" priority="19" operator="lessThan">
      <formula>-1</formula>
    </cfRule>
    <cfRule type="cellIs" dxfId="28" priority="30" operator="greaterThan">
      <formula>0</formula>
    </cfRule>
    <cfRule type="cellIs" dxfId="27" priority="31" operator="lessThan">
      <formula>0</formula>
    </cfRule>
  </conditionalFormatting>
  <conditionalFormatting sqref="F2:G47 I2:K47">
    <cfRule type="cellIs" dxfId="26" priority="24" operator="lessThan">
      <formula>0</formula>
    </cfRule>
  </conditionalFormatting>
  <conditionalFormatting sqref="E49">
    <cfRule type="cellIs" dxfId="25" priority="15" operator="between">
      <formula>9.7</formula>
      <formula>10.3</formula>
    </cfRule>
  </conditionalFormatting>
  <conditionalFormatting sqref="E50">
    <cfRule type="cellIs" dxfId="24" priority="14" operator="between">
      <formula>2.7</formula>
      <formula>3.3</formula>
    </cfRule>
  </conditionalFormatting>
  <conditionalFormatting sqref="B2:D47">
    <cfRule type="cellIs" dxfId="23" priority="16" operator="equal">
      <formula>14</formula>
    </cfRule>
    <cfRule type="cellIs" dxfId="22" priority="17" operator="equal">
      <formula>18</formula>
    </cfRule>
    <cfRule type="cellIs" dxfId="21" priority="18" operator="equal">
      <formula>17</formula>
    </cfRule>
    <cfRule type="cellIs" dxfId="20" priority="20" operator="equal">
      <formula>12</formula>
    </cfRule>
    <cfRule type="cellIs" dxfId="19" priority="21" operator="equal">
      <formula>11</formula>
    </cfRule>
    <cfRule type="cellIs" dxfId="18" priority="22" operator="equal">
      <formula>9</formula>
    </cfRule>
    <cfRule type="cellIs" dxfId="17" priority="23" operator="equal">
      <formula>8</formula>
    </cfRule>
    <cfRule type="cellIs" dxfId="16" priority="25" operator="equal">
      <formula>6</formula>
    </cfRule>
    <cfRule type="cellIs" dxfId="15" priority="26" operator="equal">
      <formula>5</formula>
    </cfRule>
    <cfRule type="cellIs" dxfId="14" priority="27" operator="equal">
      <formula>15</formula>
    </cfRule>
    <cfRule type="cellIs" dxfId="13" priority="28" operator="equal">
      <formula>3</formula>
    </cfRule>
    <cfRule type="cellIs" dxfId="12" priority="29" operator="equal">
      <formula>2</formula>
    </cfRule>
    <cfRule type="cellIs" dxfId="11" priority="34" operator="equal">
      <formula>19</formula>
    </cfRule>
    <cfRule type="cellIs" dxfId="10" priority="35" operator="equal">
      <formula>1</formula>
    </cfRule>
    <cfRule type="cellIs" dxfId="9" priority="36" operator="equal">
      <formula>16</formula>
    </cfRule>
    <cfRule type="cellIs" dxfId="8" priority="37" operator="equal">
      <formula>13</formula>
    </cfRule>
    <cfRule type="cellIs" dxfId="7" priority="38" operator="equal">
      <formula>4</formula>
    </cfRule>
    <cfRule type="cellIs" dxfId="6" priority="39" operator="equal">
      <formula>7</formula>
    </cfRule>
    <cfRule type="cellIs" dxfId="5" priority="40" operator="equal">
      <formula>10</formula>
    </cfRule>
  </conditionalFormatting>
  <conditionalFormatting sqref="B49:D49">
    <cfRule type="cellIs" dxfId="3" priority="2" operator="between">
      <formula>9.7</formula>
      <formula>10.3</formula>
    </cfRule>
  </conditionalFormatting>
  <conditionalFormatting sqref="B50:D50">
    <cfRule type="cellIs" dxfId="2" priority="1" operator="between">
      <formula>2.7</formula>
      <formula>3.3</formula>
    </cfRule>
  </conditionalFormatting>
  <pageMargins left="0.05" right="0.05" top="0.5" bottom="0.5" header="0" footer="0"/>
  <pageSetup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4" id="{0D2B0726-A1CB-4664-97A9-C04BC802EB6E}">
            <xm:f>NOT(#REF!=".")</xm:f>
            <x14:dxf>
              <font>
                <b/>
                <i val="0"/>
              </font>
            </x14:dxf>
          </x14:cfRule>
          <xm:sqref>B2:D47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C2FCC-1E61-423B-9990-919BA8316DE6}">
  <dimension ref="A1:N20"/>
  <sheetViews>
    <sheetView workbookViewId="0">
      <selection activeCell="F22" sqref="F22"/>
    </sheetView>
  </sheetViews>
  <sheetFormatPr defaultRowHeight="15" x14ac:dyDescent="0.25"/>
  <cols>
    <col min="1" max="1" width="9.140625" style="9"/>
    <col min="2" max="4" width="4.7109375" style="9" customWidth="1"/>
    <col min="5" max="6" width="9.140625" style="8"/>
    <col min="7" max="9" width="4.5703125" style="8" customWidth="1"/>
    <col min="10" max="11" width="9.140625" style="8"/>
    <col min="12" max="14" width="4.85546875" style="8" customWidth="1"/>
    <col min="15" max="16384" width="9.140625" style="8"/>
  </cols>
  <sheetData>
    <row r="1" spans="1:14" x14ac:dyDescent="0.25">
      <c r="B1" s="10" t="s">
        <v>30</v>
      </c>
      <c r="C1" s="10" t="s">
        <v>29</v>
      </c>
      <c r="D1" s="10" t="s">
        <v>28</v>
      </c>
      <c r="F1" s="9"/>
      <c r="G1" s="10" t="s">
        <v>30</v>
      </c>
      <c r="H1" s="10" t="s">
        <v>29</v>
      </c>
      <c r="I1" s="10"/>
      <c r="K1" s="9"/>
      <c r="L1" s="10" t="s">
        <v>30</v>
      </c>
      <c r="M1" s="10" t="s">
        <v>29</v>
      </c>
      <c r="N1" s="10" t="s">
        <v>28</v>
      </c>
    </row>
    <row r="2" spans="1:14" x14ac:dyDescent="0.25">
      <c r="A2" s="9">
        <v>1</v>
      </c>
      <c r="B2" s="9">
        <f>COUNTIF(handsmoothed!B$2:B$47,$A2)</f>
        <v>4</v>
      </c>
      <c r="C2" s="9">
        <f>COUNTIF(handsmoothed!C$2:C$47,$A2)</f>
        <v>4</v>
      </c>
      <c r="D2" s="9">
        <f>COUNTIF(handsmoothed!D$2:D$47,$A2)</f>
        <v>4</v>
      </c>
      <c r="F2" s="9">
        <v>1</v>
      </c>
      <c r="G2" s="9">
        <f t="shared" ref="G2:G20" si="0">B2-C2</f>
        <v>0</v>
      </c>
      <c r="H2" s="9">
        <f t="shared" ref="H2:H20" si="1">C2-D2</f>
        <v>0</v>
      </c>
      <c r="I2" s="9"/>
      <c r="K2" s="9">
        <v>1</v>
      </c>
      <c r="L2" s="9">
        <f t="shared" ref="L2:L19" si="2">B3-B2</f>
        <v>-2</v>
      </c>
      <c r="M2" s="9">
        <f t="shared" ref="M2:M19" si="3">C3-C2</f>
        <v>-2</v>
      </c>
      <c r="N2" s="9">
        <f t="shared" ref="N2:N19" si="4">D3-D2</f>
        <v>-2</v>
      </c>
    </row>
    <row r="3" spans="1:14" x14ac:dyDescent="0.25">
      <c r="A3" s="9">
        <v>2</v>
      </c>
      <c r="B3" s="9">
        <f>COUNTIF(handsmoothed!B$2:B$47,$A3)</f>
        <v>2</v>
      </c>
      <c r="C3" s="9">
        <f>COUNTIF(handsmoothed!C$2:C$47,$A3)</f>
        <v>2</v>
      </c>
      <c r="D3" s="9">
        <f>COUNTIF(handsmoothed!D$2:D$47,$A3)</f>
        <v>2</v>
      </c>
      <c r="F3" s="9">
        <v>2</v>
      </c>
      <c r="G3" s="9">
        <f t="shared" si="0"/>
        <v>0</v>
      </c>
      <c r="H3" s="9">
        <f t="shared" si="1"/>
        <v>0</v>
      </c>
      <c r="I3" s="9"/>
      <c r="K3" s="9">
        <v>2</v>
      </c>
      <c r="L3" s="9">
        <f t="shared" si="2"/>
        <v>1</v>
      </c>
      <c r="M3" s="9">
        <f t="shared" si="3"/>
        <v>1</v>
      </c>
      <c r="N3" s="9">
        <f t="shared" si="4"/>
        <v>1</v>
      </c>
    </row>
    <row r="4" spans="1:14" x14ac:dyDescent="0.25">
      <c r="A4" s="9">
        <v>3</v>
      </c>
      <c r="B4" s="9">
        <f>COUNTIF(handsmoothed!B$2:B$47,$A4)</f>
        <v>3</v>
      </c>
      <c r="C4" s="9">
        <f>COUNTIF(handsmoothed!C$2:C$47,$A4)</f>
        <v>3</v>
      </c>
      <c r="D4" s="9">
        <f>COUNTIF(handsmoothed!D$2:D$47,$A4)</f>
        <v>3</v>
      </c>
      <c r="F4" s="9">
        <v>3</v>
      </c>
      <c r="G4" s="9">
        <f t="shared" si="0"/>
        <v>0</v>
      </c>
      <c r="H4" s="9">
        <f t="shared" si="1"/>
        <v>0</v>
      </c>
      <c r="I4" s="9"/>
      <c r="K4" s="9">
        <v>3</v>
      </c>
      <c r="L4" s="9">
        <f t="shared" si="2"/>
        <v>0</v>
      </c>
      <c r="M4" s="9">
        <f t="shared" si="3"/>
        <v>0</v>
      </c>
      <c r="N4" s="9">
        <f t="shared" si="4"/>
        <v>0</v>
      </c>
    </row>
    <row r="5" spans="1:14" x14ac:dyDescent="0.25">
      <c r="A5" s="9">
        <v>4</v>
      </c>
      <c r="B5" s="9">
        <f>COUNTIF(handsmoothed!B$2:B$47,$A5)</f>
        <v>3</v>
      </c>
      <c r="C5" s="9">
        <f>COUNTIF(handsmoothed!C$2:C$47,$A5)</f>
        <v>3</v>
      </c>
      <c r="D5" s="9">
        <f>COUNTIF(handsmoothed!D$2:D$47,$A5)</f>
        <v>3</v>
      </c>
      <c r="F5" s="9">
        <v>4</v>
      </c>
      <c r="G5" s="9">
        <f t="shared" si="0"/>
        <v>0</v>
      </c>
      <c r="H5" s="9">
        <f t="shared" si="1"/>
        <v>0</v>
      </c>
      <c r="I5" s="9"/>
      <c r="K5" s="9">
        <v>4</v>
      </c>
      <c r="L5" s="9">
        <f t="shared" si="2"/>
        <v>-1</v>
      </c>
      <c r="M5" s="9">
        <f t="shared" si="3"/>
        <v>0</v>
      </c>
      <c r="N5" s="9">
        <f t="shared" si="4"/>
        <v>0</v>
      </c>
    </row>
    <row r="6" spans="1:14" x14ac:dyDescent="0.25">
      <c r="A6" s="9">
        <v>5</v>
      </c>
      <c r="B6" s="9">
        <f>COUNTIF(handsmoothed!B$2:B$47,$A6)</f>
        <v>2</v>
      </c>
      <c r="C6" s="9">
        <f>COUNTIF(handsmoothed!C$2:C$47,$A6)</f>
        <v>3</v>
      </c>
      <c r="D6" s="9">
        <f>COUNTIF(handsmoothed!D$2:D$47,$A6)</f>
        <v>3</v>
      </c>
      <c r="F6" s="9">
        <v>5</v>
      </c>
      <c r="G6" s="9">
        <f t="shared" si="0"/>
        <v>-1</v>
      </c>
      <c r="H6" s="9">
        <f t="shared" si="1"/>
        <v>0</v>
      </c>
      <c r="I6" s="9"/>
      <c r="K6" s="9">
        <v>5</v>
      </c>
      <c r="L6" s="9">
        <f t="shared" si="2"/>
        <v>0</v>
      </c>
      <c r="M6" s="9">
        <f t="shared" si="3"/>
        <v>0</v>
      </c>
      <c r="N6" s="9">
        <f t="shared" si="4"/>
        <v>0</v>
      </c>
    </row>
    <row r="7" spans="1:14" x14ac:dyDescent="0.25">
      <c r="A7" s="9">
        <v>6</v>
      </c>
      <c r="B7" s="9">
        <f>COUNTIF(handsmoothed!B$2:B$47,$A7)</f>
        <v>2</v>
      </c>
      <c r="C7" s="9">
        <f>COUNTIF(handsmoothed!C$2:C$47,$A7)</f>
        <v>3</v>
      </c>
      <c r="D7" s="9">
        <f>COUNTIF(handsmoothed!D$2:D$47,$A7)</f>
        <v>3</v>
      </c>
      <c r="F7" s="9">
        <v>6</v>
      </c>
      <c r="G7" s="9">
        <f t="shared" si="0"/>
        <v>-1</v>
      </c>
      <c r="H7" s="9">
        <f t="shared" si="1"/>
        <v>0</v>
      </c>
      <c r="I7" s="9"/>
      <c r="K7" s="9">
        <v>6</v>
      </c>
      <c r="L7" s="9">
        <f t="shared" si="2"/>
        <v>1</v>
      </c>
      <c r="M7" s="9">
        <f t="shared" si="3"/>
        <v>0</v>
      </c>
      <c r="N7" s="9">
        <f t="shared" si="4"/>
        <v>0</v>
      </c>
    </row>
    <row r="8" spans="1:14" x14ac:dyDescent="0.25">
      <c r="A8" s="9">
        <v>7</v>
      </c>
      <c r="B8" s="9">
        <f>COUNTIF(handsmoothed!B$2:B$47,$A8)</f>
        <v>3</v>
      </c>
      <c r="C8" s="9">
        <f>COUNTIF(handsmoothed!C$2:C$47,$A8)</f>
        <v>3</v>
      </c>
      <c r="D8" s="9">
        <f>COUNTIF(handsmoothed!D$2:D$47,$A8)</f>
        <v>3</v>
      </c>
      <c r="F8" s="9">
        <v>7</v>
      </c>
      <c r="G8" s="9">
        <f t="shared" si="0"/>
        <v>0</v>
      </c>
      <c r="H8" s="9">
        <f t="shared" si="1"/>
        <v>0</v>
      </c>
      <c r="I8" s="9"/>
      <c r="K8" s="9">
        <v>7</v>
      </c>
      <c r="L8" s="9">
        <f t="shared" si="2"/>
        <v>0</v>
      </c>
      <c r="M8" s="9">
        <f t="shared" si="3"/>
        <v>0</v>
      </c>
      <c r="N8" s="9">
        <f t="shared" si="4"/>
        <v>0</v>
      </c>
    </row>
    <row r="9" spans="1:14" x14ac:dyDescent="0.25">
      <c r="A9" s="9">
        <v>8</v>
      </c>
      <c r="B9" s="9">
        <f>COUNTIF(handsmoothed!B$2:B$47,$A9)</f>
        <v>3</v>
      </c>
      <c r="C9" s="9">
        <f>COUNTIF(handsmoothed!C$2:C$47,$A9)</f>
        <v>3</v>
      </c>
      <c r="D9" s="9">
        <f>COUNTIF(handsmoothed!D$2:D$47,$A9)</f>
        <v>3</v>
      </c>
      <c r="F9" s="9">
        <v>8</v>
      </c>
      <c r="G9" s="9">
        <f t="shared" si="0"/>
        <v>0</v>
      </c>
      <c r="H9" s="9">
        <f t="shared" si="1"/>
        <v>0</v>
      </c>
      <c r="I9" s="9"/>
      <c r="K9" s="9">
        <v>8</v>
      </c>
      <c r="L9" s="9">
        <f t="shared" si="2"/>
        <v>0</v>
      </c>
      <c r="M9" s="9">
        <f t="shared" si="3"/>
        <v>0</v>
      </c>
      <c r="N9" s="9">
        <f t="shared" si="4"/>
        <v>0</v>
      </c>
    </row>
    <row r="10" spans="1:14" x14ac:dyDescent="0.25">
      <c r="A10" s="9">
        <v>9</v>
      </c>
      <c r="B10" s="9">
        <f>COUNTIF(handsmoothed!B$2:B$47,$A10)</f>
        <v>3</v>
      </c>
      <c r="C10" s="9">
        <f>COUNTIF(handsmoothed!C$2:C$47,$A10)</f>
        <v>3</v>
      </c>
      <c r="D10" s="9">
        <f>COUNTIF(handsmoothed!D$2:D$47,$A10)</f>
        <v>3</v>
      </c>
      <c r="F10" s="9">
        <v>9</v>
      </c>
      <c r="G10" s="9">
        <f t="shared" si="0"/>
        <v>0</v>
      </c>
      <c r="H10" s="9">
        <f t="shared" si="1"/>
        <v>0</v>
      </c>
      <c r="I10" s="9"/>
      <c r="K10" s="9">
        <v>9</v>
      </c>
      <c r="L10" s="9">
        <f t="shared" si="2"/>
        <v>0</v>
      </c>
      <c r="M10" s="9">
        <f t="shared" si="3"/>
        <v>-1</v>
      </c>
      <c r="N10" s="9">
        <f t="shared" si="4"/>
        <v>0</v>
      </c>
    </row>
    <row r="11" spans="1:14" x14ac:dyDescent="0.25">
      <c r="A11" s="9">
        <v>10</v>
      </c>
      <c r="B11" s="9">
        <f>COUNTIF(handsmoothed!B$2:B$47,$A11)</f>
        <v>3</v>
      </c>
      <c r="C11" s="9">
        <f>COUNTIF(handsmoothed!C$2:C$47,$A11)</f>
        <v>2</v>
      </c>
      <c r="D11" s="9">
        <f>COUNTIF(handsmoothed!D$2:D$47,$A11)</f>
        <v>3</v>
      </c>
      <c r="F11" s="9">
        <v>10</v>
      </c>
      <c r="G11" s="9">
        <f t="shared" si="0"/>
        <v>1</v>
      </c>
      <c r="H11" s="9">
        <f t="shared" si="1"/>
        <v>-1</v>
      </c>
      <c r="I11" s="9"/>
      <c r="K11" s="9">
        <v>10</v>
      </c>
      <c r="L11" s="9">
        <f t="shared" si="2"/>
        <v>-1</v>
      </c>
      <c r="M11" s="9">
        <f t="shared" si="3"/>
        <v>0</v>
      </c>
      <c r="N11" s="9">
        <f t="shared" si="4"/>
        <v>-1</v>
      </c>
    </row>
    <row r="12" spans="1:14" x14ac:dyDescent="0.25">
      <c r="A12" s="9">
        <v>11</v>
      </c>
      <c r="B12" s="9">
        <f>COUNTIF(handsmoothed!B$2:B$47,$A12)</f>
        <v>2</v>
      </c>
      <c r="C12" s="9">
        <f>COUNTIF(handsmoothed!C$2:C$47,$A12)</f>
        <v>2</v>
      </c>
      <c r="D12" s="9">
        <f>COUNTIF(handsmoothed!D$2:D$47,$A12)</f>
        <v>2</v>
      </c>
      <c r="F12" s="9">
        <v>11</v>
      </c>
      <c r="G12" s="9">
        <f t="shared" si="0"/>
        <v>0</v>
      </c>
      <c r="H12" s="9">
        <f t="shared" si="1"/>
        <v>0</v>
      </c>
      <c r="I12" s="9"/>
      <c r="K12" s="9">
        <v>11</v>
      </c>
      <c r="L12" s="9">
        <f t="shared" si="2"/>
        <v>0</v>
      </c>
      <c r="M12" s="9">
        <f t="shared" si="3"/>
        <v>0</v>
      </c>
      <c r="N12" s="9">
        <f t="shared" si="4"/>
        <v>0</v>
      </c>
    </row>
    <row r="13" spans="1:14" x14ac:dyDescent="0.25">
      <c r="A13" s="9">
        <v>12</v>
      </c>
      <c r="B13" s="9">
        <f>COUNTIF(handsmoothed!B$2:B$47,$A13)</f>
        <v>2</v>
      </c>
      <c r="C13" s="9">
        <f>COUNTIF(handsmoothed!C$2:C$47,$A13)</f>
        <v>2</v>
      </c>
      <c r="D13" s="9">
        <f>COUNTIF(handsmoothed!D$2:D$47,$A13)</f>
        <v>2</v>
      </c>
      <c r="F13" s="9">
        <v>12</v>
      </c>
      <c r="G13" s="9">
        <f t="shared" si="0"/>
        <v>0</v>
      </c>
      <c r="H13" s="9">
        <f t="shared" si="1"/>
        <v>0</v>
      </c>
      <c r="I13" s="9"/>
      <c r="K13" s="9">
        <v>12</v>
      </c>
      <c r="L13" s="9">
        <f t="shared" si="2"/>
        <v>0</v>
      </c>
      <c r="M13" s="9">
        <f t="shared" si="3"/>
        <v>0</v>
      </c>
      <c r="N13" s="9">
        <f t="shared" si="4"/>
        <v>0</v>
      </c>
    </row>
    <row r="14" spans="1:14" x14ac:dyDescent="0.25">
      <c r="A14" s="9">
        <v>13</v>
      </c>
      <c r="B14" s="9">
        <f>COUNTIF(handsmoothed!B$2:B$47,$A14)</f>
        <v>2</v>
      </c>
      <c r="C14" s="9">
        <f>COUNTIF(handsmoothed!C$2:C$47,$A14)</f>
        <v>2</v>
      </c>
      <c r="D14" s="9">
        <f>COUNTIF(handsmoothed!D$2:D$47,$A14)</f>
        <v>2</v>
      </c>
      <c r="F14" s="9">
        <v>13</v>
      </c>
      <c r="G14" s="9">
        <f t="shared" si="0"/>
        <v>0</v>
      </c>
      <c r="H14" s="9">
        <f t="shared" si="1"/>
        <v>0</v>
      </c>
      <c r="I14" s="9"/>
      <c r="K14" s="9">
        <v>13</v>
      </c>
      <c r="L14" s="9">
        <f t="shared" si="2"/>
        <v>-1</v>
      </c>
      <c r="M14" s="9">
        <f t="shared" si="3"/>
        <v>0</v>
      </c>
      <c r="N14" s="9">
        <f t="shared" si="4"/>
        <v>0</v>
      </c>
    </row>
    <row r="15" spans="1:14" x14ac:dyDescent="0.25">
      <c r="A15" s="9">
        <v>14</v>
      </c>
      <c r="B15" s="9">
        <f>COUNTIF(handsmoothed!B$2:B$47,$A15)</f>
        <v>1</v>
      </c>
      <c r="C15" s="9">
        <f>COUNTIF(handsmoothed!C$2:C$47,$A15)</f>
        <v>2</v>
      </c>
      <c r="D15" s="9">
        <f>COUNTIF(handsmoothed!D$2:D$47,$A15)</f>
        <v>2</v>
      </c>
      <c r="F15" s="9">
        <v>14</v>
      </c>
      <c r="G15" s="9">
        <f t="shared" si="0"/>
        <v>-1</v>
      </c>
      <c r="H15" s="9">
        <f t="shared" si="1"/>
        <v>0</v>
      </c>
      <c r="I15" s="9"/>
      <c r="K15" s="9">
        <v>14</v>
      </c>
      <c r="L15" s="9">
        <f t="shared" si="2"/>
        <v>1</v>
      </c>
      <c r="M15" s="9">
        <f t="shared" si="3"/>
        <v>0</v>
      </c>
      <c r="N15" s="9">
        <f t="shared" si="4"/>
        <v>0</v>
      </c>
    </row>
    <row r="16" spans="1:14" x14ac:dyDescent="0.25">
      <c r="A16" s="9">
        <v>15</v>
      </c>
      <c r="B16" s="9">
        <f>COUNTIF(handsmoothed!B$2:B$47,$A16)</f>
        <v>2</v>
      </c>
      <c r="C16" s="9">
        <f>COUNTIF(handsmoothed!C$2:C$47,$A16)</f>
        <v>2</v>
      </c>
      <c r="D16" s="9">
        <f>COUNTIF(handsmoothed!D$2:D$47,$A16)</f>
        <v>2</v>
      </c>
      <c r="F16" s="9">
        <v>15</v>
      </c>
      <c r="G16" s="9">
        <f t="shared" si="0"/>
        <v>0</v>
      </c>
      <c r="H16" s="9">
        <f t="shared" si="1"/>
        <v>0</v>
      </c>
      <c r="I16" s="9"/>
      <c r="K16" s="9">
        <v>15</v>
      </c>
      <c r="L16" s="9">
        <f t="shared" si="2"/>
        <v>0</v>
      </c>
      <c r="M16" s="9">
        <f t="shared" si="3"/>
        <v>0</v>
      </c>
      <c r="N16" s="9">
        <f t="shared" si="4"/>
        <v>0</v>
      </c>
    </row>
    <row r="17" spans="1:14" x14ac:dyDescent="0.25">
      <c r="A17" s="9">
        <v>16</v>
      </c>
      <c r="B17" s="9">
        <f>COUNTIF(handsmoothed!B$2:B$47,$A17)</f>
        <v>2</v>
      </c>
      <c r="C17" s="9">
        <f>COUNTIF(handsmoothed!C$2:C$47,$A17)</f>
        <v>2</v>
      </c>
      <c r="D17" s="9">
        <f>COUNTIF(handsmoothed!D$2:D$47,$A17)</f>
        <v>2</v>
      </c>
      <c r="F17" s="9">
        <v>16</v>
      </c>
      <c r="G17" s="9">
        <f t="shared" si="0"/>
        <v>0</v>
      </c>
      <c r="H17" s="9">
        <f t="shared" si="1"/>
        <v>0</v>
      </c>
      <c r="I17" s="9"/>
      <c r="K17" s="9">
        <v>16</v>
      </c>
      <c r="L17" s="9">
        <f t="shared" si="2"/>
        <v>0</v>
      </c>
      <c r="M17" s="9">
        <f t="shared" si="3"/>
        <v>-1</v>
      </c>
      <c r="N17" s="9">
        <f t="shared" si="4"/>
        <v>-1</v>
      </c>
    </row>
    <row r="18" spans="1:14" x14ac:dyDescent="0.25">
      <c r="A18" s="9">
        <v>17</v>
      </c>
      <c r="B18" s="9">
        <f>COUNTIF(handsmoothed!B$2:B$47,$A18)</f>
        <v>2</v>
      </c>
      <c r="C18" s="9">
        <f>COUNTIF(handsmoothed!C$2:C$47,$A18)</f>
        <v>1</v>
      </c>
      <c r="D18" s="9">
        <f>COUNTIF(handsmoothed!D$2:D$47,$A18)</f>
        <v>1</v>
      </c>
      <c r="F18" s="9">
        <v>17</v>
      </c>
      <c r="G18" s="9">
        <f t="shared" si="0"/>
        <v>1</v>
      </c>
      <c r="H18" s="9">
        <f t="shared" si="1"/>
        <v>0</v>
      </c>
      <c r="I18" s="9"/>
      <c r="K18" s="9">
        <v>17</v>
      </c>
      <c r="L18" s="9">
        <f t="shared" si="2"/>
        <v>0</v>
      </c>
      <c r="M18" s="9">
        <f t="shared" si="3"/>
        <v>1</v>
      </c>
      <c r="N18" s="9">
        <f t="shared" si="4"/>
        <v>1</v>
      </c>
    </row>
    <row r="19" spans="1:14" x14ac:dyDescent="0.25">
      <c r="A19" s="9">
        <v>18</v>
      </c>
      <c r="B19" s="9">
        <f>COUNTIF(handsmoothed!B$2:B$47,$A19)</f>
        <v>2</v>
      </c>
      <c r="C19" s="9">
        <f>COUNTIF(handsmoothed!C$2:C$47,$A19)</f>
        <v>2</v>
      </c>
      <c r="D19" s="9">
        <f>COUNTIF(handsmoothed!D$2:D$47,$A19)</f>
        <v>2</v>
      </c>
      <c r="F19" s="9">
        <v>18</v>
      </c>
      <c r="G19" s="9">
        <f t="shared" si="0"/>
        <v>0</v>
      </c>
      <c r="H19" s="9">
        <f t="shared" si="1"/>
        <v>0</v>
      </c>
      <c r="I19" s="9"/>
      <c r="K19" s="9">
        <v>18</v>
      </c>
      <c r="L19" s="9">
        <f t="shared" si="2"/>
        <v>1</v>
      </c>
      <c r="M19" s="9">
        <f t="shared" si="3"/>
        <v>0</v>
      </c>
      <c r="N19" s="9">
        <f t="shared" si="4"/>
        <v>-1</v>
      </c>
    </row>
    <row r="20" spans="1:14" x14ac:dyDescent="0.25">
      <c r="A20" s="9">
        <v>19</v>
      </c>
      <c r="B20" s="9">
        <f>COUNTIF(handsmoothed!B$2:B$47,$A20)</f>
        <v>3</v>
      </c>
      <c r="C20" s="9">
        <f>COUNTIF(handsmoothed!C$2:C$47,$A20)</f>
        <v>2</v>
      </c>
      <c r="D20" s="9">
        <f>COUNTIF(handsmoothed!D$2:D$47,$A20)</f>
        <v>1</v>
      </c>
      <c r="F20" s="9">
        <v>19</v>
      </c>
      <c r="G20" s="9">
        <f t="shared" si="0"/>
        <v>1</v>
      </c>
      <c r="H20" s="9">
        <f t="shared" si="1"/>
        <v>1</v>
      </c>
      <c r="I20" s="9"/>
      <c r="K20" s="9"/>
      <c r="L20" s="9"/>
      <c r="M20" s="9"/>
      <c r="N20" s="9"/>
    </row>
  </sheetData>
  <conditionalFormatting sqref="B2:D20">
    <cfRule type="cellIs" dxfId="1" priority="3" operator="equal">
      <formula>0</formula>
    </cfRule>
  </conditionalFormatting>
  <conditionalFormatting sqref="L2:N19 G2:H20">
    <cfRule type="cellIs" dxfId="0" priority="2" operator="notBetween">
      <formula>-1</formula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6F345-8294-4CFB-912D-8B8CEB0C0A91}">
  <dimension ref="A1:B47"/>
  <sheetViews>
    <sheetView workbookViewId="0">
      <selection activeCell="H32" sqref="H32"/>
    </sheetView>
  </sheetViews>
  <sheetFormatPr defaultRowHeight="12.75" x14ac:dyDescent="0.2"/>
  <cols>
    <col min="1" max="1" width="13.140625" style="11" bestFit="1" customWidth="1"/>
    <col min="2" max="2" width="5.42578125" style="11" customWidth="1"/>
    <col min="3" max="16384" width="9.140625" style="3"/>
  </cols>
  <sheetData>
    <row r="1" spans="1:2" x14ac:dyDescent="0.2">
      <c r="A1" s="13" t="s">
        <v>31</v>
      </c>
      <c r="B1" s="11" t="str">
        <f>handsmoothed!C1</f>
        <v>ss1</v>
      </c>
    </row>
    <row r="2" spans="1:2" x14ac:dyDescent="0.2">
      <c r="A2" s="11">
        <f>handsmoothed!A2</f>
        <v>0</v>
      </c>
      <c r="B2" s="11">
        <f>handsmoothed!C2</f>
        <v>1</v>
      </c>
    </row>
    <row r="3" spans="1:2" x14ac:dyDescent="0.2">
      <c r="A3" s="11">
        <f>handsmoothed!A3</f>
        <v>1</v>
      </c>
      <c r="B3" s="11">
        <f>handsmoothed!C3</f>
        <v>1</v>
      </c>
    </row>
    <row r="4" spans="1:2" x14ac:dyDescent="0.2">
      <c r="A4" s="11">
        <f>handsmoothed!A4</f>
        <v>2</v>
      </c>
      <c r="B4" s="11">
        <f>handsmoothed!C4</f>
        <v>1</v>
      </c>
    </row>
    <row r="5" spans="1:2" x14ac:dyDescent="0.2">
      <c r="A5" s="11">
        <f>handsmoothed!A5</f>
        <v>3</v>
      </c>
      <c r="B5" s="11">
        <f>handsmoothed!C5</f>
        <v>1</v>
      </c>
    </row>
    <row r="6" spans="1:2" x14ac:dyDescent="0.2">
      <c r="A6" s="11">
        <f>handsmoothed!A6</f>
        <v>4</v>
      </c>
      <c r="B6" s="11">
        <f>handsmoothed!C6</f>
        <v>2</v>
      </c>
    </row>
    <row r="7" spans="1:2" x14ac:dyDescent="0.2">
      <c r="A7" s="11">
        <f>handsmoothed!A7</f>
        <v>5</v>
      </c>
      <c r="B7" s="11">
        <f>handsmoothed!C7</f>
        <v>2</v>
      </c>
    </row>
    <row r="8" spans="1:2" x14ac:dyDescent="0.2">
      <c r="A8" s="11">
        <f>handsmoothed!A8</f>
        <v>6</v>
      </c>
      <c r="B8" s="11">
        <f>handsmoothed!C8</f>
        <v>3</v>
      </c>
    </row>
    <row r="9" spans="1:2" x14ac:dyDescent="0.2">
      <c r="A9" s="11">
        <f>handsmoothed!A9</f>
        <v>7</v>
      </c>
      <c r="B9" s="11">
        <f>handsmoothed!C9</f>
        <v>3</v>
      </c>
    </row>
    <row r="10" spans="1:2" x14ac:dyDescent="0.2">
      <c r="A10" s="11">
        <f>handsmoothed!A10</f>
        <v>8</v>
      </c>
      <c r="B10" s="11">
        <f>handsmoothed!C10</f>
        <v>3</v>
      </c>
    </row>
    <row r="11" spans="1:2" x14ac:dyDescent="0.2">
      <c r="A11" s="11">
        <f>handsmoothed!A11</f>
        <v>9</v>
      </c>
      <c r="B11" s="11">
        <f>handsmoothed!C11</f>
        <v>4</v>
      </c>
    </row>
    <row r="12" spans="1:2" x14ac:dyDescent="0.2">
      <c r="A12" s="11">
        <f>handsmoothed!A12</f>
        <v>10</v>
      </c>
      <c r="B12" s="11">
        <f>handsmoothed!C12</f>
        <v>4</v>
      </c>
    </row>
    <row r="13" spans="1:2" x14ac:dyDescent="0.2">
      <c r="A13" s="11">
        <f>handsmoothed!A13</f>
        <v>11</v>
      </c>
      <c r="B13" s="11">
        <f>handsmoothed!C13</f>
        <v>4</v>
      </c>
    </row>
    <row r="14" spans="1:2" x14ac:dyDescent="0.2">
      <c r="A14" s="11">
        <f>handsmoothed!A14</f>
        <v>12</v>
      </c>
      <c r="B14" s="11">
        <f>handsmoothed!C14</f>
        <v>5</v>
      </c>
    </row>
    <row r="15" spans="1:2" x14ac:dyDescent="0.2">
      <c r="A15" s="11">
        <f>handsmoothed!A15</f>
        <v>13</v>
      </c>
      <c r="B15" s="11">
        <f>handsmoothed!C15</f>
        <v>5</v>
      </c>
    </row>
    <row r="16" spans="1:2" x14ac:dyDescent="0.2">
      <c r="A16" s="11">
        <f>handsmoothed!A16</f>
        <v>14</v>
      </c>
      <c r="B16" s="11">
        <f>handsmoothed!C16</f>
        <v>5</v>
      </c>
    </row>
    <row r="17" spans="1:2" x14ac:dyDescent="0.2">
      <c r="A17" s="11">
        <f>handsmoothed!A17</f>
        <v>15</v>
      </c>
      <c r="B17" s="11">
        <f>handsmoothed!C17</f>
        <v>6</v>
      </c>
    </row>
    <row r="18" spans="1:2" x14ac:dyDescent="0.2">
      <c r="A18" s="11">
        <f>handsmoothed!A18</f>
        <v>16</v>
      </c>
      <c r="B18" s="11">
        <f>handsmoothed!C18</f>
        <v>6</v>
      </c>
    </row>
    <row r="19" spans="1:2" x14ac:dyDescent="0.2">
      <c r="A19" s="11">
        <f>handsmoothed!A19</f>
        <v>17</v>
      </c>
      <c r="B19" s="11">
        <f>handsmoothed!C19</f>
        <v>6</v>
      </c>
    </row>
    <row r="20" spans="1:2" x14ac:dyDescent="0.2">
      <c r="A20" s="11">
        <f>handsmoothed!A20</f>
        <v>18</v>
      </c>
      <c r="B20" s="11">
        <f>handsmoothed!C20</f>
        <v>7</v>
      </c>
    </row>
    <row r="21" spans="1:2" x14ac:dyDescent="0.2">
      <c r="A21" s="11">
        <f>handsmoothed!A21</f>
        <v>19</v>
      </c>
      <c r="B21" s="11">
        <f>handsmoothed!C21</f>
        <v>7</v>
      </c>
    </row>
    <row r="22" spans="1:2" x14ac:dyDescent="0.2">
      <c r="A22" s="11">
        <f>handsmoothed!A22</f>
        <v>20</v>
      </c>
      <c r="B22" s="11">
        <f>handsmoothed!C22</f>
        <v>7</v>
      </c>
    </row>
    <row r="23" spans="1:2" x14ac:dyDescent="0.2">
      <c r="A23" s="11">
        <f>handsmoothed!A23</f>
        <v>21</v>
      </c>
      <c r="B23" s="11">
        <f>handsmoothed!C23</f>
        <v>8</v>
      </c>
    </row>
    <row r="24" spans="1:2" x14ac:dyDescent="0.2">
      <c r="A24" s="11">
        <f>handsmoothed!A24</f>
        <v>22</v>
      </c>
      <c r="B24" s="11">
        <f>handsmoothed!C24</f>
        <v>8</v>
      </c>
    </row>
    <row r="25" spans="1:2" x14ac:dyDescent="0.2">
      <c r="A25" s="11">
        <f>handsmoothed!A25</f>
        <v>23</v>
      </c>
      <c r="B25" s="11">
        <f>handsmoothed!C25</f>
        <v>8</v>
      </c>
    </row>
    <row r="26" spans="1:2" x14ac:dyDescent="0.2">
      <c r="A26" s="11">
        <f>handsmoothed!A26</f>
        <v>24</v>
      </c>
      <c r="B26" s="11">
        <f>handsmoothed!C26</f>
        <v>9</v>
      </c>
    </row>
    <row r="27" spans="1:2" x14ac:dyDescent="0.2">
      <c r="A27" s="11">
        <f>handsmoothed!A27</f>
        <v>25</v>
      </c>
      <c r="B27" s="11">
        <f>handsmoothed!C27</f>
        <v>9</v>
      </c>
    </row>
    <row r="28" spans="1:2" x14ac:dyDescent="0.2">
      <c r="A28" s="11">
        <f>handsmoothed!A28</f>
        <v>26</v>
      </c>
      <c r="B28" s="11">
        <f>handsmoothed!C28</f>
        <v>9</v>
      </c>
    </row>
    <row r="29" spans="1:2" x14ac:dyDescent="0.2">
      <c r="A29" s="11">
        <f>handsmoothed!A29</f>
        <v>27</v>
      </c>
      <c r="B29" s="11">
        <f>handsmoothed!C29</f>
        <v>10</v>
      </c>
    </row>
    <row r="30" spans="1:2" x14ac:dyDescent="0.2">
      <c r="A30" s="11">
        <f>handsmoothed!A30</f>
        <v>28</v>
      </c>
      <c r="B30" s="11">
        <f>handsmoothed!C30</f>
        <v>10</v>
      </c>
    </row>
    <row r="31" spans="1:2" x14ac:dyDescent="0.2">
      <c r="A31" s="11">
        <f>handsmoothed!A31</f>
        <v>29</v>
      </c>
      <c r="B31" s="11">
        <f>handsmoothed!C31</f>
        <v>11</v>
      </c>
    </row>
    <row r="32" spans="1:2" x14ac:dyDescent="0.2">
      <c r="A32" s="11">
        <f>handsmoothed!A32</f>
        <v>30</v>
      </c>
      <c r="B32" s="11">
        <f>handsmoothed!C32</f>
        <v>11</v>
      </c>
    </row>
    <row r="33" spans="1:2" x14ac:dyDescent="0.2">
      <c r="A33" s="11">
        <f>handsmoothed!A33</f>
        <v>31</v>
      </c>
      <c r="B33" s="11">
        <f>handsmoothed!C33</f>
        <v>12</v>
      </c>
    </row>
    <row r="34" spans="1:2" x14ac:dyDescent="0.2">
      <c r="A34" s="11">
        <f>handsmoothed!A34</f>
        <v>32</v>
      </c>
      <c r="B34" s="11">
        <f>handsmoothed!C34</f>
        <v>12</v>
      </c>
    </row>
    <row r="35" spans="1:2" x14ac:dyDescent="0.2">
      <c r="A35" s="11">
        <f>handsmoothed!A35</f>
        <v>33</v>
      </c>
      <c r="B35" s="11">
        <f>handsmoothed!C35</f>
        <v>13</v>
      </c>
    </row>
    <row r="36" spans="1:2" x14ac:dyDescent="0.2">
      <c r="A36" s="11">
        <f>handsmoothed!A36</f>
        <v>34</v>
      </c>
      <c r="B36" s="11">
        <f>handsmoothed!C36</f>
        <v>13</v>
      </c>
    </row>
    <row r="37" spans="1:2" x14ac:dyDescent="0.2">
      <c r="A37" s="11">
        <f>handsmoothed!A37</f>
        <v>35</v>
      </c>
      <c r="B37" s="11">
        <f>handsmoothed!C37</f>
        <v>14</v>
      </c>
    </row>
    <row r="38" spans="1:2" x14ac:dyDescent="0.2">
      <c r="A38" s="11">
        <f>handsmoothed!A38</f>
        <v>36</v>
      </c>
      <c r="B38" s="11">
        <f>handsmoothed!C38</f>
        <v>14</v>
      </c>
    </row>
    <row r="39" spans="1:2" x14ac:dyDescent="0.2">
      <c r="A39" s="11">
        <f>handsmoothed!A39</f>
        <v>37</v>
      </c>
      <c r="B39" s="11">
        <f>handsmoothed!C39</f>
        <v>15</v>
      </c>
    </row>
    <row r="40" spans="1:2" x14ac:dyDescent="0.2">
      <c r="A40" s="11">
        <f>handsmoothed!A40</f>
        <v>38</v>
      </c>
      <c r="B40" s="11">
        <f>handsmoothed!C40</f>
        <v>15</v>
      </c>
    </row>
    <row r="41" spans="1:2" x14ac:dyDescent="0.2">
      <c r="A41" s="11">
        <f>handsmoothed!A41</f>
        <v>39</v>
      </c>
      <c r="B41" s="11">
        <f>handsmoothed!C41</f>
        <v>16</v>
      </c>
    </row>
    <row r="42" spans="1:2" x14ac:dyDescent="0.2">
      <c r="A42" s="11">
        <f>handsmoothed!A42</f>
        <v>40</v>
      </c>
      <c r="B42" s="11">
        <f>handsmoothed!C42</f>
        <v>16</v>
      </c>
    </row>
    <row r="43" spans="1:2" x14ac:dyDescent="0.2">
      <c r="A43" s="11">
        <f>handsmoothed!A43</f>
        <v>41</v>
      </c>
      <c r="B43" s="11">
        <f>handsmoothed!C43</f>
        <v>17</v>
      </c>
    </row>
    <row r="44" spans="1:2" x14ac:dyDescent="0.2">
      <c r="A44" s="11">
        <f>handsmoothed!A44</f>
        <v>42</v>
      </c>
      <c r="B44" s="11">
        <f>handsmoothed!C44</f>
        <v>18</v>
      </c>
    </row>
    <row r="45" spans="1:2" x14ac:dyDescent="0.2">
      <c r="A45" s="11">
        <f>handsmoothed!A45</f>
        <v>43</v>
      </c>
      <c r="B45" s="11">
        <f>handsmoothed!C45</f>
        <v>18</v>
      </c>
    </row>
    <row r="46" spans="1:2" x14ac:dyDescent="0.2">
      <c r="A46" s="11">
        <f>handsmoothed!A46</f>
        <v>44</v>
      </c>
      <c r="B46" s="11">
        <f>handsmoothed!C46</f>
        <v>19</v>
      </c>
    </row>
    <row r="47" spans="1:2" x14ac:dyDescent="0.2">
      <c r="A47" s="11">
        <f>handsmoothed!A47</f>
        <v>45</v>
      </c>
      <c r="B47" s="11">
        <f>handsmoothed!C47</f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9B5EE-7935-44F3-9145-87DBF5B90E0C}">
  <dimension ref="A1:F15"/>
  <sheetViews>
    <sheetView workbookViewId="0">
      <selection sqref="A1:F15"/>
    </sheetView>
  </sheetViews>
  <sheetFormatPr defaultColWidth="8.7109375" defaultRowHeight="12.75" x14ac:dyDescent="0.2"/>
  <cols>
    <col min="1" max="16384" width="8.7109375" style="3"/>
  </cols>
  <sheetData>
    <row r="1" spans="1:6" ht="25.5" x14ac:dyDescent="0.2">
      <c r="A1" s="16" t="s">
        <v>47</v>
      </c>
      <c r="B1"/>
      <c r="C1"/>
      <c r="D1"/>
      <c r="E1"/>
      <c r="F1"/>
    </row>
    <row r="2" spans="1:6" x14ac:dyDescent="0.2">
      <c r="A2" s="17"/>
      <c r="B2"/>
      <c r="C2"/>
      <c r="D2"/>
      <c r="E2"/>
      <c r="F2"/>
    </row>
    <row r="3" spans="1:6" x14ac:dyDescent="0.2">
      <c r="A3" s="18" t="s">
        <v>32</v>
      </c>
      <c r="B3"/>
      <c r="C3"/>
      <c r="D3"/>
      <c r="E3"/>
      <c r="F3"/>
    </row>
    <row r="4" spans="1:6" ht="13.5" thickBot="1" x14ac:dyDescent="0.25">
      <c r="A4" s="19"/>
      <c r="B4"/>
      <c r="C4"/>
      <c r="D4"/>
      <c r="E4"/>
      <c r="F4"/>
    </row>
    <row r="5" spans="1:6" ht="12.75" customHeight="1" x14ac:dyDescent="0.2">
      <c r="A5" s="25" t="s">
        <v>33</v>
      </c>
      <c r="B5" s="26"/>
      <c r="C5" s="26"/>
      <c r="D5" s="26"/>
      <c r="E5" s="26"/>
      <c r="F5"/>
    </row>
    <row r="6" spans="1:6" ht="25.5" x14ac:dyDescent="0.2">
      <c r="A6" s="23" t="s">
        <v>12</v>
      </c>
      <c r="B6" s="20" t="s">
        <v>34</v>
      </c>
      <c r="C6" s="20" t="s">
        <v>35</v>
      </c>
      <c r="D6" s="20" t="s">
        <v>36</v>
      </c>
      <c r="E6" s="20" t="s">
        <v>37</v>
      </c>
      <c r="F6"/>
    </row>
    <row r="7" spans="1:6" x14ac:dyDescent="0.2">
      <c r="A7" s="24">
        <v>540</v>
      </c>
      <c r="B7" s="21">
        <v>10.0204</v>
      </c>
      <c r="C7" s="21">
        <v>3.0246</v>
      </c>
      <c r="D7" s="21">
        <v>1</v>
      </c>
      <c r="E7" s="21">
        <v>19</v>
      </c>
      <c r="F7"/>
    </row>
    <row r="8" spans="1:6" x14ac:dyDescent="0.2">
      <c r="A8" s="17"/>
      <c r="B8"/>
      <c r="C8"/>
      <c r="D8"/>
      <c r="E8"/>
      <c r="F8"/>
    </row>
    <row r="9" spans="1:6" x14ac:dyDescent="0.2">
      <c r="A9" s="17"/>
      <c r="B9"/>
      <c r="C9"/>
      <c r="D9"/>
      <c r="E9"/>
      <c r="F9"/>
    </row>
    <row r="10" spans="1:6" x14ac:dyDescent="0.2">
      <c r="A10"/>
      <c r="B10"/>
      <c r="C10"/>
      <c r="D10"/>
      <c r="E10"/>
      <c r="F10"/>
    </row>
    <row r="11" spans="1:6" x14ac:dyDescent="0.2">
      <c r="A11" s="18"/>
      <c r="B11"/>
      <c r="C11"/>
      <c r="D11"/>
      <c r="E11"/>
      <c r="F11"/>
    </row>
    <row r="12" spans="1:6" ht="25.5" x14ac:dyDescent="0.2">
      <c r="A12" s="16" t="s">
        <v>38</v>
      </c>
      <c r="B12"/>
      <c r="C12"/>
      <c r="D12"/>
      <c r="E12"/>
      <c r="F12"/>
    </row>
    <row r="13" spans="1:6" ht="13.5" thickBot="1" x14ac:dyDescent="0.25">
      <c r="A13" s="19"/>
      <c r="B13"/>
      <c r="C13"/>
      <c r="D13"/>
      <c r="E13"/>
      <c r="F13"/>
    </row>
    <row r="14" spans="1:6" x14ac:dyDescent="0.2">
      <c r="A14" s="22" t="s">
        <v>27</v>
      </c>
      <c r="B14" s="27" t="s">
        <v>39</v>
      </c>
      <c r="C14" s="27" t="s">
        <v>40</v>
      </c>
      <c r="D14" s="27" t="s">
        <v>41</v>
      </c>
      <c r="E14" s="27" t="s">
        <v>42</v>
      </c>
      <c r="F14" s="27" t="s">
        <v>43</v>
      </c>
    </row>
    <row r="15" spans="1:6" x14ac:dyDescent="0.2">
      <c r="A15" s="23">
        <v>1</v>
      </c>
      <c r="B15" s="21">
        <v>4</v>
      </c>
      <c r="C15" s="21">
        <v>7</v>
      </c>
      <c r="D15" s="21">
        <v>10</v>
      </c>
      <c r="E15" s="21">
        <v>13</v>
      </c>
      <c r="F15" s="21">
        <v>16</v>
      </c>
    </row>
  </sheetData>
  <mergeCells count="1">
    <mergeCell ref="A5:E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handsmoothed</vt:lpstr>
      <vt:lpstr>checksmooth</vt:lpstr>
      <vt:lpstr>out</vt:lpstr>
      <vt:lpstr>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SAS System</dc:title>
  <dc:creator>UCOURTR</dc:creator>
  <cp:lastModifiedBy>Troy Courville</cp:lastModifiedBy>
  <cp:revision>1</cp:revision>
  <dcterms:created xsi:type="dcterms:W3CDTF">2024-02-15T16:12:11Z</dcterms:created>
  <dcterms:modified xsi:type="dcterms:W3CDTF">2024-03-30T22:09:22Z</dcterms:modified>
</cp:coreProperties>
</file>