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ongoing projects\WAIS5\stdz\norms\2_norms_qa\"/>
    </mc:Choice>
  </mc:AlternateContent>
  <xr:revisionPtr revIDLastSave="0" documentId="13_ncr:1_{C2D20FA9-8E29-4E6C-9535-8078639DC8C2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control" sheetId="3" r:id="rId1"/>
    <sheet name="1-7" sheetId="7" r:id="rId2"/>
    <sheet name="7-13" sheetId="9" r:id="rId3"/>
    <sheet name="handsmoothed" sheetId="1" r:id="rId4"/>
    <sheet name="checksmooth" sheetId="4" r:id="rId5"/>
    <sheet name="freq" sheetId="2" r:id="rId6"/>
    <sheet name="QA" sheetId="5" r:id="rId7"/>
    <sheet name="out" sheetId="6" r:id="rId8"/>
  </sheets>
  <definedNames>
    <definedName name="IDX" localSheetId="6">QA!$A$1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8" i="1" l="1"/>
  <c r="J48" i="1"/>
  <c r="K48" i="1"/>
  <c r="L48" i="1"/>
  <c r="I57" i="1"/>
  <c r="J57" i="1"/>
  <c r="K57" i="1"/>
  <c r="L57" i="1"/>
  <c r="AC2" i="1"/>
  <c r="P2" i="1"/>
  <c r="AC46" i="1" l="1"/>
  <c r="A3" i="6" l="1"/>
  <c r="B3" i="6"/>
  <c r="C3" i="6"/>
  <c r="D3" i="6"/>
  <c r="E3" i="6"/>
  <c r="F3" i="6"/>
  <c r="G3" i="6"/>
  <c r="H3" i="6"/>
  <c r="I3" i="6"/>
  <c r="J3" i="6"/>
  <c r="K3" i="6"/>
  <c r="L3" i="6"/>
  <c r="M3" i="6"/>
  <c r="N3" i="6"/>
  <c r="A4" i="6"/>
  <c r="B4" i="6"/>
  <c r="C4" i="6"/>
  <c r="D4" i="6"/>
  <c r="E4" i="6"/>
  <c r="F4" i="6"/>
  <c r="G4" i="6"/>
  <c r="H4" i="6"/>
  <c r="I4" i="6"/>
  <c r="J4" i="6"/>
  <c r="K4" i="6"/>
  <c r="L4" i="6"/>
  <c r="M4" i="6"/>
  <c r="N4" i="6"/>
  <c r="A5" i="6"/>
  <c r="B5" i="6"/>
  <c r="C5" i="6"/>
  <c r="D5" i="6"/>
  <c r="E5" i="6"/>
  <c r="F5" i="6"/>
  <c r="G5" i="6"/>
  <c r="H5" i="6"/>
  <c r="I5" i="6"/>
  <c r="J5" i="6"/>
  <c r="K5" i="6"/>
  <c r="L5" i="6"/>
  <c r="M5" i="6"/>
  <c r="N5" i="6"/>
  <c r="A6" i="6"/>
  <c r="B6" i="6"/>
  <c r="C6" i="6"/>
  <c r="D6" i="6"/>
  <c r="E6" i="6"/>
  <c r="F6" i="6"/>
  <c r="G6" i="6"/>
  <c r="H6" i="6"/>
  <c r="I6" i="6"/>
  <c r="J6" i="6"/>
  <c r="K6" i="6"/>
  <c r="L6" i="6"/>
  <c r="M6" i="6"/>
  <c r="N6" i="6"/>
  <c r="A7" i="6"/>
  <c r="B7" i="6"/>
  <c r="C7" i="6"/>
  <c r="D7" i="6"/>
  <c r="E7" i="6"/>
  <c r="F7" i="6"/>
  <c r="G7" i="6"/>
  <c r="H7" i="6"/>
  <c r="I7" i="6"/>
  <c r="J7" i="6"/>
  <c r="K7" i="6"/>
  <c r="L7" i="6"/>
  <c r="M7" i="6"/>
  <c r="N7" i="6"/>
  <c r="A8" i="6"/>
  <c r="B8" i="6"/>
  <c r="C8" i="6"/>
  <c r="D8" i="6"/>
  <c r="E8" i="6"/>
  <c r="F8" i="6"/>
  <c r="G8" i="6"/>
  <c r="H8" i="6"/>
  <c r="I8" i="6"/>
  <c r="J8" i="6"/>
  <c r="K8" i="6"/>
  <c r="L8" i="6"/>
  <c r="M8" i="6"/>
  <c r="N8" i="6"/>
  <c r="A9" i="6"/>
  <c r="B9" i="6"/>
  <c r="C9" i="6"/>
  <c r="D9" i="6"/>
  <c r="E9" i="6"/>
  <c r="F9" i="6"/>
  <c r="G9" i="6"/>
  <c r="H9" i="6"/>
  <c r="I9" i="6"/>
  <c r="J9" i="6"/>
  <c r="K9" i="6"/>
  <c r="L9" i="6"/>
  <c r="M9" i="6"/>
  <c r="N9" i="6"/>
  <c r="A10" i="6"/>
  <c r="B10" i="6"/>
  <c r="C10" i="6"/>
  <c r="D10" i="6"/>
  <c r="E10" i="6"/>
  <c r="F10" i="6"/>
  <c r="G10" i="6"/>
  <c r="H10" i="6"/>
  <c r="I10" i="6"/>
  <c r="J10" i="6"/>
  <c r="K10" i="6"/>
  <c r="L10" i="6"/>
  <c r="M10" i="6"/>
  <c r="N10" i="6"/>
  <c r="A11" i="6"/>
  <c r="B11" i="6"/>
  <c r="C11" i="6"/>
  <c r="D11" i="6"/>
  <c r="E11" i="6"/>
  <c r="F11" i="6"/>
  <c r="G11" i="6"/>
  <c r="H11" i="6"/>
  <c r="I11" i="6"/>
  <c r="J11" i="6"/>
  <c r="K11" i="6"/>
  <c r="L11" i="6"/>
  <c r="M11" i="6"/>
  <c r="N11" i="6"/>
  <c r="A12" i="6"/>
  <c r="B12" i="6"/>
  <c r="C12" i="6"/>
  <c r="D12" i="6"/>
  <c r="E12" i="6"/>
  <c r="F12" i="6"/>
  <c r="G12" i="6"/>
  <c r="H12" i="6"/>
  <c r="I12" i="6"/>
  <c r="J12" i="6"/>
  <c r="K12" i="6"/>
  <c r="L12" i="6"/>
  <c r="M12" i="6"/>
  <c r="N12" i="6"/>
  <c r="A13" i="6"/>
  <c r="B13" i="6"/>
  <c r="C13" i="6"/>
  <c r="D13" i="6"/>
  <c r="E13" i="6"/>
  <c r="F13" i="6"/>
  <c r="G13" i="6"/>
  <c r="H13" i="6"/>
  <c r="I13" i="6"/>
  <c r="J13" i="6"/>
  <c r="K13" i="6"/>
  <c r="L13" i="6"/>
  <c r="M13" i="6"/>
  <c r="N13" i="6"/>
  <c r="A14" i="6"/>
  <c r="B14" i="6"/>
  <c r="C14" i="6"/>
  <c r="D14" i="6"/>
  <c r="E14" i="6"/>
  <c r="F14" i="6"/>
  <c r="G14" i="6"/>
  <c r="H14" i="6"/>
  <c r="I14" i="6"/>
  <c r="J14" i="6"/>
  <c r="K14" i="6"/>
  <c r="L14" i="6"/>
  <c r="M14" i="6"/>
  <c r="N14" i="6"/>
  <c r="A15" i="6"/>
  <c r="B15" i="6"/>
  <c r="C15" i="6"/>
  <c r="D15" i="6"/>
  <c r="E15" i="6"/>
  <c r="F15" i="6"/>
  <c r="G15" i="6"/>
  <c r="H15" i="6"/>
  <c r="I15" i="6"/>
  <c r="J15" i="6"/>
  <c r="K15" i="6"/>
  <c r="L15" i="6"/>
  <c r="M15" i="6"/>
  <c r="N15" i="6"/>
  <c r="A16" i="6"/>
  <c r="B16" i="6"/>
  <c r="C16" i="6"/>
  <c r="D16" i="6"/>
  <c r="E16" i="6"/>
  <c r="F16" i="6"/>
  <c r="G16" i="6"/>
  <c r="H16" i="6"/>
  <c r="I16" i="6"/>
  <c r="J16" i="6"/>
  <c r="K16" i="6"/>
  <c r="L16" i="6"/>
  <c r="M16" i="6"/>
  <c r="N16" i="6"/>
  <c r="A17" i="6"/>
  <c r="B17" i="6"/>
  <c r="C17" i="6"/>
  <c r="D17" i="6"/>
  <c r="E17" i="6"/>
  <c r="F17" i="6"/>
  <c r="G17" i="6"/>
  <c r="H17" i="6"/>
  <c r="I17" i="6"/>
  <c r="J17" i="6"/>
  <c r="K17" i="6"/>
  <c r="L17" i="6"/>
  <c r="M17" i="6"/>
  <c r="N17" i="6"/>
  <c r="A18" i="6"/>
  <c r="B18" i="6"/>
  <c r="C18" i="6"/>
  <c r="D18" i="6"/>
  <c r="E18" i="6"/>
  <c r="F18" i="6"/>
  <c r="G18" i="6"/>
  <c r="H18" i="6"/>
  <c r="I18" i="6"/>
  <c r="J18" i="6"/>
  <c r="K18" i="6"/>
  <c r="L18" i="6"/>
  <c r="M18" i="6"/>
  <c r="N18" i="6"/>
  <c r="A19" i="6"/>
  <c r="B19" i="6"/>
  <c r="C19" i="6"/>
  <c r="D19" i="6"/>
  <c r="E19" i="6"/>
  <c r="F19" i="6"/>
  <c r="G19" i="6"/>
  <c r="H19" i="6"/>
  <c r="I19" i="6"/>
  <c r="J19" i="6"/>
  <c r="K19" i="6"/>
  <c r="L19" i="6"/>
  <c r="M19" i="6"/>
  <c r="N19" i="6"/>
  <c r="A20" i="6"/>
  <c r="B20" i="6"/>
  <c r="C20" i="6"/>
  <c r="D20" i="6"/>
  <c r="E20" i="6"/>
  <c r="F20" i="6"/>
  <c r="G20" i="6"/>
  <c r="H20" i="6"/>
  <c r="I20" i="6"/>
  <c r="J20" i="6"/>
  <c r="K20" i="6"/>
  <c r="L20" i="6"/>
  <c r="M20" i="6"/>
  <c r="N20" i="6"/>
  <c r="A21" i="6"/>
  <c r="B21" i="6"/>
  <c r="C21" i="6"/>
  <c r="D21" i="6"/>
  <c r="E21" i="6"/>
  <c r="F21" i="6"/>
  <c r="G21" i="6"/>
  <c r="H21" i="6"/>
  <c r="I21" i="6"/>
  <c r="J21" i="6"/>
  <c r="K21" i="6"/>
  <c r="L21" i="6"/>
  <c r="M21" i="6"/>
  <c r="N21" i="6"/>
  <c r="A22" i="6"/>
  <c r="B22" i="6"/>
  <c r="C22" i="6"/>
  <c r="D22" i="6"/>
  <c r="E22" i="6"/>
  <c r="F22" i="6"/>
  <c r="G22" i="6"/>
  <c r="H22" i="6"/>
  <c r="I22" i="6"/>
  <c r="J22" i="6"/>
  <c r="K22" i="6"/>
  <c r="L22" i="6"/>
  <c r="M22" i="6"/>
  <c r="N22" i="6"/>
  <c r="A23" i="6"/>
  <c r="B23" i="6"/>
  <c r="C23" i="6"/>
  <c r="D23" i="6"/>
  <c r="E23" i="6"/>
  <c r="F23" i="6"/>
  <c r="G23" i="6"/>
  <c r="H23" i="6"/>
  <c r="I23" i="6"/>
  <c r="J23" i="6"/>
  <c r="K23" i="6"/>
  <c r="L23" i="6"/>
  <c r="M23" i="6"/>
  <c r="N23" i="6"/>
  <c r="A24" i="6"/>
  <c r="B24" i="6"/>
  <c r="C24" i="6"/>
  <c r="D24" i="6"/>
  <c r="E24" i="6"/>
  <c r="F24" i="6"/>
  <c r="G24" i="6"/>
  <c r="H24" i="6"/>
  <c r="I24" i="6"/>
  <c r="J24" i="6"/>
  <c r="K24" i="6"/>
  <c r="L24" i="6"/>
  <c r="M24" i="6"/>
  <c r="N24" i="6"/>
  <c r="A25" i="6"/>
  <c r="B25" i="6"/>
  <c r="C25" i="6"/>
  <c r="D25" i="6"/>
  <c r="E25" i="6"/>
  <c r="F25" i="6"/>
  <c r="G25" i="6"/>
  <c r="H25" i="6"/>
  <c r="I25" i="6"/>
  <c r="J25" i="6"/>
  <c r="K25" i="6"/>
  <c r="L25" i="6"/>
  <c r="M25" i="6"/>
  <c r="N25" i="6"/>
  <c r="A26" i="6"/>
  <c r="B26" i="6"/>
  <c r="C26" i="6"/>
  <c r="D26" i="6"/>
  <c r="E26" i="6"/>
  <c r="F26" i="6"/>
  <c r="G26" i="6"/>
  <c r="H26" i="6"/>
  <c r="I26" i="6"/>
  <c r="J26" i="6"/>
  <c r="K26" i="6"/>
  <c r="L26" i="6"/>
  <c r="M26" i="6"/>
  <c r="N26" i="6"/>
  <c r="A27" i="6"/>
  <c r="B27" i="6"/>
  <c r="C27" i="6"/>
  <c r="D27" i="6"/>
  <c r="E27" i="6"/>
  <c r="F27" i="6"/>
  <c r="G27" i="6"/>
  <c r="H27" i="6"/>
  <c r="I27" i="6"/>
  <c r="J27" i="6"/>
  <c r="K27" i="6"/>
  <c r="L27" i="6"/>
  <c r="M27" i="6"/>
  <c r="N27" i="6"/>
  <c r="A28" i="6"/>
  <c r="B28" i="6"/>
  <c r="C28" i="6"/>
  <c r="D28" i="6"/>
  <c r="E28" i="6"/>
  <c r="F28" i="6"/>
  <c r="G28" i="6"/>
  <c r="H28" i="6"/>
  <c r="I28" i="6"/>
  <c r="J28" i="6"/>
  <c r="K28" i="6"/>
  <c r="L28" i="6"/>
  <c r="M28" i="6"/>
  <c r="N28" i="6"/>
  <c r="A29" i="6"/>
  <c r="B29" i="6"/>
  <c r="C29" i="6"/>
  <c r="D29" i="6"/>
  <c r="E29" i="6"/>
  <c r="F29" i="6"/>
  <c r="G29" i="6"/>
  <c r="H29" i="6"/>
  <c r="I29" i="6"/>
  <c r="J29" i="6"/>
  <c r="K29" i="6"/>
  <c r="L29" i="6"/>
  <c r="M29" i="6"/>
  <c r="N29" i="6"/>
  <c r="A30" i="6"/>
  <c r="B30" i="6"/>
  <c r="C30" i="6"/>
  <c r="D30" i="6"/>
  <c r="E30" i="6"/>
  <c r="F30" i="6"/>
  <c r="G30" i="6"/>
  <c r="H30" i="6"/>
  <c r="I30" i="6"/>
  <c r="J30" i="6"/>
  <c r="K30" i="6"/>
  <c r="L30" i="6"/>
  <c r="M30" i="6"/>
  <c r="N30" i="6"/>
  <c r="A31" i="6"/>
  <c r="B31" i="6"/>
  <c r="C31" i="6"/>
  <c r="D31" i="6"/>
  <c r="E31" i="6"/>
  <c r="F31" i="6"/>
  <c r="G31" i="6"/>
  <c r="H31" i="6"/>
  <c r="I31" i="6"/>
  <c r="J31" i="6"/>
  <c r="K31" i="6"/>
  <c r="L31" i="6"/>
  <c r="M31" i="6"/>
  <c r="N31" i="6"/>
  <c r="A32" i="6"/>
  <c r="B32" i="6"/>
  <c r="C32" i="6"/>
  <c r="D32" i="6"/>
  <c r="E32" i="6"/>
  <c r="F32" i="6"/>
  <c r="G32" i="6"/>
  <c r="H32" i="6"/>
  <c r="I32" i="6"/>
  <c r="J32" i="6"/>
  <c r="K32" i="6"/>
  <c r="L32" i="6"/>
  <c r="M32" i="6"/>
  <c r="N32" i="6"/>
  <c r="A33" i="6"/>
  <c r="B33" i="6"/>
  <c r="C33" i="6"/>
  <c r="D33" i="6"/>
  <c r="E33" i="6"/>
  <c r="F33" i="6"/>
  <c r="G33" i="6"/>
  <c r="H33" i="6"/>
  <c r="I33" i="6"/>
  <c r="J33" i="6"/>
  <c r="K33" i="6"/>
  <c r="L33" i="6"/>
  <c r="M33" i="6"/>
  <c r="N33" i="6"/>
  <c r="A34" i="6"/>
  <c r="B34" i="6"/>
  <c r="C34" i="6"/>
  <c r="D34" i="6"/>
  <c r="E34" i="6"/>
  <c r="F34" i="6"/>
  <c r="G34" i="6"/>
  <c r="H34" i="6"/>
  <c r="I34" i="6"/>
  <c r="J34" i="6"/>
  <c r="K34" i="6"/>
  <c r="L34" i="6"/>
  <c r="M34" i="6"/>
  <c r="N34" i="6"/>
  <c r="A35" i="6"/>
  <c r="B35" i="6"/>
  <c r="C35" i="6"/>
  <c r="D35" i="6"/>
  <c r="E35" i="6"/>
  <c r="F35" i="6"/>
  <c r="G35" i="6"/>
  <c r="H35" i="6"/>
  <c r="I35" i="6"/>
  <c r="J35" i="6"/>
  <c r="K35" i="6"/>
  <c r="L35" i="6"/>
  <c r="M35" i="6"/>
  <c r="N35" i="6"/>
  <c r="A36" i="6"/>
  <c r="B36" i="6"/>
  <c r="C36" i="6"/>
  <c r="D36" i="6"/>
  <c r="E36" i="6"/>
  <c r="F36" i="6"/>
  <c r="G36" i="6"/>
  <c r="H36" i="6"/>
  <c r="I36" i="6"/>
  <c r="J36" i="6"/>
  <c r="K36" i="6"/>
  <c r="L36" i="6"/>
  <c r="M36" i="6"/>
  <c r="N36" i="6"/>
  <c r="A37" i="6"/>
  <c r="B37" i="6"/>
  <c r="C37" i="6"/>
  <c r="D37" i="6"/>
  <c r="E37" i="6"/>
  <c r="F37" i="6"/>
  <c r="G37" i="6"/>
  <c r="H37" i="6"/>
  <c r="I37" i="6"/>
  <c r="J37" i="6"/>
  <c r="K37" i="6"/>
  <c r="L37" i="6"/>
  <c r="M37" i="6"/>
  <c r="N37" i="6"/>
  <c r="A38" i="6"/>
  <c r="B38" i="6"/>
  <c r="C38" i="6"/>
  <c r="D38" i="6"/>
  <c r="E38" i="6"/>
  <c r="F38" i="6"/>
  <c r="G38" i="6"/>
  <c r="H38" i="6"/>
  <c r="I38" i="6"/>
  <c r="J38" i="6"/>
  <c r="K38" i="6"/>
  <c r="L38" i="6"/>
  <c r="M38" i="6"/>
  <c r="N38" i="6"/>
  <c r="A39" i="6"/>
  <c r="B39" i="6"/>
  <c r="C39" i="6"/>
  <c r="D39" i="6"/>
  <c r="E39" i="6"/>
  <c r="F39" i="6"/>
  <c r="G39" i="6"/>
  <c r="H39" i="6"/>
  <c r="I39" i="6"/>
  <c r="J39" i="6"/>
  <c r="K39" i="6"/>
  <c r="L39" i="6"/>
  <c r="M39" i="6"/>
  <c r="N39" i="6"/>
  <c r="A40" i="6"/>
  <c r="B40" i="6"/>
  <c r="C40" i="6"/>
  <c r="D40" i="6"/>
  <c r="E40" i="6"/>
  <c r="F40" i="6"/>
  <c r="G40" i="6"/>
  <c r="H40" i="6"/>
  <c r="I40" i="6"/>
  <c r="J40" i="6"/>
  <c r="K40" i="6"/>
  <c r="L40" i="6"/>
  <c r="M40" i="6"/>
  <c r="N40" i="6"/>
  <c r="A41" i="6"/>
  <c r="B41" i="6"/>
  <c r="C41" i="6"/>
  <c r="D41" i="6"/>
  <c r="E41" i="6"/>
  <c r="F41" i="6"/>
  <c r="G41" i="6"/>
  <c r="H41" i="6"/>
  <c r="I41" i="6"/>
  <c r="J41" i="6"/>
  <c r="K41" i="6"/>
  <c r="L41" i="6"/>
  <c r="M41" i="6"/>
  <c r="N41" i="6"/>
  <c r="A42" i="6"/>
  <c r="B42" i="6"/>
  <c r="C42" i="6"/>
  <c r="D42" i="6"/>
  <c r="E42" i="6"/>
  <c r="F42" i="6"/>
  <c r="G42" i="6"/>
  <c r="H42" i="6"/>
  <c r="I42" i="6"/>
  <c r="J42" i="6"/>
  <c r="K42" i="6"/>
  <c r="L42" i="6"/>
  <c r="M42" i="6"/>
  <c r="N42" i="6"/>
  <c r="A43" i="6"/>
  <c r="B43" i="6"/>
  <c r="C43" i="6"/>
  <c r="D43" i="6"/>
  <c r="E43" i="6"/>
  <c r="F43" i="6"/>
  <c r="G43" i="6"/>
  <c r="H43" i="6"/>
  <c r="I43" i="6"/>
  <c r="J43" i="6"/>
  <c r="K43" i="6"/>
  <c r="L43" i="6"/>
  <c r="M43" i="6"/>
  <c r="N43" i="6"/>
  <c r="A44" i="6"/>
  <c r="B44" i="6"/>
  <c r="C44" i="6"/>
  <c r="D44" i="6"/>
  <c r="E44" i="6"/>
  <c r="F44" i="6"/>
  <c r="G44" i="6"/>
  <c r="H44" i="6"/>
  <c r="I44" i="6"/>
  <c r="J44" i="6"/>
  <c r="K44" i="6"/>
  <c r="L44" i="6"/>
  <c r="M44" i="6"/>
  <c r="N44" i="6"/>
  <c r="A45" i="6"/>
  <c r="B45" i="6"/>
  <c r="C45" i="6"/>
  <c r="D45" i="6"/>
  <c r="E45" i="6"/>
  <c r="F45" i="6"/>
  <c r="G45" i="6"/>
  <c r="H45" i="6"/>
  <c r="I45" i="6"/>
  <c r="J45" i="6"/>
  <c r="K45" i="6"/>
  <c r="L45" i="6"/>
  <c r="M45" i="6"/>
  <c r="N45" i="6"/>
  <c r="A46" i="6"/>
  <c r="B46" i="6"/>
  <c r="C46" i="6"/>
  <c r="D46" i="6"/>
  <c r="E46" i="6"/>
  <c r="F46" i="6"/>
  <c r="G46" i="6"/>
  <c r="H46" i="6"/>
  <c r="I46" i="6"/>
  <c r="J46" i="6"/>
  <c r="K46" i="6"/>
  <c r="L46" i="6"/>
  <c r="M46" i="6"/>
  <c r="N46" i="6"/>
  <c r="A47" i="6"/>
  <c r="B47" i="6"/>
  <c r="C47" i="6"/>
  <c r="D47" i="6"/>
  <c r="E47" i="6"/>
  <c r="F47" i="6"/>
  <c r="G47" i="6"/>
  <c r="H47" i="6"/>
  <c r="I47" i="6"/>
  <c r="J47" i="6"/>
  <c r="K47" i="6"/>
  <c r="L47" i="6"/>
  <c r="M47" i="6"/>
  <c r="N47" i="6"/>
  <c r="C2" i="6"/>
  <c r="D2" i="6"/>
  <c r="E2" i="6"/>
  <c r="F2" i="6"/>
  <c r="G2" i="6"/>
  <c r="H2" i="6"/>
  <c r="I2" i="6"/>
  <c r="J2" i="6"/>
  <c r="K2" i="6"/>
  <c r="L2" i="6"/>
  <c r="M2" i="6"/>
  <c r="N2" i="6"/>
  <c r="A2" i="6"/>
  <c r="B2" i="6"/>
  <c r="C2" i="4"/>
  <c r="D2" i="4"/>
  <c r="E2" i="4"/>
  <c r="F2" i="4"/>
  <c r="G2" i="4"/>
  <c r="H2" i="4"/>
  <c r="I2" i="4"/>
  <c r="J2" i="4"/>
  <c r="K2" i="4"/>
  <c r="L2" i="4"/>
  <c r="M2" i="4"/>
  <c r="N2" i="4"/>
  <c r="C3" i="4"/>
  <c r="D3" i="4"/>
  <c r="E3" i="4"/>
  <c r="F3" i="4"/>
  <c r="G3" i="4"/>
  <c r="AK2" i="4" s="1"/>
  <c r="H3" i="4"/>
  <c r="I3" i="4"/>
  <c r="J3" i="4"/>
  <c r="K3" i="4"/>
  <c r="L3" i="4"/>
  <c r="M3" i="4"/>
  <c r="N3" i="4"/>
  <c r="C4" i="4"/>
  <c r="D4" i="4"/>
  <c r="E4" i="4"/>
  <c r="F4" i="4"/>
  <c r="G4" i="4"/>
  <c r="H4" i="4"/>
  <c r="I4" i="4"/>
  <c r="J4" i="4"/>
  <c r="K4" i="4"/>
  <c r="L4" i="4"/>
  <c r="M4" i="4"/>
  <c r="N4" i="4"/>
  <c r="C5" i="4"/>
  <c r="D5" i="4"/>
  <c r="E5" i="4"/>
  <c r="F5" i="4"/>
  <c r="G5" i="4"/>
  <c r="H5" i="4"/>
  <c r="I5" i="4"/>
  <c r="J5" i="4"/>
  <c r="K5" i="4"/>
  <c r="L5" i="4"/>
  <c r="M5" i="4"/>
  <c r="N5" i="4"/>
  <c r="C6" i="4"/>
  <c r="D6" i="4"/>
  <c r="E6" i="4"/>
  <c r="F6" i="4"/>
  <c r="G6" i="4"/>
  <c r="H6" i="4"/>
  <c r="I6" i="4"/>
  <c r="J6" i="4"/>
  <c r="K6" i="4"/>
  <c r="L6" i="4"/>
  <c r="M6" i="4"/>
  <c r="N6" i="4"/>
  <c r="C7" i="4"/>
  <c r="D7" i="4"/>
  <c r="E7" i="4"/>
  <c r="F7" i="4"/>
  <c r="G7" i="4"/>
  <c r="H7" i="4"/>
  <c r="I7" i="4"/>
  <c r="J7" i="4"/>
  <c r="K7" i="4"/>
  <c r="L7" i="4"/>
  <c r="M7" i="4"/>
  <c r="N7" i="4"/>
  <c r="C8" i="4"/>
  <c r="D8" i="4"/>
  <c r="E8" i="4"/>
  <c r="F8" i="4"/>
  <c r="G8" i="4"/>
  <c r="H8" i="4"/>
  <c r="I8" i="4"/>
  <c r="J8" i="4"/>
  <c r="K8" i="4"/>
  <c r="L8" i="4"/>
  <c r="M8" i="4"/>
  <c r="N8" i="4"/>
  <c r="C9" i="4"/>
  <c r="D9" i="4"/>
  <c r="E9" i="4"/>
  <c r="F9" i="4"/>
  <c r="G9" i="4"/>
  <c r="H9" i="4"/>
  <c r="I9" i="4"/>
  <c r="J9" i="4"/>
  <c r="K9" i="4"/>
  <c r="L9" i="4"/>
  <c r="M9" i="4"/>
  <c r="N9" i="4"/>
  <c r="C10" i="4"/>
  <c r="D10" i="4"/>
  <c r="E10" i="4"/>
  <c r="F10" i="4"/>
  <c r="G10" i="4"/>
  <c r="H10" i="4"/>
  <c r="I10" i="4"/>
  <c r="J10" i="4"/>
  <c r="K10" i="4"/>
  <c r="L10" i="4"/>
  <c r="M10" i="4"/>
  <c r="N10" i="4"/>
  <c r="C11" i="4"/>
  <c r="D11" i="4"/>
  <c r="E11" i="4"/>
  <c r="F11" i="4"/>
  <c r="G11" i="4"/>
  <c r="H11" i="4"/>
  <c r="I11" i="4"/>
  <c r="J11" i="4"/>
  <c r="K11" i="4"/>
  <c r="L11" i="4"/>
  <c r="M11" i="4"/>
  <c r="N11" i="4"/>
  <c r="C12" i="4"/>
  <c r="D12" i="4"/>
  <c r="E12" i="4"/>
  <c r="F12" i="4"/>
  <c r="G12" i="4"/>
  <c r="H12" i="4"/>
  <c r="I12" i="4"/>
  <c r="J12" i="4"/>
  <c r="K12" i="4"/>
  <c r="L12" i="4"/>
  <c r="M12" i="4"/>
  <c r="N12" i="4"/>
  <c r="C13" i="4"/>
  <c r="D13" i="4"/>
  <c r="E13" i="4"/>
  <c r="F13" i="4"/>
  <c r="G13" i="4"/>
  <c r="H13" i="4"/>
  <c r="I13" i="4"/>
  <c r="J13" i="4"/>
  <c r="K13" i="4"/>
  <c r="L13" i="4"/>
  <c r="M13" i="4"/>
  <c r="N13" i="4"/>
  <c r="C14" i="4"/>
  <c r="D14" i="4"/>
  <c r="E14" i="4"/>
  <c r="F14" i="4"/>
  <c r="G14" i="4"/>
  <c r="H14" i="4"/>
  <c r="I14" i="4"/>
  <c r="J14" i="4"/>
  <c r="K14" i="4"/>
  <c r="L14" i="4"/>
  <c r="M14" i="4"/>
  <c r="N14" i="4"/>
  <c r="C15" i="4"/>
  <c r="D15" i="4"/>
  <c r="E15" i="4"/>
  <c r="F15" i="4"/>
  <c r="G15" i="4"/>
  <c r="H15" i="4"/>
  <c r="I15" i="4"/>
  <c r="J15" i="4"/>
  <c r="K15" i="4"/>
  <c r="L15" i="4"/>
  <c r="M15" i="4"/>
  <c r="N15" i="4"/>
  <c r="C16" i="4"/>
  <c r="D16" i="4"/>
  <c r="E16" i="4"/>
  <c r="F16" i="4"/>
  <c r="G16" i="4"/>
  <c r="H16" i="4"/>
  <c r="I16" i="4"/>
  <c r="J16" i="4"/>
  <c r="K16" i="4"/>
  <c r="L16" i="4"/>
  <c r="M16" i="4"/>
  <c r="N16" i="4"/>
  <c r="C17" i="4"/>
  <c r="D17" i="4"/>
  <c r="E17" i="4"/>
  <c r="F17" i="4"/>
  <c r="G17" i="4"/>
  <c r="H17" i="4"/>
  <c r="I17" i="4"/>
  <c r="J17" i="4"/>
  <c r="K17" i="4"/>
  <c r="L17" i="4"/>
  <c r="M17" i="4"/>
  <c r="N17" i="4"/>
  <c r="C18" i="4"/>
  <c r="D18" i="4"/>
  <c r="E18" i="4"/>
  <c r="F18" i="4"/>
  <c r="G18" i="4"/>
  <c r="H18" i="4"/>
  <c r="I18" i="4"/>
  <c r="J18" i="4"/>
  <c r="K18" i="4"/>
  <c r="L18" i="4"/>
  <c r="M18" i="4"/>
  <c r="N18" i="4"/>
  <c r="C19" i="4"/>
  <c r="D19" i="4"/>
  <c r="E19" i="4"/>
  <c r="F19" i="4"/>
  <c r="G19" i="4"/>
  <c r="AK18" i="4" s="1"/>
  <c r="H19" i="4"/>
  <c r="I19" i="4"/>
  <c r="J19" i="4"/>
  <c r="K19" i="4"/>
  <c r="L19" i="4"/>
  <c r="M19" i="4"/>
  <c r="N19" i="4"/>
  <c r="C20" i="4"/>
  <c r="D20" i="4"/>
  <c r="E20" i="4"/>
  <c r="F20" i="4"/>
  <c r="G20" i="4"/>
  <c r="H20" i="4"/>
  <c r="I20" i="4"/>
  <c r="J20" i="4"/>
  <c r="K20" i="4"/>
  <c r="L20" i="4"/>
  <c r="M20" i="4"/>
  <c r="N20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" i="4"/>
  <c r="AP3" i="4" l="1"/>
  <c r="AL6" i="4"/>
  <c r="AL4" i="4"/>
  <c r="AL14" i="4"/>
  <c r="AP7" i="4"/>
  <c r="AF19" i="4"/>
  <c r="AP10" i="4"/>
  <c r="Y11" i="4"/>
  <c r="Y9" i="4"/>
  <c r="Y7" i="4"/>
  <c r="Y5" i="4"/>
  <c r="Y3" i="4"/>
  <c r="AP19" i="4"/>
  <c r="AP15" i="4"/>
  <c r="AO17" i="4"/>
  <c r="AO16" i="4"/>
  <c r="AO11" i="4"/>
  <c r="AO9" i="4"/>
  <c r="AO7" i="4"/>
  <c r="AO5" i="4"/>
  <c r="Y2" i="4"/>
  <c r="Y13" i="4"/>
  <c r="AP6" i="4"/>
  <c r="AP4" i="4"/>
  <c r="AP11" i="4"/>
  <c r="AP9" i="4"/>
  <c r="AP2" i="4"/>
  <c r="AO19" i="4"/>
  <c r="AL5" i="4"/>
  <c r="AL3" i="4"/>
  <c r="AL16" i="4"/>
  <c r="AL7" i="4"/>
  <c r="W11" i="4"/>
  <c r="AL18" i="4"/>
  <c r="AL12" i="4"/>
  <c r="Y17" i="4"/>
  <c r="X8" i="4"/>
  <c r="Z13" i="4"/>
  <c r="X19" i="4"/>
  <c r="X15" i="4"/>
  <c r="X17" i="4"/>
  <c r="X13" i="4"/>
  <c r="AP8" i="4"/>
  <c r="AP14" i="4"/>
  <c r="Z5" i="4"/>
  <c r="Z9" i="4"/>
  <c r="AP5" i="4"/>
  <c r="Z14" i="4"/>
  <c r="W7" i="4"/>
  <c r="W9" i="4"/>
  <c r="W5" i="4"/>
  <c r="W3" i="4"/>
  <c r="AL8" i="4"/>
  <c r="AL2" i="4"/>
  <c r="AK17" i="4"/>
  <c r="AK8" i="4"/>
  <c r="AK4" i="4"/>
  <c r="V2" i="4"/>
  <c r="U18" i="4"/>
  <c r="U12" i="4"/>
  <c r="U10" i="4"/>
  <c r="U8" i="4"/>
  <c r="U2" i="4"/>
  <c r="U4" i="4"/>
  <c r="U6" i="4"/>
  <c r="AJ5" i="4"/>
  <c r="AJ4" i="4"/>
  <c r="AJ14" i="4"/>
  <c r="AJ8" i="4"/>
  <c r="T2" i="4"/>
  <c r="AJ12" i="4"/>
  <c r="AG5" i="4"/>
  <c r="AG3" i="4"/>
  <c r="R2" i="4"/>
  <c r="AF14" i="4"/>
  <c r="AF3" i="4"/>
  <c r="V11" i="4"/>
  <c r="V7" i="4"/>
  <c r="W15" i="4"/>
  <c r="AM14" i="4"/>
  <c r="AM11" i="4"/>
  <c r="W2" i="4"/>
  <c r="V18" i="4"/>
  <c r="AN19" i="4"/>
  <c r="AN17" i="4"/>
  <c r="AN11" i="4"/>
  <c r="AN5" i="4"/>
  <c r="V20" i="4"/>
  <c r="Z17" i="4"/>
  <c r="AL13" i="4"/>
  <c r="AL11" i="4"/>
  <c r="V3" i="4"/>
  <c r="AK15" i="4"/>
  <c r="AK13" i="4"/>
  <c r="AO4" i="4"/>
  <c r="AG2" i="4"/>
  <c r="V16" i="4"/>
  <c r="U20" i="4"/>
  <c r="AK14" i="4"/>
  <c r="T18" i="4"/>
  <c r="T14" i="4"/>
  <c r="T6" i="4"/>
  <c r="AO6" i="4"/>
  <c r="AN14" i="4"/>
  <c r="AN8" i="4"/>
  <c r="AN4" i="4"/>
  <c r="AL17" i="4"/>
  <c r="AP13" i="4"/>
  <c r="AL10" i="4"/>
  <c r="Z16" i="4"/>
  <c r="AO10" i="4"/>
  <c r="AP18" i="4"/>
  <c r="AM2" i="4"/>
  <c r="W12" i="4"/>
  <c r="AI19" i="4"/>
  <c r="AI11" i="4"/>
  <c r="AR14" i="4"/>
  <c r="AR11" i="4"/>
  <c r="AR4" i="4"/>
  <c r="AR2" i="4"/>
  <c r="AR19" i="4"/>
  <c r="AQ3" i="4"/>
  <c r="AR17" i="4"/>
  <c r="AQ4" i="4"/>
  <c r="U11" i="4"/>
  <c r="U3" i="4"/>
  <c r="AA17" i="4"/>
  <c r="V15" i="4"/>
  <c r="AO13" i="4"/>
  <c r="AO12" i="4"/>
  <c r="AK11" i="4"/>
  <c r="AK10" i="4"/>
  <c r="AK7" i="4"/>
  <c r="AK6" i="4"/>
  <c r="AO2" i="4"/>
  <c r="AL19" i="4"/>
  <c r="W20" i="4"/>
  <c r="AM18" i="4"/>
  <c r="W16" i="4"/>
  <c r="AM10" i="4"/>
  <c r="W8" i="4"/>
  <c r="AM6" i="4"/>
  <c r="W4" i="4"/>
  <c r="AK19" i="4"/>
  <c r="AL9" i="4"/>
  <c r="U7" i="4"/>
  <c r="AO15" i="4"/>
  <c r="AK12" i="4"/>
  <c r="AO8" i="4"/>
  <c r="AK3" i="4"/>
  <c r="Y10" i="4"/>
  <c r="AO3" i="4"/>
  <c r="AP12" i="4"/>
  <c r="Z18" i="4"/>
  <c r="Y12" i="4"/>
  <c r="AK9" i="4"/>
  <c r="AK5" i="4"/>
  <c r="AA14" i="4"/>
  <c r="AA12" i="4"/>
  <c r="AA10" i="4"/>
  <c r="T10" i="4"/>
  <c r="AA8" i="4"/>
  <c r="AA6" i="4"/>
  <c r="AA4" i="4"/>
  <c r="AA2" i="4"/>
  <c r="AF13" i="4"/>
  <c r="AI10" i="4"/>
  <c r="AH10" i="4"/>
  <c r="AH8" i="4"/>
  <c r="AH6" i="4"/>
  <c r="AG9" i="4"/>
  <c r="AG4" i="4"/>
  <c r="S18" i="4"/>
  <c r="S10" i="4"/>
  <c r="S6" i="4"/>
  <c r="AI16" i="4"/>
  <c r="AI8" i="4"/>
  <c r="AI4" i="4"/>
  <c r="AI3" i="4"/>
  <c r="AI14" i="4"/>
  <c r="AI18" i="4"/>
  <c r="AI13" i="4"/>
  <c r="Q5" i="4"/>
  <c r="R5" i="4"/>
  <c r="AF12" i="4"/>
  <c r="AF2" i="4"/>
  <c r="Q13" i="4"/>
  <c r="Q9" i="4"/>
  <c r="AF17" i="4"/>
  <c r="AF5" i="4"/>
  <c r="AF16" i="4"/>
  <c r="AF7" i="4"/>
  <c r="AH16" i="4"/>
  <c r="AG10" i="4"/>
  <c r="AG16" i="4"/>
  <c r="AR8" i="4"/>
  <c r="AR7" i="4"/>
  <c r="AR13" i="4"/>
  <c r="AB14" i="4"/>
  <c r="AQ19" i="4"/>
  <c r="AQ12" i="4"/>
  <c r="AQ14" i="4"/>
  <c r="AQ9" i="4"/>
  <c r="AQ17" i="4"/>
  <c r="AQ6" i="4"/>
  <c r="AQ11" i="4"/>
  <c r="AB18" i="4"/>
  <c r="AB10" i="4"/>
  <c r="AB6" i="4"/>
  <c r="AB2" i="4"/>
  <c r="AQ16" i="4"/>
  <c r="AA13" i="4"/>
  <c r="AQ8" i="4"/>
  <c r="AB17" i="4"/>
  <c r="AF18" i="4"/>
  <c r="AH5" i="4"/>
  <c r="S11" i="4"/>
  <c r="AF8" i="4"/>
  <c r="AH19" i="4"/>
  <c r="AH12" i="4"/>
  <c r="AH7" i="4"/>
  <c r="AH4" i="4"/>
  <c r="AH2" i="4"/>
  <c r="R16" i="4"/>
  <c r="AG8" i="4"/>
  <c r="AH15" i="4"/>
  <c r="Q17" i="4"/>
  <c r="R20" i="4"/>
  <c r="AG13" i="4"/>
  <c r="R17" i="4"/>
  <c r="AH14" i="4"/>
  <c r="R18" i="4"/>
  <c r="AG11" i="4"/>
  <c r="AH18" i="4"/>
  <c r="AG17" i="4"/>
  <c r="Q16" i="4"/>
  <c r="R14" i="4"/>
  <c r="R9" i="4"/>
  <c r="S8" i="4"/>
  <c r="S2" i="4"/>
  <c r="Q10" i="4"/>
  <c r="S12" i="4"/>
  <c r="AG19" i="4"/>
  <c r="S14" i="4"/>
  <c r="AH11" i="4"/>
  <c r="AG15" i="4"/>
  <c r="AH13" i="4"/>
  <c r="AF15" i="4"/>
  <c r="AG7" i="4"/>
  <c r="Q4" i="4"/>
  <c r="AH3" i="4"/>
  <c r="R13" i="4"/>
  <c r="Q8" i="4"/>
  <c r="AF11" i="4"/>
  <c r="AH9" i="4"/>
  <c r="AG6" i="4"/>
  <c r="S4" i="4"/>
  <c r="Q2" i="4"/>
  <c r="S7" i="4"/>
  <c r="AF4" i="4"/>
  <c r="AM19" i="4"/>
  <c r="AM15" i="4"/>
  <c r="AM12" i="4"/>
  <c r="AQ10" i="4"/>
  <c r="AM7" i="4"/>
  <c r="AM5" i="4"/>
  <c r="AM4" i="4"/>
  <c r="AM3" i="4"/>
  <c r="T19" i="4"/>
  <c r="T17" i="4"/>
  <c r="AN12" i="4"/>
  <c r="AJ7" i="4"/>
  <c r="AQ18" i="4"/>
  <c r="AI17" i="4"/>
  <c r="S17" i="4"/>
  <c r="AR10" i="4"/>
  <c r="AM8" i="4"/>
  <c r="AI2" i="4"/>
  <c r="AN6" i="4"/>
  <c r="AB15" i="4"/>
  <c r="S13" i="4"/>
  <c r="AM9" i="4"/>
  <c r="AI7" i="4"/>
  <c r="AI5" i="4"/>
  <c r="S5" i="4"/>
  <c r="AJ3" i="4"/>
  <c r="X16" i="4"/>
  <c r="AJ6" i="4"/>
  <c r="AM16" i="4"/>
  <c r="AJ15" i="4"/>
  <c r="AQ13" i="4"/>
  <c r="AI12" i="4"/>
  <c r="S9" i="4"/>
  <c r="AI6" i="4"/>
  <c r="AQ2" i="4"/>
  <c r="AI9" i="4"/>
  <c r="AR3" i="4"/>
  <c r="AN13" i="4"/>
  <c r="AQ7" i="4"/>
  <c r="AQ5" i="4"/>
  <c r="AJ2" i="4"/>
  <c r="Q12" i="4"/>
  <c r="Q20" i="4"/>
  <c r="AF10" i="4"/>
  <c r="Y20" i="4"/>
  <c r="AJ18" i="4"/>
  <c r="AR18" i="4"/>
  <c r="AR16" i="4"/>
  <c r="AP16" i="4"/>
  <c r="AJ13" i="4"/>
  <c r="U13" i="4"/>
  <c r="X12" i="4"/>
  <c r="AN10" i="4"/>
  <c r="X20" i="4"/>
  <c r="AJ17" i="4"/>
  <c r="AR15" i="4"/>
  <c r="U15" i="4"/>
  <c r="AR12" i="4"/>
  <c r="AR9" i="4"/>
  <c r="Y8" i="4"/>
  <c r="AN7" i="4"/>
  <c r="AN18" i="4"/>
  <c r="W19" i="4"/>
  <c r="AA18" i="4"/>
  <c r="T15" i="4"/>
  <c r="AJ11" i="4"/>
  <c r="AJ10" i="4"/>
  <c r="AR6" i="4"/>
  <c r="AR5" i="4"/>
  <c r="Y4" i="4"/>
  <c r="AN3" i="4"/>
  <c r="AB19" i="4"/>
  <c r="V19" i="4"/>
  <c r="X4" i="4"/>
  <c r="AN2" i="4"/>
  <c r="U19" i="4"/>
  <c r="AN15" i="4"/>
  <c r="AN9" i="4"/>
  <c r="AJ9" i="4"/>
  <c r="Y16" i="4"/>
  <c r="AJ16" i="4"/>
  <c r="AF6" i="4"/>
  <c r="Q6" i="4"/>
  <c r="AF9" i="4"/>
  <c r="AG12" i="4"/>
  <c r="V12" i="4"/>
  <c r="AB11" i="4"/>
  <c r="T11" i="4"/>
  <c r="Z10" i="4"/>
  <c r="R10" i="4"/>
  <c r="X9" i="4"/>
  <c r="V8" i="4"/>
  <c r="AB7" i="4"/>
  <c r="T7" i="4"/>
  <c r="Z6" i="4"/>
  <c r="R6" i="4"/>
  <c r="X5" i="4"/>
  <c r="V4" i="4"/>
  <c r="AB3" i="4"/>
  <c r="T3" i="4"/>
  <c r="Z2" i="4"/>
  <c r="AA19" i="4"/>
  <c r="S19" i="4"/>
  <c r="Y18" i="4"/>
  <c r="Q18" i="4"/>
  <c r="AP17" i="4"/>
  <c r="AH17" i="4"/>
  <c r="W17" i="4"/>
  <c r="AN16" i="4"/>
  <c r="U16" i="4"/>
  <c r="AL15" i="4"/>
  <c r="AA15" i="4"/>
  <c r="S15" i="4"/>
  <c r="Y14" i="4"/>
  <c r="Q14" i="4"/>
  <c r="W13" i="4"/>
  <c r="AA11" i="4"/>
  <c r="AA7" i="4"/>
  <c r="Y6" i="4"/>
  <c r="AA3" i="4"/>
  <c r="S3" i="4"/>
  <c r="AB16" i="4"/>
  <c r="Z15" i="4"/>
  <c r="R15" i="4"/>
  <c r="X14" i="4"/>
  <c r="V13" i="4"/>
  <c r="AB12" i="4"/>
  <c r="T12" i="4"/>
  <c r="Z11" i="4"/>
  <c r="R11" i="4"/>
  <c r="X10" i="4"/>
  <c r="V9" i="4"/>
  <c r="AB8" i="4"/>
  <c r="T8" i="4"/>
  <c r="Z7" i="4"/>
  <c r="R7" i="4"/>
  <c r="X6" i="4"/>
  <c r="V5" i="4"/>
  <c r="AB4" i="4"/>
  <c r="T4" i="4"/>
  <c r="Z3" i="4"/>
  <c r="R3" i="4"/>
  <c r="X2" i="4"/>
  <c r="AB20" i="4"/>
  <c r="T20" i="4"/>
  <c r="X18" i="4"/>
  <c r="V17" i="4"/>
  <c r="T16" i="4"/>
  <c r="AA20" i="4"/>
  <c r="S20" i="4"/>
  <c r="AJ19" i="4"/>
  <c r="Y19" i="4"/>
  <c r="Q19" i="4"/>
  <c r="W18" i="4"/>
  <c r="U17" i="4"/>
  <c r="AA16" i="4"/>
  <c r="S16" i="4"/>
  <c r="Y15" i="4"/>
  <c r="Q15" i="4"/>
  <c r="W14" i="4"/>
  <c r="Q11" i="4"/>
  <c r="W10" i="4"/>
  <c r="U9" i="4"/>
  <c r="Q7" i="4"/>
  <c r="W6" i="4"/>
  <c r="U5" i="4"/>
  <c r="Q3" i="4"/>
  <c r="Z19" i="4"/>
  <c r="R19" i="4"/>
  <c r="Z20" i="4"/>
  <c r="AO18" i="4"/>
  <c r="AG18" i="4"/>
  <c r="AM17" i="4"/>
  <c r="AK16" i="4"/>
  <c r="AQ15" i="4"/>
  <c r="AI15" i="4"/>
  <c r="AO14" i="4"/>
  <c r="AG14" i="4"/>
  <c r="V14" i="4"/>
  <c r="AM13" i="4"/>
  <c r="AB13" i="4"/>
  <c r="T13" i="4"/>
  <c r="Z12" i="4"/>
  <c r="R12" i="4"/>
  <c r="X11" i="4"/>
  <c r="V10" i="4"/>
  <c r="AB9" i="4"/>
  <c r="T9" i="4"/>
  <c r="Z8" i="4"/>
  <c r="R8" i="4"/>
  <c r="X7" i="4"/>
  <c r="V6" i="4"/>
  <c r="AB5" i="4"/>
  <c r="T5" i="4"/>
  <c r="Z4" i="4"/>
  <c r="R4" i="4"/>
  <c r="X3" i="4"/>
  <c r="U14" i="4"/>
  <c r="AA9" i="4"/>
  <c r="AA5" i="4"/>
  <c r="N48" i="2" l="1"/>
  <c r="M48" i="2"/>
  <c r="M58" i="1" s="1"/>
  <c r="L48" i="2"/>
  <c r="K48" i="2"/>
  <c r="J48" i="2"/>
  <c r="I48" i="2"/>
  <c r="H48" i="2"/>
  <c r="G48" i="2"/>
  <c r="F48" i="2"/>
  <c r="E48" i="2"/>
  <c r="E58" i="1" s="1"/>
  <c r="D48" i="2"/>
  <c r="C48" i="2"/>
  <c r="B48" i="2"/>
  <c r="B49" i="1" s="1"/>
  <c r="B55" i="1" s="1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AB2" i="2"/>
  <c r="AA2" i="2"/>
  <c r="Z2" i="2"/>
  <c r="Y2" i="2"/>
  <c r="X2" i="2"/>
  <c r="W2" i="2"/>
  <c r="V2" i="2"/>
  <c r="U2" i="2"/>
  <c r="T2" i="2"/>
  <c r="S2" i="2"/>
  <c r="R2" i="2"/>
  <c r="Q2" i="2"/>
  <c r="P2" i="2"/>
  <c r="N57" i="1"/>
  <c r="M57" i="1"/>
  <c r="H57" i="1"/>
  <c r="G57" i="1"/>
  <c r="F57" i="1"/>
  <c r="E57" i="1"/>
  <c r="D57" i="1"/>
  <c r="C57" i="1"/>
  <c r="B57" i="1"/>
  <c r="N48" i="1"/>
  <c r="M48" i="1"/>
  <c r="H48" i="1"/>
  <c r="G48" i="1"/>
  <c r="F48" i="1"/>
  <c r="E48" i="1"/>
  <c r="D48" i="1"/>
  <c r="C48" i="1"/>
  <c r="B48" i="1"/>
  <c r="AA47" i="1"/>
  <c r="Z47" i="1"/>
  <c r="Y47" i="1"/>
  <c r="X47" i="1"/>
  <c r="W47" i="1"/>
  <c r="V47" i="1"/>
  <c r="U47" i="1"/>
  <c r="T47" i="1"/>
  <c r="S47" i="1"/>
  <c r="R47" i="1"/>
  <c r="Q47" i="1"/>
  <c r="P47" i="1"/>
  <c r="AO46" i="1"/>
  <c r="AN46" i="1"/>
  <c r="AM46" i="1"/>
  <c r="AL46" i="1"/>
  <c r="AK46" i="1"/>
  <c r="AJ46" i="1"/>
  <c r="AI46" i="1"/>
  <c r="AH46" i="1"/>
  <c r="AG46" i="1"/>
  <c r="AF46" i="1"/>
  <c r="AE46" i="1"/>
  <c r="AD46" i="1"/>
  <c r="AA46" i="1"/>
  <c r="Z46" i="1"/>
  <c r="Y46" i="1"/>
  <c r="X46" i="1"/>
  <c r="W46" i="1"/>
  <c r="V46" i="1"/>
  <c r="U46" i="1"/>
  <c r="T46" i="1"/>
  <c r="S46" i="1"/>
  <c r="R46" i="1"/>
  <c r="Q46" i="1"/>
  <c r="P46" i="1"/>
  <c r="AO45" i="1"/>
  <c r="AN45" i="1"/>
  <c r="AM45" i="1"/>
  <c r="AL45" i="1"/>
  <c r="AK45" i="1"/>
  <c r="AJ45" i="1"/>
  <c r="AI45" i="1"/>
  <c r="AH45" i="1"/>
  <c r="AG45" i="1"/>
  <c r="AF45" i="1"/>
  <c r="AE45" i="1"/>
  <c r="AD45" i="1"/>
  <c r="AC45" i="1"/>
  <c r="AA45" i="1"/>
  <c r="Z45" i="1"/>
  <c r="Y45" i="1"/>
  <c r="X45" i="1"/>
  <c r="W45" i="1"/>
  <c r="V45" i="1"/>
  <c r="U45" i="1"/>
  <c r="T45" i="1"/>
  <c r="S45" i="1"/>
  <c r="R45" i="1"/>
  <c r="Q45" i="1"/>
  <c r="P45" i="1"/>
  <c r="AO44" i="1"/>
  <c r="AN44" i="1"/>
  <c r="AM44" i="1"/>
  <c r="AL44" i="1"/>
  <c r="AK44" i="1"/>
  <c r="AJ44" i="1"/>
  <c r="AI44" i="1"/>
  <c r="AH44" i="1"/>
  <c r="AG44" i="1"/>
  <c r="AF44" i="1"/>
  <c r="AE44" i="1"/>
  <c r="AD44" i="1"/>
  <c r="AC44" i="1"/>
  <c r="AA44" i="1"/>
  <c r="Z44" i="1"/>
  <c r="Y44" i="1"/>
  <c r="X44" i="1"/>
  <c r="W44" i="1"/>
  <c r="V44" i="1"/>
  <c r="U44" i="1"/>
  <c r="T44" i="1"/>
  <c r="S44" i="1"/>
  <c r="R44" i="1"/>
  <c r="Q44" i="1"/>
  <c r="P44" i="1"/>
  <c r="AO43" i="1"/>
  <c r="AN43" i="1"/>
  <c r="AM43" i="1"/>
  <c r="AL43" i="1"/>
  <c r="AK43" i="1"/>
  <c r="AJ43" i="1"/>
  <c r="AI43" i="1"/>
  <c r="AH43" i="1"/>
  <c r="AG43" i="1"/>
  <c r="AF43" i="1"/>
  <c r="AE43" i="1"/>
  <c r="AD43" i="1"/>
  <c r="AC43" i="1"/>
  <c r="AA43" i="1"/>
  <c r="Z43" i="1"/>
  <c r="Y43" i="1"/>
  <c r="X43" i="1"/>
  <c r="W43" i="1"/>
  <c r="V43" i="1"/>
  <c r="U43" i="1"/>
  <c r="T43" i="1"/>
  <c r="S43" i="1"/>
  <c r="R43" i="1"/>
  <c r="Q43" i="1"/>
  <c r="P43" i="1"/>
  <c r="AO42" i="1"/>
  <c r="AN42" i="1"/>
  <c r="AM42" i="1"/>
  <c r="AL42" i="1"/>
  <c r="AK42" i="1"/>
  <c r="AJ42" i="1"/>
  <c r="AI42" i="1"/>
  <c r="AH42" i="1"/>
  <c r="AG42" i="1"/>
  <c r="AF42" i="1"/>
  <c r="AE42" i="1"/>
  <c r="AD42" i="1"/>
  <c r="AC42" i="1"/>
  <c r="AA42" i="1"/>
  <c r="Z42" i="1"/>
  <c r="Y42" i="1"/>
  <c r="X42" i="1"/>
  <c r="W42" i="1"/>
  <c r="V42" i="1"/>
  <c r="U42" i="1"/>
  <c r="T42" i="1"/>
  <c r="S42" i="1"/>
  <c r="R42" i="1"/>
  <c r="Q42" i="1"/>
  <c r="P42" i="1"/>
  <c r="AO41" i="1"/>
  <c r="AN41" i="1"/>
  <c r="AM41" i="1"/>
  <c r="AL41" i="1"/>
  <c r="AK41" i="1"/>
  <c r="AJ41" i="1"/>
  <c r="AI41" i="1"/>
  <c r="AH41" i="1"/>
  <c r="AG41" i="1"/>
  <c r="AF41" i="1"/>
  <c r="AE41" i="1"/>
  <c r="AD41" i="1"/>
  <c r="AC41" i="1"/>
  <c r="AA41" i="1"/>
  <c r="Z41" i="1"/>
  <c r="Y41" i="1"/>
  <c r="X41" i="1"/>
  <c r="W41" i="1"/>
  <c r="V41" i="1"/>
  <c r="U41" i="1"/>
  <c r="T41" i="1"/>
  <c r="S41" i="1"/>
  <c r="R41" i="1"/>
  <c r="Q41" i="1"/>
  <c r="P41" i="1"/>
  <c r="AO40" i="1"/>
  <c r="AN40" i="1"/>
  <c r="AM40" i="1"/>
  <c r="AL40" i="1"/>
  <c r="AK40" i="1"/>
  <c r="AJ40" i="1"/>
  <c r="AI40" i="1"/>
  <c r="AH40" i="1"/>
  <c r="AG40" i="1"/>
  <c r="AF40" i="1"/>
  <c r="AE40" i="1"/>
  <c r="AD40" i="1"/>
  <c r="AC40" i="1"/>
  <c r="AA40" i="1"/>
  <c r="Z40" i="1"/>
  <c r="Y40" i="1"/>
  <c r="X40" i="1"/>
  <c r="W40" i="1"/>
  <c r="V40" i="1"/>
  <c r="U40" i="1"/>
  <c r="T40" i="1"/>
  <c r="S40" i="1"/>
  <c r="R40" i="1"/>
  <c r="Q40" i="1"/>
  <c r="P40" i="1"/>
  <c r="AO39" i="1"/>
  <c r="AN39" i="1"/>
  <c r="AM39" i="1"/>
  <c r="AL39" i="1"/>
  <c r="AK39" i="1"/>
  <c r="AJ39" i="1"/>
  <c r="AI39" i="1"/>
  <c r="AH39" i="1"/>
  <c r="AG39" i="1"/>
  <c r="AF39" i="1"/>
  <c r="AE39" i="1"/>
  <c r="AD39" i="1"/>
  <c r="AC39" i="1"/>
  <c r="AA39" i="1"/>
  <c r="Z39" i="1"/>
  <c r="Y39" i="1"/>
  <c r="X39" i="1"/>
  <c r="W39" i="1"/>
  <c r="V39" i="1"/>
  <c r="U39" i="1"/>
  <c r="T39" i="1"/>
  <c r="S39" i="1"/>
  <c r="R39" i="1"/>
  <c r="Q39" i="1"/>
  <c r="P39" i="1"/>
  <c r="AO38" i="1"/>
  <c r="AN38" i="1"/>
  <c r="AM38" i="1"/>
  <c r="AL38" i="1"/>
  <c r="AK38" i="1"/>
  <c r="AJ38" i="1"/>
  <c r="AI38" i="1"/>
  <c r="AH38" i="1"/>
  <c r="AG38" i="1"/>
  <c r="AF38" i="1"/>
  <c r="AE38" i="1"/>
  <c r="AD38" i="1"/>
  <c r="AC38" i="1"/>
  <c r="AA38" i="1"/>
  <c r="Z38" i="1"/>
  <c r="Y38" i="1"/>
  <c r="X38" i="1"/>
  <c r="W38" i="1"/>
  <c r="V38" i="1"/>
  <c r="U38" i="1"/>
  <c r="T38" i="1"/>
  <c r="S38" i="1"/>
  <c r="R38" i="1"/>
  <c r="Q38" i="1"/>
  <c r="P38" i="1"/>
  <c r="AO37" i="1"/>
  <c r="AN37" i="1"/>
  <c r="AM37" i="1"/>
  <c r="AL37" i="1"/>
  <c r="AK37" i="1"/>
  <c r="AJ37" i="1"/>
  <c r="AI37" i="1"/>
  <c r="AH37" i="1"/>
  <c r="AG37" i="1"/>
  <c r="AF37" i="1"/>
  <c r="AE37" i="1"/>
  <c r="AD37" i="1"/>
  <c r="AC37" i="1"/>
  <c r="AA37" i="1"/>
  <c r="Z37" i="1"/>
  <c r="Y37" i="1"/>
  <c r="X37" i="1"/>
  <c r="W37" i="1"/>
  <c r="V37" i="1"/>
  <c r="U37" i="1"/>
  <c r="T37" i="1"/>
  <c r="S37" i="1"/>
  <c r="R37" i="1"/>
  <c r="Q37" i="1"/>
  <c r="P37" i="1"/>
  <c r="AO36" i="1"/>
  <c r="AN36" i="1"/>
  <c r="AM36" i="1"/>
  <c r="AL36" i="1"/>
  <c r="AK36" i="1"/>
  <c r="AJ36" i="1"/>
  <c r="AI36" i="1"/>
  <c r="AH36" i="1"/>
  <c r="AG36" i="1"/>
  <c r="AF36" i="1"/>
  <c r="AE36" i="1"/>
  <c r="AD36" i="1"/>
  <c r="AC36" i="1"/>
  <c r="AA36" i="1"/>
  <c r="Z36" i="1"/>
  <c r="Y36" i="1"/>
  <c r="X36" i="1"/>
  <c r="W36" i="1"/>
  <c r="V36" i="1"/>
  <c r="U36" i="1"/>
  <c r="T36" i="1"/>
  <c r="S36" i="1"/>
  <c r="R36" i="1"/>
  <c r="Q36" i="1"/>
  <c r="P36" i="1"/>
  <c r="AO35" i="1"/>
  <c r="AN35" i="1"/>
  <c r="AM35" i="1"/>
  <c r="AL35" i="1"/>
  <c r="AK35" i="1"/>
  <c r="AJ35" i="1"/>
  <c r="AI35" i="1"/>
  <c r="AH35" i="1"/>
  <c r="AG35" i="1"/>
  <c r="AF35" i="1"/>
  <c r="AE35" i="1"/>
  <c r="AD35" i="1"/>
  <c r="AC35" i="1"/>
  <c r="AA35" i="1"/>
  <c r="Z35" i="1"/>
  <c r="Y35" i="1"/>
  <c r="X35" i="1"/>
  <c r="W35" i="1"/>
  <c r="V35" i="1"/>
  <c r="U35" i="1"/>
  <c r="T35" i="1"/>
  <c r="S35" i="1"/>
  <c r="R35" i="1"/>
  <c r="Q35" i="1"/>
  <c r="P35" i="1"/>
  <c r="AO34" i="1"/>
  <c r="AN34" i="1"/>
  <c r="AM34" i="1"/>
  <c r="AL34" i="1"/>
  <c r="AK34" i="1"/>
  <c r="AJ34" i="1"/>
  <c r="AI34" i="1"/>
  <c r="AH34" i="1"/>
  <c r="AG34" i="1"/>
  <c r="AF34" i="1"/>
  <c r="AE34" i="1"/>
  <c r="AD34" i="1"/>
  <c r="AC34" i="1"/>
  <c r="AA34" i="1"/>
  <c r="Z34" i="1"/>
  <c r="Y34" i="1"/>
  <c r="X34" i="1"/>
  <c r="W34" i="1"/>
  <c r="V34" i="1"/>
  <c r="U34" i="1"/>
  <c r="T34" i="1"/>
  <c r="S34" i="1"/>
  <c r="R34" i="1"/>
  <c r="Q34" i="1"/>
  <c r="P34" i="1"/>
  <c r="AO33" i="1"/>
  <c r="AN33" i="1"/>
  <c r="AM33" i="1"/>
  <c r="AL33" i="1"/>
  <c r="AK33" i="1"/>
  <c r="AJ33" i="1"/>
  <c r="AI33" i="1"/>
  <c r="AH33" i="1"/>
  <c r="AG33" i="1"/>
  <c r="AF33" i="1"/>
  <c r="AE33" i="1"/>
  <c r="AD33" i="1"/>
  <c r="AC33" i="1"/>
  <c r="AA33" i="1"/>
  <c r="Z33" i="1"/>
  <c r="Y33" i="1"/>
  <c r="X33" i="1"/>
  <c r="W33" i="1"/>
  <c r="V33" i="1"/>
  <c r="U33" i="1"/>
  <c r="T33" i="1"/>
  <c r="S33" i="1"/>
  <c r="R33" i="1"/>
  <c r="Q33" i="1"/>
  <c r="P33" i="1"/>
  <c r="AO32" i="1"/>
  <c r="AN32" i="1"/>
  <c r="AM32" i="1"/>
  <c r="AL32" i="1"/>
  <c r="AK32" i="1"/>
  <c r="AJ32" i="1"/>
  <c r="AI32" i="1"/>
  <c r="AH32" i="1"/>
  <c r="AG32" i="1"/>
  <c r="AF32" i="1"/>
  <c r="AE32" i="1"/>
  <c r="AD32" i="1"/>
  <c r="AC32" i="1"/>
  <c r="AA32" i="1"/>
  <c r="Z32" i="1"/>
  <c r="Y32" i="1"/>
  <c r="X32" i="1"/>
  <c r="W32" i="1"/>
  <c r="V32" i="1"/>
  <c r="U32" i="1"/>
  <c r="T32" i="1"/>
  <c r="S32" i="1"/>
  <c r="R32" i="1"/>
  <c r="Q32" i="1"/>
  <c r="P32" i="1"/>
  <c r="AO31" i="1"/>
  <c r="AN31" i="1"/>
  <c r="AM31" i="1"/>
  <c r="AL31" i="1"/>
  <c r="AK31" i="1"/>
  <c r="AJ31" i="1"/>
  <c r="AI31" i="1"/>
  <c r="AH31" i="1"/>
  <c r="AG31" i="1"/>
  <c r="AF31" i="1"/>
  <c r="AE31" i="1"/>
  <c r="AD31" i="1"/>
  <c r="AC31" i="1"/>
  <c r="AA31" i="1"/>
  <c r="Z31" i="1"/>
  <c r="Y31" i="1"/>
  <c r="X31" i="1"/>
  <c r="W31" i="1"/>
  <c r="V31" i="1"/>
  <c r="U31" i="1"/>
  <c r="T31" i="1"/>
  <c r="S31" i="1"/>
  <c r="R31" i="1"/>
  <c r="Q31" i="1"/>
  <c r="P31" i="1"/>
  <c r="AO30" i="1"/>
  <c r="AN30" i="1"/>
  <c r="AM30" i="1"/>
  <c r="AL30" i="1"/>
  <c r="AK30" i="1"/>
  <c r="AJ30" i="1"/>
  <c r="AI30" i="1"/>
  <c r="AH30" i="1"/>
  <c r="AG30" i="1"/>
  <c r="AF30" i="1"/>
  <c r="AE30" i="1"/>
  <c r="AD30" i="1"/>
  <c r="AC30" i="1"/>
  <c r="AA30" i="1"/>
  <c r="Z30" i="1"/>
  <c r="Y30" i="1"/>
  <c r="X30" i="1"/>
  <c r="W30" i="1"/>
  <c r="V30" i="1"/>
  <c r="U30" i="1"/>
  <c r="T30" i="1"/>
  <c r="S30" i="1"/>
  <c r="R30" i="1"/>
  <c r="Q30" i="1"/>
  <c r="P30" i="1"/>
  <c r="AO29" i="1"/>
  <c r="AN29" i="1"/>
  <c r="AM29" i="1"/>
  <c r="AL29" i="1"/>
  <c r="AK29" i="1"/>
  <c r="AJ29" i="1"/>
  <c r="AI29" i="1"/>
  <c r="AH29" i="1"/>
  <c r="AG29" i="1"/>
  <c r="AF29" i="1"/>
  <c r="AE29" i="1"/>
  <c r="AD29" i="1"/>
  <c r="AC29" i="1"/>
  <c r="AA29" i="1"/>
  <c r="Z29" i="1"/>
  <c r="Y29" i="1"/>
  <c r="X29" i="1"/>
  <c r="W29" i="1"/>
  <c r="V29" i="1"/>
  <c r="U29" i="1"/>
  <c r="T29" i="1"/>
  <c r="S29" i="1"/>
  <c r="R29" i="1"/>
  <c r="Q29" i="1"/>
  <c r="P29" i="1"/>
  <c r="AO28" i="1"/>
  <c r="AN28" i="1"/>
  <c r="AM28" i="1"/>
  <c r="AL28" i="1"/>
  <c r="AK28" i="1"/>
  <c r="AJ28" i="1"/>
  <c r="AI28" i="1"/>
  <c r="AH28" i="1"/>
  <c r="AG28" i="1"/>
  <c r="AF28" i="1"/>
  <c r="AE28" i="1"/>
  <c r="AD28" i="1"/>
  <c r="AC28" i="1"/>
  <c r="AA28" i="1"/>
  <c r="Z28" i="1"/>
  <c r="Y28" i="1"/>
  <c r="X28" i="1"/>
  <c r="W28" i="1"/>
  <c r="V28" i="1"/>
  <c r="U28" i="1"/>
  <c r="T28" i="1"/>
  <c r="S28" i="1"/>
  <c r="R28" i="1"/>
  <c r="Q28" i="1"/>
  <c r="P28" i="1"/>
  <c r="AO27" i="1"/>
  <c r="AN27" i="1"/>
  <c r="AM27" i="1"/>
  <c r="AL27" i="1"/>
  <c r="AK27" i="1"/>
  <c r="AJ27" i="1"/>
  <c r="AI27" i="1"/>
  <c r="AH27" i="1"/>
  <c r="AG27" i="1"/>
  <c r="AF27" i="1"/>
  <c r="AE27" i="1"/>
  <c r="AD27" i="1"/>
  <c r="AC27" i="1"/>
  <c r="AA27" i="1"/>
  <c r="Z27" i="1"/>
  <c r="Y27" i="1"/>
  <c r="X27" i="1"/>
  <c r="W27" i="1"/>
  <c r="V27" i="1"/>
  <c r="U27" i="1"/>
  <c r="T27" i="1"/>
  <c r="S27" i="1"/>
  <c r="R27" i="1"/>
  <c r="Q27" i="1"/>
  <c r="P27" i="1"/>
  <c r="AO26" i="1"/>
  <c r="AN26" i="1"/>
  <c r="AM26" i="1"/>
  <c r="AL26" i="1"/>
  <c r="AK26" i="1"/>
  <c r="AJ26" i="1"/>
  <c r="AI26" i="1"/>
  <c r="AH26" i="1"/>
  <c r="AG26" i="1"/>
  <c r="AF26" i="1"/>
  <c r="AE26" i="1"/>
  <c r="AD26" i="1"/>
  <c r="AC26" i="1"/>
  <c r="AA26" i="1"/>
  <c r="Z26" i="1"/>
  <c r="Y26" i="1"/>
  <c r="X26" i="1"/>
  <c r="W26" i="1"/>
  <c r="V26" i="1"/>
  <c r="U26" i="1"/>
  <c r="T26" i="1"/>
  <c r="S26" i="1"/>
  <c r="R26" i="1"/>
  <c r="Q26" i="1"/>
  <c r="P26" i="1"/>
  <c r="AO25" i="1"/>
  <c r="AN25" i="1"/>
  <c r="AM25" i="1"/>
  <c r="AL25" i="1"/>
  <c r="AK25" i="1"/>
  <c r="AJ25" i="1"/>
  <c r="AI25" i="1"/>
  <c r="AH25" i="1"/>
  <c r="AG25" i="1"/>
  <c r="AF25" i="1"/>
  <c r="AE25" i="1"/>
  <c r="AD25" i="1"/>
  <c r="AC25" i="1"/>
  <c r="AA25" i="1"/>
  <c r="Z25" i="1"/>
  <c r="Y25" i="1"/>
  <c r="X25" i="1"/>
  <c r="W25" i="1"/>
  <c r="V25" i="1"/>
  <c r="U25" i="1"/>
  <c r="T25" i="1"/>
  <c r="S25" i="1"/>
  <c r="R25" i="1"/>
  <c r="Q25" i="1"/>
  <c r="P25" i="1"/>
  <c r="AO24" i="1"/>
  <c r="AN24" i="1"/>
  <c r="AM24" i="1"/>
  <c r="AL24" i="1"/>
  <c r="AK24" i="1"/>
  <c r="AJ24" i="1"/>
  <c r="AI24" i="1"/>
  <c r="AH24" i="1"/>
  <c r="AG24" i="1"/>
  <c r="AF24" i="1"/>
  <c r="AE24" i="1"/>
  <c r="AD24" i="1"/>
  <c r="AC24" i="1"/>
  <c r="AA24" i="1"/>
  <c r="Z24" i="1"/>
  <c r="Y24" i="1"/>
  <c r="X24" i="1"/>
  <c r="W24" i="1"/>
  <c r="V24" i="1"/>
  <c r="U24" i="1"/>
  <c r="T24" i="1"/>
  <c r="S24" i="1"/>
  <c r="R24" i="1"/>
  <c r="Q24" i="1"/>
  <c r="P24" i="1"/>
  <c r="AO23" i="1"/>
  <c r="AN23" i="1"/>
  <c r="AM23" i="1"/>
  <c r="AL23" i="1"/>
  <c r="AK23" i="1"/>
  <c r="AJ23" i="1"/>
  <c r="AI23" i="1"/>
  <c r="AH23" i="1"/>
  <c r="AG23" i="1"/>
  <c r="AF23" i="1"/>
  <c r="AE23" i="1"/>
  <c r="AD23" i="1"/>
  <c r="AC23" i="1"/>
  <c r="AA23" i="1"/>
  <c r="Z23" i="1"/>
  <c r="Y23" i="1"/>
  <c r="X23" i="1"/>
  <c r="W23" i="1"/>
  <c r="V23" i="1"/>
  <c r="U23" i="1"/>
  <c r="T23" i="1"/>
  <c r="S23" i="1"/>
  <c r="R23" i="1"/>
  <c r="Q23" i="1"/>
  <c r="P23" i="1"/>
  <c r="AO22" i="1"/>
  <c r="AN22" i="1"/>
  <c r="AM22" i="1"/>
  <c r="AL22" i="1"/>
  <c r="AK22" i="1"/>
  <c r="AJ22" i="1"/>
  <c r="AI22" i="1"/>
  <c r="AH22" i="1"/>
  <c r="AG22" i="1"/>
  <c r="AF22" i="1"/>
  <c r="AE22" i="1"/>
  <c r="AD22" i="1"/>
  <c r="AC22" i="1"/>
  <c r="AA22" i="1"/>
  <c r="Z22" i="1"/>
  <c r="Y22" i="1"/>
  <c r="X22" i="1"/>
  <c r="W22" i="1"/>
  <c r="V22" i="1"/>
  <c r="U22" i="1"/>
  <c r="T22" i="1"/>
  <c r="S22" i="1"/>
  <c r="R22" i="1"/>
  <c r="Q22" i="1"/>
  <c r="P22" i="1"/>
  <c r="AO21" i="1"/>
  <c r="AN21" i="1"/>
  <c r="AM21" i="1"/>
  <c r="AL21" i="1"/>
  <c r="AK21" i="1"/>
  <c r="AJ21" i="1"/>
  <c r="AI21" i="1"/>
  <c r="AH21" i="1"/>
  <c r="AG21" i="1"/>
  <c r="AF21" i="1"/>
  <c r="AE21" i="1"/>
  <c r="AD21" i="1"/>
  <c r="AC21" i="1"/>
  <c r="AA21" i="1"/>
  <c r="Z21" i="1"/>
  <c r="Y21" i="1"/>
  <c r="X21" i="1"/>
  <c r="W21" i="1"/>
  <c r="V21" i="1"/>
  <c r="U21" i="1"/>
  <c r="T21" i="1"/>
  <c r="S21" i="1"/>
  <c r="R21" i="1"/>
  <c r="Q21" i="1"/>
  <c r="P21" i="1"/>
  <c r="AO20" i="1"/>
  <c r="AN20" i="1"/>
  <c r="AM20" i="1"/>
  <c r="AL20" i="1"/>
  <c r="AK20" i="1"/>
  <c r="AJ20" i="1"/>
  <c r="AI20" i="1"/>
  <c r="AH20" i="1"/>
  <c r="AG20" i="1"/>
  <c r="AF20" i="1"/>
  <c r="AE20" i="1"/>
  <c r="AD20" i="1"/>
  <c r="AC20" i="1"/>
  <c r="AA20" i="1"/>
  <c r="Z20" i="1"/>
  <c r="Y20" i="1"/>
  <c r="X20" i="1"/>
  <c r="W20" i="1"/>
  <c r="V20" i="1"/>
  <c r="U20" i="1"/>
  <c r="T20" i="1"/>
  <c r="S20" i="1"/>
  <c r="R20" i="1"/>
  <c r="Q20" i="1"/>
  <c r="P20" i="1"/>
  <c r="AO19" i="1"/>
  <c r="AN19" i="1"/>
  <c r="AM19" i="1"/>
  <c r="AL19" i="1"/>
  <c r="AK19" i="1"/>
  <c r="AJ19" i="1"/>
  <c r="AI19" i="1"/>
  <c r="AH19" i="1"/>
  <c r="AG19" i="1"/>
  <c r="AF19" i="1"/>
  <c r="AE19" i="1"/>
  <c r="AD19" i="1"/>
  <c r="AC19" i="1"/>
  <c r="AA19" i="1"/>
  <c r="Z19" i="1"/>
  <c r="Y19" i="1"/>
  <c r="X19" i="1"/>
  <c r="W19" i="1"/>
  <c r="V19" i="1"/>
  <c r="U19" i="1"/>
  <c r="T19" i="1"/>
  <c r="S19" i="1"/>
  <c r="R19" i="1"/>
  <c r="Q19" i="1"/>
  <c r="P19" i="1"/>
  <c r="AO18" i="1"/>
  <c r="AN18" i="1"/>
  <c r="AM18" i="1"/>
  <c r="AL18" i="1"/>
  <c r="AK18" i="1"/>
  <c r="AJ18" i="1"/>
  <c r="AI18" i="1"/>
  <c r="AH18" i="1"/>
  <c r="AG18" i="1"/>
  <c r="AF18" i="1"/>
  <c r="AE18" i="1"/>
  <c r="AD18" i="1"/>
  <c r="AC18" i="1"/>
  <c r="AA18" i="1"/>
  <c r="Z18" i="1"/>
  <c r="Y18" i="1"/>
  <c r="X18" i="1"/>
  <c r="W18" i="1"/>
  <c r="V18" i="1"/>
  <c r="U18" i="1"/>
  <c r="T18" i="1"/>
  <c r="S18" i="1"/>
  <c r="R18" i="1"/>
  <c r="Q18" i="1"/>
  <c r="P18" i="1"/>
  <c r="AO17" i="1"/>
  <c r="AN17" i="1"/>
  <c r="AM17" i="1"/>
  <c r="AL17" i="1"/>
  <c r="AK17" i="1"/>
  <c r="AJ17" i="1"/>
  <c r="AI17" i="1"/>
  <c r="AH17" i="1"/>
  <c r="AG17" i="1"/>
  <c r="AF17" i="1"/>
  <c r="AE17" i="1"/>
  <c r="AD17" i="1"/>
  <c r="AC17" i="1"/>
  <c r="AA17" i="1"/>
  <c r="Z17" i="1"/>
  <c r="Y17" i="1"/>
  <c r="X17" i="1"/>
  <c r="W17" i="1"/>
  <c r="V17" i="1"/>
  <c r="U17" i="1"/>
  <c r="T17" i="1"/>
  <c r="S17" i="1"/>
  <c r="R17" i="1"/>
  <c r="Q17" i="1"/>
  <c r="P17" i="1"/>
  <c r="AO16" i="1"/>
  <c r="AN16" i="1"/>
  <c r="AM16" i="1"/>
  <c r="AL16" i="1"/>
  <c r="AK16" i="1"/>
  <c r="AJ16" i="1"/>
  <c r="AI16" i="1"/>
  <c r="AH16" i="1"/>
  <c r="AG16" i="1"/>
  <c r="AF16" i="1"/>
  <c r="AE16" i="1"/>
  <c r="AD16" i="1"/>
  <c r="AC16" i="1"/>
  <c r="AA16" i="1"/>
  <c r="Z16" i="1"/>
  <c r="Y16" i="1"/>
  <c r="X16" i="1"/>
  <c r="W16" i="1"/>
  <c r="V16" i="1"/>
  <c r="U16" i="1"/>
  <c r="T16" i="1"/>
  <c r="S16" i="1"/>
  <c r="R16" i="1"/>
  <c r="Q16" i="1"/>
  <c r="P16" i="1"/>
  <c r="AO15" i="1"/>
  <c r="AN15" i="1"/>
  <c r="AM15" i="1"/>
  <c r="AL15" i="1"/>
  <c r="AK15" i="1"/>
  <c r="AJ15" i="1"/>
  <c r="AI15" i="1"/>
  <c r="AH15" i="1"/>
  <c r="AG15" i="1"/>
  <c r="AF15" i="1"/>
  <c r="AE15" i="1"/>
  <c r="AD15" i="1"/>
  <c r="AC15" i="1"/>
  <c r="AA15" i="1"/>
  <c r="Z15" i="1"/>
  <c r="Y15" i="1"/>
  <c r="X15" i="1"/>
  <c r="W15" i="1"/>
  <c r="V15" i="1"/>
  <c r="U15" i="1"/>
  <c r="T15" i="1"/>
  <c r="S15" i="1"/>
  <c r="R15" i="1"/>
  <c r="Q15" i="1"/>
  <c r="P15" i="1"/>
  <c r="AO14" i="1"/>
  <c r="AN14" i="1"/>
  <c r="AM14" i="1"/>
  <c r="AL14" i="1"/>
  <c r="AK14" i="1"/>
  <c r="AJ14" i="1"/>
  <c r="AI14" i="1"/>
  <c r="AH14" i="1"/>
  <c r="AG14" i="1"/>
  <c r="AF14" i="1"/>
  <c r="AE14" i="1"/>
  <c r="AD14" i="1"/>
  <c r="AC14" i="1"/>
  <c r="AA14" i="1"/>
  <c r="Z14" i="1"/>
  <c r="Y14" i="1"/>
  <c r="X14" i="1"/>
  <c r="W14" i="1"/>
  <c r="V14" i="1"/>
  <c r="U14" i="1"/>
  <c r="T14" i="1"/>
  <c r="S14" i="1"/>
  <c r="R14" i="1"/>
  <c r="Q14" i="1"/>
  <c r="P14" i="1"/>
  <c r="AO13" i="1"/>
  <c r="AN13" i="1"/>
  <c r="AM13" i="1"/>
  <c r="AL13" i="1"/>
  <c r="AK13" i="1"/>
  <c r="AJ13" i="1"/>
  <c r="AI13" i="1"/>
  <c r="AH13" i="1"/>
  <c r="AG13" i="1"/>
  <c r="AF13" i="1"/>
  <c r="AE13" i="1"/>
  <c r="AD13" i="1"/>
  <c r="AC13" i="1"/>
  <c r="AA13" i="1"/>
  <c r="Z13" i="1"/>
  <c r="Y13" i="1"/>
  <c r="X13" i="1"/>
  <c r="W13" i="1"/>
  <c r="V13" i="1"/>
  <c r="U13" i="1"/>
  <c r="T13" i="1"/>
  <c r="S13" i="1"/>
  <c r="R13" i="1"/>
  <c r="Q13" i="1"/>
  <c r="P13" i="1"/>
  <c r="AO12" i="1"/>
  <c r="AN12" i="1"/>
  <c r="AM12" i="1"/>
  <c r="AL12" i="1"/>
  <c r="AK12" i="1"/>
  <c r="AJ12" i="1"/>
  <c r="AI12" i="1"/>
  <c r="AH12" i="1"/>
  <c r="AG12" i="1"/>
  <c r="AF12" i="1"/>
  <c r="AE12" i="1"/>
  <c r="AD12" i="1"/>
  <c r="AC12" i="1"/>
  <c r="AA12" i="1"/>
  <c r="Z12" i="1"/>
  <c r="Y12" i="1"/>
  <c r="X12" i="1"/>
  <c r="W12" i="1"/>
  <c r="V12" i="1"/>
  <c r="U12" i="1"/>
  <c r="T12" i="1"/>
  <c r="S12" i="1"/>
  <c r="R12" i="1"/>
  <c r="Q12" i="1"/>
  <c r="P12" i="1"/>
  <c r="AO11" i="1"/>
  <c r="AN11" i="1"/>
  <c r="AM11" i="1"/>
  <c r="AL11" i="1"/>
  <c r="AK11" i="1"/>
  <c r="AJ11" i="1"/>
  <c r="AI11" i="1"/>
  <c r="AH11" i="1"/>
  <c r="AG11" i="1"/>
  <c r="AF11" i="1"/>
  <c r="AE11" i="1"/>
  <c r="AD11" i="1"/>
  <c r="AC11" i="1"/>
  <c r="AA11" i="1"/>
  <c r="Z11" i="1"/>
  <c r="Y11" i="1"/>
  <c r="X11" i="1"/>
  <c r="W11" i="1"/>
  <c r="V11" i="1"/>
  <c r="U11" i="1"/>
  <c r="T11" i="1"/>
  <c r="S11" i="1"/>
  <c r="R11" i="1"/>
  <c r="Q11" i="1"/>
  <c r="P11" i="1"/>
  <c r="AO10" i="1"/>
  <c r="AN10" i="1"/>
  <c r="AM10" i="1"/>
  <c r="AL10" i="1"/>
  <c r="AK10" i="1"/>
  <c r="AJ10" i="1"/>
  <c r="AI10" i="1"/>
  <c r="AH10" i="1"/>
  <c r="AG10" i="1"/>
  <c r="AF10" i="1"/>
  <c r="AE10" i="1"/>
  <c r="AD10" i="1"/>
  <c r="AC10" i="1"/>
  <c r="AA10" i="1"/>
  <c r="Z10" i="1"/>
  <c r="Y10" i="1"/>
  <c r="X10" i="1"/>
  <c r="W10" i="1"/>
  <c r="V10" i="1"/>
  <c r="U10" i="1"/>
  <c r="T10" i="1"/>
  <c r="S10" i="1"/>
  <c r="R10" i="1"/>
  <c r="Q10" i="1"/>
  <c r="P10" i="1"/>
  <c r="AO9" i="1"/>
  <c r="AN9" i="1"/>
  <c r="AM9" i="1"/>
  <c r="AL9" i="1"/>
  <c r="AK9" i="1"/>
  <c r="AJ9" i="1"/>
  <c r="AI9" i="1"/>
  <c r="AH9" i="1"/>
  <c r="AG9" i="1"/>
  <c r="AF9" i="1"/>
  <c r="AE9" i="1"/>
  <c r="AD9" i="1"/>
  <c r="AC9" i="1"/>
  <c r="AA9" i="1"/>
  <c r="Z9" i="1"/>
  <c r="Y9" i="1"/>
  <c r="X9" i="1"/>
  <c r="W9" i="1"/>
  <c r="V9" i="1"/>
  <c r="U9" i="1"/>
  <c r="T9" i="1"/>
  <c r="S9" i="1"/>
  <c r="R9" i="1"/>
  <c r="Q9" i="1"/>
  <c r="P9" i="1"/>
  <c r="AO8" i="1"/>
  <c r="AN8" i="1"/>
  <c r="AM8" i="1"/>
  <c r="AL8" i="1"/>
  <c r="AK8" i="1"/>
  <c r="AJ8" i="1"/>
  <c r="AI8" i="1"/>
  <c r="AH8" i="1"/>
  <c r="AG8" i="1"/>
  <c r="AF8" i="1"/>
  <c r="AE8" i="1"/>
  <c r="AD8" i="1"/>
  <c r="AC8" i="1"/>
  <c r="AA8" i="1"/>
  <c r="Z8" i="1"/>
  <c r="Y8" i="1"/>
  <c r="X8" i="1"/>
  <c r="W8" i="1"/>
  <c r="V8" i="1"/>
  <c r="U8" i="1"/>
  <c r="T8" i="1"/>
  <c r="S8" i="1"/>
  <c r="R8" i="1"/>
  <c r="Q8" i="1"/>
  <c r="P8" i="1"/>
  <c r="AO7" i="1"/>
  <c r="AN7" i="1"/>
  <c r="AM7" i="1"/>
  <c r="AL7" i="1"/>
  <c r="AK7" i="1"/>
  <c r="AJ7" i="1"/>
  <c r="AI7" i="1"/>
  <c r="AH7" i="1"/>
  <c r="AG7" i="1"/>
  <c r="AF7" i="1"/>
  <c r="AE7" i="1"/>
  <c r="AD7" i="1"/>
  <c r="AC7" i="1"/>
  <c r="AA7" i="1"/>
  <c r="Z7" i="1"/>
  <c r="Y7" i="1"/>
  <c r="X7" i="1"/>
  <c r="W7" i="1"/>
  <c r="V7" i="1"/>
  <c r="U7" i="1"/>
  <c r="T7" i="1"/>
  <c r="S7" i="1"/>
  <c r="R7" i="1"/>
  <c r="Q7" i="1"/>
  <c r="P7" i="1"/>
  <c r="AO6" i="1"/>
  <c r="AN6" i="1"/>
  <c r="AM6" i="1"/>
  <c r="AL6" i="1"/>
  <c r="AK6" i="1"/>
  <c r="AJ6" i="1"/>
  <c r="AI6" i="1"/>
  <c r="AH6" i="1"/>
  <c r="AG6" i="1"/>
  <c r="AF6" i="1"/>
  <c r="AE6" i="1"/>
  <c r="AD6" i="1"/>
  <c r="AC6" i="1"/>
  <c r="AA6" i="1"/>
  <c r="Z6" i="1"/>
  <c r="Y6" i="1"/>
  <c r="X6" i="1"/>
  <c r="W6" i="1"/>
  <c r="V6" i="1"/>
  <c r="U6" i="1"/>
  <c r="T6" i="1"/>
  <c r="S6" i="1"/>
  <c r="R6" i="1"/>
  <c r="Q6" i="1"/>
  <c r="P6" i="1"/>
  <c r="AO5" i="1"/>
  <c r="AN5" i="1"/>
  <c r="AM5" i="1"/>
  <c r="AL5" i="1"/>
  <c r="AK5" i="1"/>
  <c r="AJ5" i="1"/>
  <c r="AI5" i="1"/>
  <c r="AH5" i="1"/>
  <c r="AG5" i="1"/>
  <c r="AF5" i="1"/>
  <c r="AE5" i="1"/>
  <c r="AD5" i="1"/>
  <c r="AC5" i="1"/>
  <c r="AA5" i="1"/>
  <c r="Z5" i="1"/>
  <c r="Y5" i="1"/>
  <c r="X5" i="1"/>
  <c r="W5" i="1"/>
  <c r="V5" i="1"/>
  <c r="U5" i="1"/>
  <c r="T5" i="1"/>
  <c r="S5" i="1"/>
  <c r="R5" i="1"/>
  <c r="Q5" i="1"/>
  <c r="P5" i="1"/>
  <c r="AO4" i="1"/>
  <c r="AN4" i="1"/>
  <c r="AM4" i="1"/>
  <c r="AL4" i="1"/>
  <c r="AK4" i="1"/>
  <c r="AJ4" i="1"/>
  <c r="AI4" i="1"/>
  <c r="AH4" i="1"/>
  <c r="AG4" i="1"/>
  <c r="AF4" i="1"/>
  <c r="AE4" i="1"/>
  <c r="AD4" i="1"/>
  <c r="AC4" i="1"/>
  <c r="AA4" i="1"/>
  <c r="Z4" i="1"/>
  <c r="Y4" i="1"/>
  <c r="X4" i="1"/>
  <c r="W4" i="1"/>
  <c r="V4" i="1"/>
  <c r="U4" i="1"/>
  <c r="T4" i="1"/>
  <c r="S4" i="1"/>
  <c r="R4" i="1"/>
  <c r="Q4" i="1"/>
  <c r="P4" i="1"/>
  <c r="AO3" i="1"/>
  <c r="AN3" i="1"/>
  <c r="AM3" i="1"/>
  <c r="AL3" i="1"/>
  <c r="AK3" i="1"/>
  <c r="AJ3" i="1"/>
  <c r="AI3" i="1"/>
  <c r="AH3" i="1"/>
  <c r="AG3" i="1"/>
  <c r="AF3" i="1"/>
  <c r="AE3" i="1"/>
  <c r="AD3" i="1"/>
  <c r="AC3" i="1"/>
  <c r="AA3" i="1"/>
  <c r="Z3" i="1"/>
  <c r="Y3" i="1"/>
  <c r="X3" i="1"/>
  <c r="W3" i="1"/>
  <c r="V3" i="1"/>
  <c r="U3" i="1"/>
  <c r="T3" i="1"/>
  <c r="S3" i="1"/>
  <c r="R3" i="1"/>
  <c r="Q3" i="1"/>
  <c r="P3" i="1"/>
  <c r="AO2" i="1"/>
  <c r="AN2" i="1"/>
  <c r="AM2" i="1"/>
  <c r="AL2" i="1"/>
  <c r="AK2" i="1"/>
  <c r="AJ2" i="1"/>
  <c r="AI2" i="1"/>
  <c r="AH2" i="1"/>
  <c r="AG2" i="1"/>
  <c r="AF2" i="1"/>
  <c r="AE2" i="1"/>
  <c r="AD2" i="1"/>
  <c r="AA2" i="1"/>
  <c r="Z2" i="1"/>
  <c r="Y2" i="1"/>
  <c r="X2" i="1"/>
  <c r="W2" i="1"/>
  <c r="V2" i="1"/>
  <c r="U2" i="1"/>
  <c r="T2" i="1"/>
  <c r="S2" i="1"/>
  <c r="R2" i="1"/>
  <c r="Q2" i="1"/>
  <c r="I58" i="1" l="1"/>
  <c r="I49" i="1"/>
  <c r="J58" i="1"/>
  <c r="J49" i="1"/>
  <c r="K58" i="1"/>
  <c r="K49" i="1"/>
  <c r="L58" i="1"/>
  <c r="L49" i="1"/>
  <c r="H49" i="1"/>
  <c r="H53" i="1" s="1"/>
  <c r="F49" i="1"/>
  <c r="F55" i="1" s="1"/>
  <c r="G49" i="1"/>
  <c r="G55" i="1" s="1"/>
  <c r="I49" i="2"/>
  <c r="L49" i="2"/>
  <c r="G58" i="1"/>
  <c r="D49" i="2"/>
  <c r="N49" i="1"/>
  <c r="N53" i="1" s="1"/>
  <c r="B58" i="1"/>
  <c r="C49" i="1"/>
  <c r="C51" i="1" s="1"/>
  <c r="D49" i="1"/>
  <c r="D55" i="1" s="1"/>
  <c r="E49" i="1"/>
  <c r="E53" i="1" s="1"/>
  <c r="M49" i="1"/>
  <c r="M53" i="1" s="1"/>
  <c r="D58" i="1"/>
  <c r="G49" i="2"/>
  <c r="H49" i="2"/>
  <c r="H50" i="1" s="1"/>
  <c r="O48" i="2"/>
  <c r="B49" i="2"/>
  <c r="B50" i="1" s="1"/>
  <c r="B52" i="1" s="1"/>
  <c r="J49" i="2"/>
  <c r="E49" i="2"/>
  <c r="E50" i="1" s="1"/>
  <c r="M49" i="2"/>
  <c r="M59" i="1" s="1"/>
  <c r="F49" i="2"/>
  <c r="F50" i="1" s="1"/>
  <c r="N49" i="2"/>
  <c r="F58" i="1"/>
  <c r="N58" i="1"/>
  <c r="C49" i="2"/>
  <c r="C50" i="1" s="1"/>
  <c r="K49" i="2"/>
  <c r="C58" i="1"/>
  <c r="H58" i="1"/>
  <c r="O48" i="1"/>
  <c r="B53" i="1"/>
  <c r="B51" i="1"/>
  <c r="I50" i="1" l="1"/>
  <c r="I59" i="1"/>
  <c r="J50" i="1"/>
  <c r="J59" i="1"/>
  <c r="I51" i="1"/>
  <c r="I53" i="1"/>
  <c r="I55" i="1"/>
  <c r="L51" i="1"/>
  <c r="L53" i="1"/>
  <c r="L55" i="1"/>
  <c r="K50" i="1"/>
  <c r="K59" i="1"/>
  <c r="K51" i="1"/>
  <c r="K53" i="1"/>
  <c r="K55" i="1"/>
  <c r="J51" i="1"/>
  <c r="J53" i="1"/>
  <c r="J55" i="1"/>
  <c r="L50" i="1"/>
  <c r="L59" i="1"/>
  <c r="H55" i="1"/>
  <c r="H51" i="1"/>
  <c r="F51" i="1"/>
  <c r="F53" i="1"/>
  <c r="G53" i="1"/>
  <c r="G51" i="1"/>
  <c r="G50" i="1"/>
  <c r="G54" i="1" s="1"/>
  <c r="G59" i="1"/>
  <c r="N59" i="1"/>
  <c r="H59" i="1"/>
  <c r="D59" i="1"/>
  <c r="E55" i="1"/>
  <c r="E51" i="1"/>
  <c r="D53" i="1"/>
  <c r="E59" i="1"/>
  <c r="D50" i="1"/>
  <c r="D56" i="1" s="1"/>
  <c r="M55" i="1"/>
  <c r="M51" i="1"/>
  <c r="N51" i="1"/>
  <c r="N55" i="1"/>
  <c r="N50" i="1"/>
  <c r="N56" i="1" s="1"/>
  <c r="D51" i="1"/>
  <c r="O49" i="1"/>
  <c r="O51" i="1" s="1"/>
  <c r="C59" i="1"/>
  <c r="C55" i="1"/>
  <c r="F59" i="1"/>
  <c r="C53" i="1"/>
  <c r="B59" i="1"/>
  <c r="O49" i="2"/>
  <c r="M50" i="1"/>
  <c r="M52" i="1" s="1"/>
  <c r="C56" i="1"/>
  <c r="C52" i="1"/>
  <c r="C54" i="1"/>
  <c r="F56" i="1"/>
  <c r="F52" i="1"/>
  <c r="F54" i="1"/>
  <c r="B54" i="1"/>
  <c r="B56" i="1"/>
  <c r="E56" i="1"/>
  <c r="E52" i="1"/>
  <c r="E54" i="1"/>
  <c r="H54" i="1"/>
  <c r="H56" i="1"/>
  <c r="H52" i="1"/>
  <c r="I52" i="1" l="1"/>
  <c r="I54" i="1"/>
  <c r="I56" i="1"/>
  <c r="L52" i="1"/>
  <c r="L54" i="1"/>
  <c r="L56" i="1"/>
  <c r="K52" i="1"/>
  <c r="K54" i="1"/>
  <c r="K56" i="1"/>
  <c r="J52" i="1"/>
  <c r="J54" i="1"/>
  <c r="J56" i="1"/>
  <c r="O50" i="1"/>
  <c r="O54" i="1" s="1"/>
  <c r="G52" i="1"/>
  <c r="G56" i="1"/>
  <c r="D54" i="1"/>
  <c r="D52" i="1"/>
  <c r="N54" i="1"/>
  <c r="N52" i="1"/>
  <c r="O53" i="1"/>
  <c r="O55" i="1"/>
  <c r="M54" i="1"/>
  <c r="M56" i="1"/>
  <c r="O52" i="1" l="1"/>
  <c r="O56" i="1"/>
</calcChain>
</file>

<file path=xl/sharedStrings.xml><?xml version="1.0" encoding="utf-8"?>
<sst xmlns="http://schemas.openxmlformats.org/spreadsheetml/2006/main" count="943" uniqueCount="118">
  <si>
    <t>vctot</t>
  </si>
  <si>
    <t>ss1</t>
  </si>
  <si>
    <t>ss2</t>
  </si>
  <si>
    <t>ss3</t>
  </si>
  <si>
    <t>ss4</t>
  </si>
  <si>
    <t>ss5</t>
  </si>
  <si>
    <t>ss6</t>
  </si>
  <si>
    <t>ss7</t>
  </si>
  <si>
    <t>ss8</t>
  </si>
  <si>
    <t>ss9</t>
  </si>
  <si>
    <t>ss10</t>
  </si>
  <si>
    <t>ss11</t>
  </si>
  <si>
    <t>ss12</t>
  </si>
  <si>
    <t>ss13</t>
  </si>
  <si>
    <t>ReverseCross</t>
  </si>
  <si>
    <t>c1_2</t>
  </si>
  <si>
    <t>c2_3</t>
  </si>
  <si>
    <t>c3_4</t>
  </si>
  <si>
    <t>c4_5</t>
  </si>
  <si>
    <t>c5_6</t>
  </si>
  <si>
    <t>c6_7</t>
  </si>
  <si>
    <t>c7_8</t>
  </si>
  <si>
    <t>c8_9</t>
  </si>
  <si>
    <t>c9_10</t>
  </si>
  <si>
    <t>c10_11</t>
  </si>
  <si>
    <t>c11_12</t>
  </si>
  <si>
    <t>c12_13</t>
  </si>
  <si>
    <t>ReverseDown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</si>
  <si>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</si>
  <si>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</si>
  <si>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</si>
  <si>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</si>
  <si>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</si>
  <si>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</si>
  <si>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</si>
  <si>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</si>
  <si>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</si>
  <si>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</si>
  <si>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</si>
  <si>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</si>
  <si>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</si>
  <si>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QA</t>
  </si>
  <si>
    <t/>
  </si>
  <si>
    <t>RIGHT</t>
  </si>
  <si>
    <t>N</t>
  </si>
  <si>
    <t>MEAN</t>
  </si>
  <si>
    <t>SD</t>
  </si>
  <si>
    <t>IDEALm</t>
  </si>
  <si>
    <t>IDEALs</t>
  </si>
  <si>
    <t>STANDARDm</t>
  </si>
  <si>
    <t>STANDARDs</t>
  </si>
  <si>
    <t>EXCEPIONm</t>
  </si>
  <si>
    <t>EXCEPIONs</t>
  </si>
  <si>
    <t>N1</t>
  </si>
  <si>
    <t>MEAN1</t>
  </si>
  <si>
    <t>SD1</t>
  </si>
  <si>
    <t>SS_Sq</t>
  </si>
  <si>
    <t>ssq1</t>
  </si>
  <si>
    <t>ssq2</t>
  </si>
  <si>
    <t>ssq3</t>
  </si>
  <si>
    <t>ssq4</t>
  </si>
  <si>
    <t>ssq5</t>
  </si>
  <si>
    <t>ssq6</t>
  </si>
  <si>
    <t>ssq7</t>
  </si>
  <si>
    <t>ssq8</t>
  </si>
  <si>
    <t>ssq9</t>
  </si>
  <si>
    <t>ssq10</t>
  </si>
  <si>
    <t>ssq11</t>
  </si>
  <si>
    <t>ssq12</t>
  </si>
  <si>
    <t>ssq13</t>
  </si>
  <si>
    <t>.</t>
  </si>
  <si>
    <t>skew</t>
  </si>
  <si>
    <t>mean</t>
  </si>
  <si>
    <t>Obs</t>
  </si>
  <si>
    <t>_13</t>
  </si>
  <si>
    <t>_12</t>
  </si>
  <si>
    <t>_11</t>
  </si>
  <si>
    <t>_10</t>
  </si>
  <si>
    <t>_9</t>
  </si>
  <si>
    <t>_8</t>
  </si>
  <si>
    <t>_7</t>
  </si>
  <si>
    <t>_6</t>
  </si>
  <si>
    <t>_5</t>
  </si>
  <si>
    <t>_4</t>
  </si>
  <si>
    <t>_3</t>
  </si>
  <si>
    <t>_2</t>
  </si>
  <si>
    <t>_1</t>
  </si>
  <si>
    <t>Power</t>
  </si>
  <si>
    <t>type</t>
  </si>
  <si>
    <t>g13</t>
  </si>
  <si>
    <t>g12</t>
  </si>
  <si>
    <t>g11</t>
  </si>
  <si>
    <t>g10</t>
  </si>
  <si>
    <t>g9</t>
  </si>
  <si>
    <t>g8</t>
  </si>
  <si>
    <t>g7</t>
  </si>
  <si>
    <t>g6</t>
  </si>
  <si>
    <t>g5</t>
  </si>
  <si>
    <t>g4</t>
  </si>
  <si>
    <t>g3</t>
  </si>
  <si>
    <t>g2</t>
  </si>
  <si>
    <t>g1</t>
  </si>
  <si>
    <t>wais5_vc_raw</t>
  </si>
  <si>
    <t>wais5 norm (si)</t>
  </si>
  <si>
    <t>The MEANS Procedure</t>
  </si>
  <si>
    <t>Analysis Variable : vc_ss</t>
  </si>
  <si>
    <t>Mean</t>
  </si>
  <si>
    <t>Std Dev</t>
  </si>
  <si>
    <t>Minimum</t>
  </si>
  <si>
    <t>Maximum</t>
  </si>
  <si>
    <t>agegrp</t>
  </si>
  <si>
    <t>N Obs</t>
  </si>
  <si>
    <t>wais5 norm (vc)</t>
  </si>
  <si>
    <t>P_02</t>
  </si>
  <si>
    <t>P_16</t>
  </si>
  <si>
    <t>P_50</t>
  </si>
  <si>
    <t>P_84</t>
  </si>
  <si>
    <t>P_98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</si>
</sst>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8" x14ac:knownFonts="1">
    <font>
      <sz val="9.5"/>
      <color rgb="FF000000"/>
      <name val="Arial"/>
    </font>
    <font>
      <sz val="11"/>
      <color theme="1"/>
      <name val="Courier New"/>
      <family val="2"/>
      <scheme val="minor"/>
    </font>
    <font>
      <sz val="9.5"/>
      <color rgb="FF00000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8"/>
      <name val="Arial"/>
      <family val="2"/>
    </font>
    <font>
      <sz val="10"/>
      <color rgb="FF000000"/>
      <name val="Arial"/>
      <family val="2"/>
    </font>
    <font>
      <b/>
      <sz val="11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medium">
        <color rgb="FFC1C1C1"/>
      </left>
      <right/>
      <top style="medium">
        <color rgb="FFC1C1C1"/>
      </top>
      <bottom/>
      <diagonal/>
    </border>
    <border>
      <left/>
      <right/>
      <top style="medium">
        <color rgb="FFC1C1C1"/>
      </top>
      <bottom/>
      <diagonal/>
    </border>
    <border>
      <left style="medium">
        <color rgb="FFC1C1C1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28">
    <xf numFmtId="0" fontId="0" fillId="0" borderId="0" xfId="0" applyFont="1" applyFill="1" applyBorder="1" applyAlignment="1">
      <alignment horizontal="left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top" wrapText="1"/>
    </xf>
    <xf numFmtId="0" fontId="0" fillId="0" borderId="0" xfId="0"/>
    <xf numFmtId="0" fontId="3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top" wrapText="1"/>
    </xf>
    <xf numFmtId="164" fontId="4" fillId="0" borderId="0" xfId="0" applyNumberFormat="1" applyFont="1" applyAlignment="1">
      <alignment horizontal="center" vertical="top" wrapText="1"/>
    </xf>
    <xf numFmtId="0" fontId="0" fillId="0" borderId="0" xfId="0" applyAlignment="1">
      <alignment vertical="center"/>
    </xf>
    <xf numFmtId="0" fontId="1" fillId="0" borderId="0" xfId="1"/>
    <xf numFmtId="0" fontId="3" fillId="0" borderId="1" xfId="1" applyFont="1" applyBorder="1" applyAlignment="1">
      <alignment horizontal="center" vertical="top" wrapText="1"/>
    </xf>
    <xf numFmtId="0" fontId="3" fillId="0" borderId="3" xfId="1" applyFont="1" applyBorder="1" applyAlignment="1">
      <alignment horizontal="center" vertical="top" wrapText="1"/>
    </xf>
    <xf numFmtId="0" fontId="4" fillId="0" borderId="2" xfId="1" applyFont="1" applyBorder="1" applyAlignment="1">
      <alignment vertical="top" wrapText="1"/>
    </xf>
    <xf numFmtId="0" fontId="4" fillId="0" borderId="2" xfId="1" applyFont="1" applyBorder="1" applyAlignment="1">
      <alignment vertical="top"/>
    </xf>
    <xf numFmtId="0" fontId="4" fillId="0" borderId="0" xfId="1" applyFont="1" applyAlignment="1">
      <alignment vertical="top" wrapText="1"/>
    </xf>
    <xf numFmtId="0" fontId="3" fillId="0" borderId="2" xfId="1" applyFont="1" applyBorder="1" applyAlignment="1">
      <alignment horizontal="center" vertical="top" wrapText="1"/>
    </xf>
    <xf numFmtId="0" fontId="1" fillId="0" borderId="0" xfId="1" applyAlignment="1">
      <alignment horizontal="center"/>
    </xf>
    <xf numFmtId="0" fontId="4" fillId="0" borderId="2" xfId="1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6" fillId="0" borderId="1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center" vertical="top" wrapText="1"/>
    </xf>
    <xf numFmtId="0" fontId="6" fillId="0" borderId="0" xfId="0" applyFont="1" applyAlignment="1">
      <alignment horizontal="center"/>
    </xf>
    <xf numFmtId="0" fontId="6" fillId="0" borderId="3" xfId="0" applyFont="1" applyBorder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top" wrapText="1"/>
    </xf>
    <xf numFmtId="0" fontId="7" fillId="0" borderId="2" xfId="0" applyFont="1" applyBorder="1" applyAlignment="1">
      <alignment horizontal="center" vertical="top" wrapText="1"/>
    </xf>
    <xf numFmtId="0" fontId="0" fillId="2" borderId="0" xfId="0" applyFill="1"/>
    <xf numFmtId="165" fontId="4" fillId="0" borderId="0" xfId="0" applyNumberFormat="1" applyFont="1" applyAlignment="1">
      <alignment horizontal="center" vertical="top" wrapText="1"/>
    </xf>
  </cellXfs>
  <cellStyles count="2">
    <cellStyle name="Normal" xfId="0" builtinId="0"/>
    <cellStyle name="Normal 2" xfId="1" xr:uid="{E53C4D72-7E38-4FC4-AB53-C623DABE7404}"/>
  </cellStyles>
  <dxfs count="33"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6.xml"/><Relationship Id="rId3" Type="http://schemas.openxmlformats.org/officeDocument/2006/relationships/chartsheet" Target="chartsheets/sheet2.xml"/><Relationship Id="rId7" Type="http://schemas.openxmlformats.org/officeDocument/2006/relationships/worksheet" Target="worksheets/sheet5.xml"/><Relationship Id="rId12" Type="http://schemas.openxmlformats.org/officeDocument/2006/relationships/calcChain" Target="calcChain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4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3.xml"/><Relationship Id="rId10" Type="http://schemas.openxmlformats.org/officeDocument/2006/relationships/styles" Target="styles.xml"/><Relationship Id="rId4" Type="http://schemas.openxmlformats.org/officeDocument/2006/relationships/worksheet" Target="worksheets/sheet2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mean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control!$C$3:$O$3</c:f>
              <c:numCache>
                <c:formatCode>General</c:formatCode>
                <c:ptCount val="13"/>
                <c:pt idx="0">
                  <c:v>22.523599999999998</c:v>
                </c:pt>
                <c:pt idx="1">
                  <c:v>23.2683</c:v>
                </c:pt>
                <c:pt idx="2">
                  <c:v>24.447299999999998</c:v>
                </c:pt>
                <c:pt idx="3">
                  <c:v>25.8687</c:v>
                </c:pt>
                <c:pt idx="4">
                  <c:v>26.9985</c:v>
                </c:pt>
                <c:pt idx="5">
                  <c:v>28.1892</c:v>
                </c:pt>
                <c:pt idx="6">
                  <c:v>28.938600000000001</c:v>
                </c:pt>
                <c:pt idx="7">
                  <c:v>28.8734</c:v>
                </c:pt>
                <c:pt idx="8">
                  <c:v>28.383800000000001</c:v>
                </c:pt>
                <c:pt idx="9">
                  <c:v>27.8843</c:v>
                </c:pt>
                <c:pt idx="10">
                  <c:v>27.268999999999998</c:v>
                </c:pt>
                <c:pt idx="11">
                  <c:v>26.557500000000001</c:v>
                </c:pt>
                <c:pt idx="12">
                  <c:v>25.687100000000001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29-411D-AA2D-29E6ABF191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76645135"/>
        <c:axId val="1476274959"/>
      </c:lineChart>
      <c:catAx>
        <c:axId val="14766451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6274959"/>
        <c:crosses val="autoZero"/>
        <c:auto val="1"/>
        <c:lblAlgn val="ctr"/>
        <c:lblOffset val="100"/>
        <c:noMultiLvlLbl val="0"/>
      </c:catAx>
      <c:valAx>
        <c:axId val="1476274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6645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SD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control!$C$4:$O$4</c:f>
              <c:numCache>
                <c:formatCode>General</c:formatCode>
                <c:ptCount val="13"/>
                <c:pt idx="0">
                  <c:v>6.8007</c:v>
                </c:pt>
                <c:pt idx="1">
                  <c:v>6.9641999999999999</c:v>
                </c:pt>
                <c:pt idx="2">
                  <c:v>7.2190000000000003</c:v>
                </c:pt>
                <c:pt idx="3">
                  <c:v>7.5186999999999999</c:v>
                </c:pt>
                <c:pt idx="4">
                  <c:v>7.7497999999999996</c:v>
                </c:pt>
                <c:pt idx="5">
                  <c:v>7.9855999999999998</c:v>
                </c:pt>
                <c:pt idx="6">
                  <c:v>8.1356000000000002</c:v>
                </c:pt>
                <c:pt idx="7">
                  <c:v>8.1569000000000003</c:v>
                </c:pt>
                <c:pt idx="8">
                  <c:v>8.1272000000000002</c:v>
                </c:pt>
                <c:pt idx="9">
                  <c:v>8.1008999999999993</c:v>
                </c:pt>
                <c:pt idx="10">
                  <c:v>8.0786999999999995</c:v>
                </c:pt>
                <c:pt idx="11">
                  <c:v>8.0686999999999998</c:v>
                </c:pt>
                <c:pt idx="12">
                  <c:v>8.0815000000000001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E2-4154-B431-7AC601A063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8002383"/>
        <c:axId val="1574816207"/>
      </c:lineChart>
      <c:catAx>
        <c:axId val="157800238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4816207"/>
        <c:crosses val="autoZero"/>
        <c:auto val="1"/>
        <c:lblAlgn val="ctr"/>
        <c:lblOffset val="100"/>
        <c:noMultiLvlLbl val="0"/>
      </c:catAx>
      <c:valAx>
        <c:axId val="1574816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8002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skew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control!$C$5:$O$5</c:f>
              <c:numCache>
                <c:formatCode>General</c:formatCode>
                <c:ptCount val="13"/>
                <c:pt idx="0">
                  <c:v>-1.6199999999999999E-2</c:v>
                </c:pt>
                <c:pt idx="1">
                  <c:v>-0.19520000000000001</c:v>
                </c:pt>
                <c:pt idx="2">
                  <c:v>-0.42620000000000002</c:v>
                </c:pt>
                <c:pt idx="3">
                  <c:v>-0.61419999999999997</c:v>
                </c:pt>
                <c:pt idx="4">
                  <c:v>-0.68740000000000001</c:v>
                </c:pt>
                <c:pt idx="5">
                  <c:v>-0.68400000000000005</c:v>
                </c:pt>
                <c:pt idx="6">
                  <c:v>-0.63470000000000004</c:v>
                </c:pt>
                <c:pt idx="7">
                  <c:v>-0.63739999999999997</c:v>
                </c:pt>
                <c:pt idx="8">
                  <c:v>-0.65010000000000001</c:v>
                </c:pt>
                <c:pt idx="9">
                  <c:v>-0.62139999999999995</c:v>
                </c:pt>
                <c:pt idx="10">
                  <c:v>-0.51919999999999999</c:v>
                </c:pt>
                <c:pt idx="11">
                  <c:v>-0.29389999999999999</c:v>
                </c:pt>
                <c:pt idx="12">
                  <c:v>0.1686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C4-4984-89AA-902B8A493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5277295"/>
        <c:axId val="1574903855"/>
      </c:lineChart>
      <c:catAx>
        <c:axId val="16452772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4903855"/>
        <c:crosses val="autoZero"/>
        <c:auto val="1"/>
        <c:lblAlgn val="ctr"/>
        <c:lblOffset val="100"/>
        <c:noMultiLvlLbl val="0"/>
      </c:catAx>
      <c:valAx>
        <c:axId val="1574903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52772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handsmoothed!$B$1</c:f>
              <c:strCache>
                <c:ptCount val="1"/>
                <c:pt idx="0">
                  <c:v>ss1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handsmoothed!$A$2:$A$47</c:f>
              <c:numCache>
                <c:formatCode>General</c:formatCode>
                <c:ptCount val="4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</c:numCache>
            </c:numRef>
          </c:xVal>
          <c:yVal>
            <c:numRef>
              <c:f>handsmoothed!$B$2:$B$47</c:f>
              <c:numCache>
                <c:formatCode>General</c:formatCode>
                <c:ptCount val="46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6</c:v>
                </c:pt>
                <c:pt idx="13">
                  <c:v>6</c:v>
                </c:pt>
                <c:pt idx="14">
                  <c:v>7</c:v>
                </c:pt>
                <c:pt idx="15">
                  <c:v>7</c:v>
                </c:pt>
                <c:pt idx="16">
                  <c:v>8</c:v>
                </c:pt>
                <c:pt idx="17">
                  <c:v>8</c:v>
                </c:pt>
                <c:pt idx="18">
                  <c:v>9</c:v>
                </c:pt>
                <c:pt idx="19">
                  <c:v>9</c:v>
                </c:pt>
                <c:pt idx="20">
                  <c:v>9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11</c:v>
                </c:pt>
                <c:pt idx="25">
                  <c:v>11</c:v>
                </c:pt>
                <c:pt idx="26">
                  <c:v>12</c:v>
                </c:pt>
                <c:pt idx="27">
                  <c:v>12</c:v>
                </c:pt>
                <c:pt idx="28">
                  <c:v>13</c:v>
                </c:pt>
                <c:pt idx="29">
                  <c:v>13</c:v>
                </c:pt>
                <c:pt idx="30">
                  <c:v>14</c:v>
                </c:pt>
                <c:pt idx="31">
                  <c:v>14</c:v>
                </c:pt>
                <c:pt idx="32">
                  <c:v>15</c:v>
                </c:pt>
                <c:pt idx="33">
                  <c:v>16</c:v>
                </c:pt>
                <c:pt idx="34">
                  <c:v>16</c:v>
                </c:pt>
                <c:pt idx="35">
                  <c:v>17</c:v>
                </c:pt>
                <c:pt idx="36">
                  <c:v>17</c:v>
                </c:pt>
                <c:pt idx="37">
                  <c:v>18</c:v>
                </c:pt>
                <c:pt idx="38">
                  <c:v>18</c:v>
                </c:pt>
                <c:pt idx="39">
                  <c:v>18</c:v>
                </c:pt>
                <c:pt idx="40">
                  <c:v>19</c:v>
                </c:pt>
                <c:pt idx="41">
                  <c:v>19</c:v>
                </c:pt>
                <c:pt idx="42">
                  <c:v>19</c:v>
                </c:pt>
                <c:pt idx="43">
                  <c:v>19</c:v>
                </c:pt>
                <c:pt idx="44">
                  <c:v>19</c:v>
                </c:pt>
                <c:pt idx="45">
                  <c:v>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BA-4A11-A887-66B4E8CC844B}"/>
            </c:ext>
          </c:extLst>
        </c:ser>
        <c:ser>
          <c:idx val="1"/>
          <c:order val="1"/>
          <c:tx>
            <c:strRef>
              <c:f>handsmoothed!$C$1</c:f>
              <c:strCache>
                <c:ptCount val="1"/>
                <c:pt idx="0">
                  <c:v>ss2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handsmoothed!$A$2:$A$47</c:f>
              <c:numCache>
                <c:formatCode>General</c:formatCode>
                <c:ptCount val="4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</c:numCache>
            </c:numRef>
          </c:xVal>
          <c:yVal>
            <c:numRef>
              <c:f>handsmoothed!$C$2:$C$47</c:f>
              <c:numCache>
                <c:formatCode>General</c:formatCode>
                <c:ptCount val="4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5</c:v>
                </c:pt>
                <c:pt idx="12">
                  <c:v>5</c:v>
                </c:pt>
                <c:pt idx="13">
                  <c:v>6</c:v>
                </c:pt>
                <c:pt idx="14">
                  <c:v>6</c:v>
                </c:pt>
                <c:pt idx="15">
                  <c:v>7</c:v>
                </c:pt>
                <c:pt idx="16">
                  <c:v>7</c:v>
                </c:pt>
                <c:pt idx="17">
                  <c:v>8</c:v>
                </c:pt>
                <c:pt idx="18">
                  <c:v>8</c:v>
                </c:pt>
                <c:pt idx="19">
                  <c:v>8</c:v>
                </c:pt>
                <c:pt idx="20">
                  <c:v>9</c:v>
                </c:pt>
                <c:pt idx="21">
                  <c:v>9</c:v>
                </c:pt>
                <c:pt idx="22">
                  <c:v>9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11</c:v>
                </c:pt>
                <c:pt idx="27">
                  <c:v>11</c:v>
                </c:pt>
                <c:pt idx="28">
                  <c:v>12</c:v>
                </c:pt>
                <c:pt idx="29">
                  <c:v>12</c:v>
                </c:pt>
                <c:pt idx="30">
                  <c:v>13</c:v>
                </c:pt>
                <c:pt idx="31">
                  <c:v>13</c:v>
                </c:pt>
                <c:pt idx="32">
                  <c:v>14</c:v>
                </c:pt>
                <c:pt idx="33">
                  <c:v>14</c:v>
                </c:pt>
                <c:pt idx="34">
                  <c:v>15</c:v>
                </c:pt>
                <c:pt idx="35">
                  <c:v>16</c:v>
                </c:pt>
                <c:pt idx="36">
                  <c:v>16</c:v>
                </c:pt>
                <c:pt idx="37">
                  <c:v>17</c:v>
                </c:pt>
                <c:pt idx="38">
                  <c:v>17</c:v>
                </c:pt>
                <c:pt idx="39">
                  <c:v>18</c:v>
                </c:pt>
                <c:pt idx="40">
                  <c:v>18</c:v>
                </c:pt>
                <c:pt idx="41">
                  <c:v>18</c:v>
                </c:pt>
                <c:pt idx="42">
                  <c:v>19</c:v>
                </c:pt>
                <c:pt idx="43">
                  <c:v>19</c:v>
                </c:pt>
                <c:pt idx="44">
                  <c:v>19</c:v>
                </c:pt>
                <c:pt idx="45">
                  <c:v>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BA-4A11-A887-66B4E8CC844B}"/>
            </c:ext>
          </c:extLst>
        </c:ser>
        <c:ser>
          <c:idx val="2"/>
          <c:order val="2"/>
          <c:tx>
            <c:strRef>
              <c:f>handsmoothed!$D$1</c:f>
              <c:strCache>
                <c:ptCount val="1"/>
                <c:pt idx="0">
                  <c:v>ss3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handsmoothed!$A$2:$A$47</c:f>
              <c:numCache>
                <c:formatCode>General</c:formatCode>
                <c:ptCount val="4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</c:numCache>
            </c:numRef>
          </c:xVal>
          <c:yVal>
            <c:numRef>
              <c:f>handsmoothed!$D$2:$D$47</c:f>
              <c:numCache>
                <c:formatCode>General</c:formatCode>
                <c:ptCount val="4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5</c:v>
                </c:pt>
                <c:pt idx="13">
                  <c:v>5</c:v>
                </c:pt>
                <c:pt idx="14">
                  <c:v>6</c:v>
                </c:pt>
                <c:pt idx="15">
                  <c:v>6</c:v>
                </c:pt>
                <c:pt idx="16">
                  <c:v>7</c:v>
                </c:pt>
                <c:pt idx="17">
                  <c:v>7</c:v>
                </c:pt>
                <c:pt idx="18">
                  <c:v>7</c:v>
                </c:pt>
                <c:pt idx="19">
                  <c:v>8</c:v>
                </c:pt>
                <c:pt idx="20">
                  <c:v>8</c:v>
                </c:pt>
                <c:pt idx="21">
                  <c:v>8</c:v>
                </c:pt>
                <c:pt idx="22">
                  <c:v>9</c:v>
                </c:pt>
                <c:pt idx="23">
                  <c:v>9</c:v>
                </c:pt>
                <c:pt idx="24">
                  <c:v>9</c:v>
                </c:pt>
                <c:pt idx="25">
                  <c:v>10</c:v>
                </c:pt>
                <c:pt idx="26">
                  <c:v>10</c:v>
                </c:pt>
                <c:pt idx="27">
                  <c:v>10</c:v>
                </c:pt>
                <c:pt idx="28">
                  <c:v>11</c:v>
                </c:pt>
                <c:pt idx="29">
                  <c:v>11</c:v>
                </c:pt>
                <c:pt idx="30">
                  <c:v>12</c:v>
                </c:pt>
                <c:pt idx="31">
                  <c:v>12</c:v>
                </c:pt>
                <c:pt idx="32">
                  <c:v>13</c:v>
                </c:pt>
                <c:pt idx="33">
                  <c:v>13</c:v>
                </c:pt>
                <c:pt idx="34">
                  <c:v>14</c:v>
                </c:pt>
                <c:pt idx="35">
                  <c:v>15</c:v>
                </c:pt>
                <c:pt idx="36">
                  <c:v>15</c:v>
                </c:pt>
                <c:pt idx="37">
                  <c:v>16</c:v>
                </c:pt>
                <c:pt idx="38">
                  <c:v>16</c:v>
                </c:pt>
                <c:pt idx="39">
                  <c:v>17</c:v>
                </c:pt>
                <c:pt idx="40">
                  <c:v>17</c:v>
                </c:pt>
                <c:pt idx="41">
                  <c:v>18</c:v>
                </c:pt>
                <c:pt idx="42">
                  <c:v>18</c:v>
                </c:pt>
                <c:pt idx="43">
                  <c:v>19</c:v>
                </c:pt>
                <c:pt idx="44">
                  <c:v>19</c:v>
                </c:pt>
                <c:pt idx="45">
                  <c:v>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BA-4A11-A887-66B4E8CC844B}"/>
            </c:ext>
          </c:extLst>
        </c:ser>
        <c:ser>
          <c:idx val="3"/>
          <c:order val="3"/>
          <c:tx>
            <c:strRef>
              <c:f>handsmoothed!$E$1</c:f>
              <c:strCache>
                <c:ptCount val="1"/>
                <c:pt idx="0">
                  <c:v>ss4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handsmoothed!$A$2:$A$47</c:f>
              <c:numCache>
                <c:formatCode>General</c:formatCode>
                <c:ptCount val="4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</c:numCache>
            </c:numRef>
          </c:xVal>
          <c:yVal>
            <c:numRef>
              <c:f>handsmoothed!$E$2:$E$47</c:f>
              <c:numCache>
                <c:formatCode>General</c:formatCode>
                <c:ptCount val="4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6</c:v>
                </c:pt>
                <c:pt idx="16">
                  <c:v>6</c:v>
                </c:pt>
                <c:pt idx="17">
                  <c:v>7</c:v>
                </c:pt>
                <c:pt idx="18">
                  <c:v>7</c:v>
                </c:pt>
                <c:pt idx="19">
                  <c:v>7</c:v>
                </c:pt>
                <c:pt idx="20">
                  <c:v>8</c:v>
                </c:pt>
                <c:pt idx="21">
                  <c:v>8</c:v>
                </c:pt>
                <c:pt idx="22">
                  <c:v>8</c:v>
                </c:pt>
                <c:pt idx="23">
                  <c:v>9</c:v>
                </c:pt>
                <c:pt idx="24">
                  <c:v>9</c:v>
                </c:pt>
                <c:pt idx="25">
                  <c:v>9</c:v>
                </c:pt>
                <c:pt idx="26">
                  <c:v>10</c:v>
                </c:pt>
                <c:pt idx="27">
                  <c:v>10</c:v>
                </c:pt>
                <c:pt idx="28">
                  <c:v>10</c:v>
                </c:pt>
                <c:pt idx="29">
                  <c:v>11</c:v>
                </c:pt>
                <c:pt idx="30">
                  <c:v>11</c:v>
                </c:pt>
                <c:pt idx="31">
                  <c:v>12</c:v>
                </c:pt>
                <c:pt idx="32">
                  <c:v>12</c:v>
                </c:pt>
                <c:pt idx="33">
                  <c:v>13</c:v>
                </c:pt>
                <c:pt idx="34">
                  <c:v>13</c:v>
                </c:pt>
                <c:pt idx="35">
                  <c:v>14</c:v>
                </c:pt>
                <c:pt idx="36">
                  <c:v>14</c:v>
                </c:pt>
                <c:pt idx="37">
                  <c:v>15</c:v>
                </c:pt>
                <c:pt idx="38">
                  <c:v>15</c:v>
                </c:pt>
                <c:pt idx="39">
                  <c:v>16</c:v>
                </c:pt>
                <c:pt idx="40">
                  <c:v>16</c:v>
                </c:pt>
                <c:pt idx="41">
                  <c:v>17</c:v>
                </c:pt>
                <c:pt idx="42">
                  <c:v>18</c:v>
                </c:pt>
                <c:pt idx="43">
                  <c:v>18</c:v>
                </c:pt>
                <c:pt idx="44">
                  <c:v>19</c:v>
                </c:pt>
                <c:pt idx="45">
                  <c:v>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BA-4A11-A887-66B4E8CC844B}"/>
            </c:ext>
          </c:extLst>
        </c:ser>
        <c:ser>
          <c:idx val="4"/>
          <c:order val="4"/>
          <c:tx>
            <c:strRef>
              <c:f>handsmoothed!$F$1</c:f>
              <c:strCache>
                <c:ptCount val="1"/>
                <c:pt idx="0">
                  <c:v>ss5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handsmoothed!$A$2:$A$47</c:f>
              <c:numCache>
                <c:formatCode>General</c:formatCode>
                <c:ptCount val="4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</c:numCache>
            </c:numRef>
          </c:xVal>
          <c:yVal>
            <c:numRef>
              <c:f>handsmoothed!$F$2:$F$47</c:f>
              <c:numCache>
                <c:formatCode>General</c:formatCode>
                <c:ptCount val="4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7</c:v>
                </c:pt>
                <c:pt idx="19">
                  <c:v>7</c:v>
                </c:pt>
                <c:pt idx="20">
                  <c:v>7</c:v>
                </c:pt>
                <c:pt idx="21">
                  <c:v>8</c:v>
                </c:pt>
                <c:pt idx="22">
                  <c:v>8</c:v>
                </c:pt>
                <c:pt idx="23">
                  <c:v>8</c:v>
                </c:pt>
                <c:pt idx="24">
                  <c:v>9</c:v>
                </c:pt>
                <c:pt idx="25">
                  <c:v>9</c:v>
                </c:pt>
                <c:pt idx="26">
                  <c:v>9</c:v>
                </c:pt>
                <c:pt idx="27">
                  <c:v>10</c:v>
                </c:pt>
                <c:pt idx="28">
                  <c:v>10</c:v>
                </c:pt>
                <c:pt idx="29">
                  <c:v>10</c:v>
                </c:pt>
                <c:pt idx="30">
                  <c:v>11</c:v>
                </c:pt>
                <c:pt idx="31">
                  <c:v>11</c:v>
                </c:pt>
                <c:pt idx="32">
                  <c:v>12</c:v>
                </c:pt>
                <c:pt idx="33">
                  <c:v>12</c:v>
                </c:pt>
                <c:pt idx="34">
                  <c:v>13</c:v>
                </c:pt>
                <c:pt idx="35">
                  <c:v>13</c:v>
                </c:pt>
                <c:pt idx="36">
                  <c:v>14</c:v>
                </c:pt>
                <c:pt idx="37">
                  <c:v>14</c:v>
                </c:pt>
                <c:pt idx="38">
                  <c:v>15</c:v>
                </c:pt>
                <c:pt idx="39">
                  <c:v>15</c:v>
                </c:pt>
                <c:pt idx="40">
                  <c:v>16</c:v>
                </c:pt>
                <c:pt idx="41">
                  <c:v>16</c:v>
                </c:pt>
                <c:pt idx="42">
                  <c:v>17</c:v>
                </c:pt>
                <c:pt idx="43">
                  <c:v>18</c:v>
                </c:pt>
                <c:pt idx="44">
                  <c:v>18</c:v>
                </c:pt>
                <c:pt idx="45">
                  <c:v>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BA-4A11-A887-66B4E8CC844B}"/>
            </c:ext>
          </c:extLst>
        </c:ser>
        <c:ser>
          <c:idx val="5"/>
          <c:order val="5"/>
          <c:tx>
            <c:strRef>
              <c:f>handsmoothed!$G$1</c:f>
              <c:strCache>
                <c:ptCount val="1"/>
                <c:pt idx="0">
                  <c:v>ss6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handsmoothed!$A$2:$A$47</c:f>
              <c:numCache>
                <c:formatCode>General</c:formatCode>
                <c:ptCount val="4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</c:numCache>
            </c:numRef>
          </c:xVal>
          <c:yVal>
            <c:numRef>
              <c:f>handsmoothed!$G$2:$G$47</c:f>
              <c:numCache>
                <c:formatCode>General</c:formatCode>
                <c:ptCount val="4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7</c:v>
                </c:pt>
                <c:pt idx="20">
                  <c:v>7</c:v>
                </c:pt>
                <c:pt idx="21">
                  <c:v>7</c:v>
                </c:pt>
                <c:pt idx="22">
                  <c:v>8</c:v>
                </c:pt>
                <c:pt idx="23">
                  <c:v>8</c:v>
                </c:pt>
                <c:pt idx="24">
                  <c:v>8</c:v>
                </c:pt>
                <c:pt idx="25">
                  <c:v>9</c:v>
                </c:pt>
                <c:pt idx="26">
                  <c:v>9</c:v>
                </c:pt>
                <c:pt idx="27">
                  <c:v>9</c:v>
                </c:pt>
                <c:pt idx="28">
                  <c:v>10</c:v>
                </c:pt>
                <c:pt idx="29">
                  <c:v>10</c:v>
                </c:pt>
                <c:pt idx="30">
                  <c:v>10</c:v>
                </c:pt>
                <c:pt idx="31">
                  <c:v>11</c:v>
                </c:pt>
                <c:pt idx="32">
                  <c:v>11</c:v>
                </c:pt>
                <c:pt idx="33">
                  <c:v>12</c:v>
                </c:pt>
                <c:pt idx="34">
                  <c:v>12</c:v>
                </c:pt>
                <c:pt idx="35">
                  <c:v>13</c:v>
                </c:pt>
                <c:pt idx="36">
                  <c:v>13</c:v>
                </c:pt>
                <c:pt idx="37">
                  <c:v>14</c:v>
                </c:pt>
                <c:pt idx="38">
                  <c:v>14</c:v>
                </c:pt>
                <c:pt idx="39">
                  <c:v>15</c:v>
                </c:pt>
                <c:pt idx="40">
                  <c:v>15</c:v>
                </c:pt>
                <c:pt idx="41">
                  <c:v>16</c:v>
                </c:pt>
                <c:pt idx="42">
                  <c:v>16</c:v>
                </c:pt>
                <c:pt idx="43">
                  <c:v>17</c:v>
                </c:pt>
                <c:pt idx="44">
                  <c:v>18</c:v>
                </c:pt>
                <c:pt idx="45">
                  <c:v>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BA-4A11-A887-66B4E8CC844B}"/>
            </c:ext>
          </c:extLst>
        </c:ser>
        <c:ser>
          <c:idx val="6"/>
          <c:order val="6"/>
          <c:tx>
            <c:strRef>
              <c:f>handsmoothed!$H$1</c:f>
              <c:strCache>
                <c:ptCount val="1"/>
                <c:pt idx="0">
                  <c:v>ss7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handsmoothed!$A$2:$A$47</c:f>
              <c:numCache>
                <c:formatCode>General</c:formatCode>
                <c:ptCount val="4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</c:numCache>
            </c:numRef>
          </c:xVal>
          <c:yVal>
            <c:numRef>
              <c:f>handsmoothed!$H$2:$H$47</c:f>
              <c:numCache>
                <c:formatCode>General</c:formatCode>
                <c:ptCount val="4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7</c:v>
                </c:pt>
                <c:pt idx="20">
                  <c:v>7</c:v>
                </c:pt>
                <c:pt idx="21">
                  <c:v>7</c:v>
                </c:pt>
                <c:pt idx="22">
                  <c:v>7</c:v>
                </c:pt>
                <c:pt idx="23">
                  <c:v>8</c:v>
                </c:pt>
                <c:pt idx="24">
                  <c:v>8</c:v>
                </c:pt>
                <c:pt idx="25">
                  <c:v>8</c:v>
                </c:pt>
                <c:pt idx="26">
                  <c:v>9</c:v>
                </c:pt>
                <c:pt idx="27">
                  <c:v>9</c:v>
                </c:pt>
                <c:pt idx="28">
                  <c:v>10</c:v>
                </c:pt>
                <c:pt idx="29">
                  <c:v>10</c:v>
                </c:pt>
                <c:pt idx="30">
                  <c:v>10</c:v>
                </c:pt>
                <c:pt idx="31">
                  <c:v>11</c:v>
                </c:pt>
                <c:pt idx="32">
                  <c:v>11</c:v>
                </c:pt>
                <c:pt idx="33">
                  <c:v>11</c:v>
                </c:pt>
                <c:pt idx="34">
                  <c:v>12</c:v>
                </c:pt>
                <c:pt idx="35">
                  <c:v>12</c:v>
                </c:pt>
                <c:pt idx="36">
                  <c:v>13</c:v>
                </c:pt>
                <c:pt idx="37">
                  <c:v>13</c:v>
                </c:pt>
                <c:pt idx="38">
                  <c:v>14</c:v>
                </c:pt>
                <c:pt idx="39">
                  <c:v>14</c:v>
                </c:pt>
                <c:pt idx="40">
                  <c:v>15</c:v>
                </c:pt>
                <c:pt idx="41">
                  <c:v>16</c:v>
                </c:pt>
                <c:pt idx="42">
                  <c:v>16</c:v>
                </c:pt>
                <c:pt idx="43">
                  <c:v>17</c:v>
                </c:pt>
                <c:pt idx="44">
                  <c:v>18</c:v>
                </c:pt>
                <c:pt idx="45">
                  <c:v>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BA-4A11-A887-66B4E8CC84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4198047"/>
        <c:axId val="1728425823"/>
      </c:scatterChart>
      <c:valAx>
        <c:axId val="1854198047"/>
        <c:scaling>
          <c:orientation val="minMax"/>
          <c:max val="4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8425823"/>
        <c:crosses val="autoZero"/>
        <c:crossBetween val="midCat"/>
        <c:majorUnit val="1"/>
      </c:valAx>
      <c:valAx>
        <c:axId val="1728425823"/>
        <c:scaling>
          <c:orientation val="minMax"/>
          <c:max val="19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41980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handsmoothed!$H$1</c:f>
              <c:strCache>
                <c:ptCount val="1"/>
                <c:pt idx="0">
                  <c:v>ss7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handsmoothed!$A$2:$A$47</c:f>
              <c:numCache>
                <c:formatCode>General</c:formatCode>
                <c:ptCount val="4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</c:numCache>
            </c:numRef>
          </c:xVal>
          <c:yVal>
            <c:numRef>
              <c:f>handsmoothed!$H$2:$H$47</c:f>
              <c:numCache>
                <c:formatCode>General</c:formatCode>
                <c:ptCount val="4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7</c:v>
                </c:pt>
                <c:pt idx="20">
                  <c:v>7</c:v>
                </c:pt>
                <c:pt idx="21">
                  <c:v>7</c:v>
                </c:pt>
                <c:pt idx="22">
                  <c:v>7</c:v>
                </c:pt>
                <c:pt idx="23">
                  <c:v>8</c:v>
                </c:pt>
                <c:pt idx="24">
                  <c:v>8</c:v>
                </c:pt>
                <c:pt idx="25">
                  <c:v>8</c:v>
                </c:pt>
                <c:pt idx="26">
                  <c:v>9</c:v>
                </c:pt>
                <c:pt idx="27">
                  <c:v>9</c:v>
                </c:pt>
                <c:pt idx="28">
                  <c:v>10</c:v>
                </c:pt>
                <c:pt idx="29">
                  <c:v>10</c:v>
                </c:pt>
                <c:pt idx="30">
                  <c:v>10</c:v>
                </c:pt>
                <c:pt idx="31">
                  <c:v>11</c:v>
                </c:pt>
                <c:pt idx="32">
                  <c:v>11</c:v>
                </c:pt>
                <c:pt idx="33">
                  <c:v>11</c:v>
                </c:pt>
                <c:pt idx="34">
                  <c:v>12</c:v>
                </c:pt>
                <c:pt idx="35">
                  <c:v>12</c:v>
                </c:pt>
                <c:pt idx="36">
                  <c:v>13</c:v>
                </c:pt>
                <c:pt idx="37">
                  <c:v>13</c:v>
                </c:pt>
                <c:pt idx="38">
                  <c:v>14</c:v>
                </c:pt>
                <c:pt idx="39">
                  <c:v>14</c:v>
                </c:pt>
                <c:pt idx="40">
                  <c:v>15</c:v>
                </c:pt>
                <c:pt idx="41">
                  <c:v>16</c:v>
                </c:pt>
                <c:pt idx="42">
                  <c:v>16</c:v>
                </c:pt>
                <c:pt idx="43">
                  <c:v>17</c:v>
                </c:pt>
                <c:pt idx="44">
                  <c:v>18</c:v>
                </c:pt>
                <c:pt idx="45">
                  <c:v>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A6-48E2-A5AB-0B1B6E2599E6}"/>
            </c:ext>
          </c:extLst>
        </c:ser>
        <c:ser>
          <c:idx val="1"/>
          <c:order val="1"/>
          <c:tx>
            <c:strRef>
              <c:f>handsmoothed!$I$1</c:f>
              <c:strCache>
                <c:ptCount val="1"/>
                <c:pt idx="0">
                  <c:v>ss8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handsmoothed!$A$2:$A$47</c:f>
              <c:numCache>
                <c:formatCode>General</c:formatCode>
                <c:ptCount val="4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</c:numCache>
            </c:numRef>
          </c:xVal>
          <c:yVal>
            <c:numRef>
              <c:f>handsmoothed!$I$2:$I$47</c:f>
              <c:numCache>
                <c:formatCode>General</c:formatCode>
                <c:ptCount val="4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7</c:v>
                </c:pt>
                <c:pt idx="20">
                  <c:v>7</c:v>
                </c:pt>
                <c:pt idx="21">
                  <c:v>7</c:v>
                </c:pt>
                <c:pt idx="22">
                  <c:v>7</c:v>
                </c:pt>
                <c:pt idx="23">
                  <c:v>8</c:v>
                </c:pt>
                <c:pt idx="24">
                  <c:v>8</c:v>
                </c:pt>
                <c:pt idx="25">
                  <c:v>8</c:v>
                </c:pt>
                <c:pt idx="26">
                  <c:v>9</c:v>
                </c:pt>
                <c:pt idx="27">
                  <c:v>9</c:v>
                </c:pt>
                <c:pt idx="28">
                  <c:v>10</c:v>
                </c:pt>
                <c:pt idx="29">
                  <c:v>10</c:v>
                </c:pt>
                <c:pt idx="30">
                  <c:v>10</c:v>
                </c:pt>
                <c:pt idx="31">
                  <c:v>11</c:v>
                </c:pt>
                <c:pt idx="32">
                  <c:v>11</c:v>
                </c:pt>
                <c:pt idx="33">
                  <c:v>11</c:v>
                </c:pt>
                <c:pt idx="34">
                  <c:v>12</c:v>
                </c:pt>
                <c:pt idx="35">
                  <c:v>12</c:v>
                </c:pt>
                <c:pt idx="36">
                  <c:v>13</c:v>
                </c:pt>
                <c:pt idx="37">
                  <c:v>13</c:v>
                </c:pt>
                <c:pt idx="38">
                  <c:v>14</c:v>
                </c:pt>
                <c:pt idx="39">
                  <c:v>14</c:v>
                </c:pt>
                <c:pt idx="40">
                  <c:v>15</c:v>
                </c:pt>
                <c:pt idx="41">
                  <c:v>16</c:v>
                </c:pt>
                <c:pt idx="42">
                  <c:v>16</c:v>
                </c:pt>
                <c:pt idx="43">
                  <c:v>17</c:v>
                </c:pt>
                <c:pt idx="44">
                  <c:v>18</c:v>
                </c:pt>
                <c:pt idx="45">
                  <c:v>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8A6-48E2-A5AB-0B1B6E2599E6}"/>
            </c:ext>
          </c:extLst>
        </c:ser>
        <c:ser>
          <c:idx val="2"/>
          <c:order val="2"/>
          <c:tx>
            <c:strRef>
              <c:f>handsmoothed!$J$1</c:f>
              <c:strCache>
                <c:ptCount val="1"/>
                <c:pt idx="0">
                  <c:v>ss9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handsmoothed!$A$2:$A$47</c:f>
              <c:numCache>
                <c:formatCode>General</c:formatCode>
                <c:ptCount val="4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</c:numCache>
            </c:numRef>
          </c:xVal>
          <c:yVal>
            <c:numRef>
              <c:f>handsmoothed!$J$2:$J$47</c:f>
              <c:numCache>
                <c:formatCode>General</c:formatCode>
                <c:ptCount val="4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7</c:v>
                </c:pt>
                <c:pt idx="19">
                  <c:v>7</c:v>
                </c:pt>
                <c:pt idx="20">
                  <c:v>7</c:v>
                </c:pt>
                <c:pt idx="21">
                  <c:v>7</c:v>
                </c:pt>
                <c:pt idx="22">
                  <c:v>8</c:v>
                </c:pt>
                <c:pt idx="23">
                  <c:v>8</c:v>
                </c:pt>
                <c:pt idx="24">
                  <c:v>8</c:v>
                </c:pt>
                <c:pt idx="25">
                  <c:v>9</c:v>
                </c:pt>
                <c:pt idx="26">
                  <c:v>9</c:v>
                </c:pt>
                <c:pt idx="27">
                  <c:v>9</c:v>
                </c:pt>
                <c:pt idx="28">
                  <c:v>10</c:v>
                </c:pt>
                <c:pt idx="29">
                  <c:v>10</c:v>
                </c:pt>
                <c:pt idx="30">
                  <c:v>10</c:v>
                </c:pt>
                <c:pt idx="31">
                  <c:v>11</c:v>
                </c:pt>
                <c:pt idx="32">
                  <c:v>11</c:v>
                </c:pt>
                <c:pt idx="33">
                  <c:v>12</c:v>
                </c:pt>
                <c:pt idx="34">
                  <c:v>12</c:v>
                </c:pt>
                <c:pt idx="35">
                  <c:v>12</c:v>
                </c:pt>
                <c:pt idx="36">
                  <c:v>13</c:v>
                </c:pt>
                <c:pt idx="37">
                  <c:v>13</c:v>
                </c:pt>
                <c:pt idx="38">
                  <c:v>14</c:v>
                </c:pt>
                <c:pt idx="39">
                  <c:v>14</c:v>
                </c:pt>
                <c:pt idx="40">
                  <c:v>15</c:v>
                </c:pt>
                <c:pt idx="41">
                  <c:v>16</c:v>
                </c:pt>
                <c:pt idx="42">
                  <c:v>16</c:v>
                </c:pt>
                <c:pt idx="43">
                  <c:v>17</c:v>
                </c:pt>
                <c:pt idx="44">
                  <c:v>18</c:v>
                </c:pt>
                <c:pt idx="45">
                  <c:v>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8A6-48E2-A5AB-0B1B6E2599E6}"/>
            </c:ext>
          </c:extLst>
        </c:ser>
        <c:ser>
          <c:idx val="3"/>
          <c:order val="3"/>
          <c:tx>
            <c:strRef>
              <c:f>handsmoothed!$K$1</c:f>
              <c:strCache>
                <c:ptCount val="1"/>
                <c:pt idx="0">
                  <c:v>ss10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handsmoothed!$A$2:$A$47</c:f>
              <c:numCache>
                <c:formatCode>General</c:formatCode>
                <c:ptCount val="4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</c:numCache>
            </c:numRef>
          </c:xVal>
          <c:yVal>
            <c:numRef>
              <c:f>handsmoothed!$K$2:$K$47</c:f>
              <c:numCache>
                <c:formatCode>General</c:formatCode>
                <c:ptCount val="4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7</c:v>
                </c:pt>
                <c:pt idx="19">
                  <c:v>7</c:v>
                </c:pt>
                <c:pt idx="20">
                  <c:v>7</c:v>
                </c:pt>
                <c:pt idx="21">
                  <c:v>7</c:v>
                </c:pt>
                <c:pt idx="22">
                  <c:v>8</c:v>
                </c:pt>
                <c:pt idx="23">
                  <c:v>8</c:v>
                </c:pt>
                <c:pt idx="24">
                  <c:v>8</c:v>
                </c:pt>
                <c:pt idx="25">
                  <c:v>9</c:v>
                </c:pt>
                <c:pt idx="26">
                  <c:v>9</c:v>
                </c:pt>
                <c:pt idx="27">
                  <c:v>9</c:v>
                </c:pt>
                <c:pt idx="28">
                  <c:v>10</c:v>
                </c:pt>
                <c:pt idx="29">
                  <c:v>10</c:v>
                </c:pt>
                <c:pt idx="30">
                  <c:v>10</c:v>
                </c:pt>
                <c:pt idx="31">
                  <c:v>11</c:v>
                </c:pt>
                <c:pt idx="32">
                  <c:v>11</c:v>
                </c:pt>
                <c:pt idx="33">
                  <c:v>12</c:v>
                </c:pt>
                <c:pt idx="34">
                  <c:v>12</c:v>
                </c:pt>
                <c:pt idx="35">
                  <c:v>12</c:v>
                </c:pt>
                <c:pt idx="36">
                  <c:v>13</c:v>
                </c:pt>
                <c:pt idx="37">
                  <c:v>13</c:v>
                </c:pt>
                <c:pt idx="38">
                  <c:v>14</c:v>
                </c:pt>
                <c:pt idx="39">
                  <c:v>14</c:v>
                </c:pt>
                <c:pt idx="40">
                  <c:v>15</c:v>
                </c:pt>
                <c:pt idx="41">
                  <c:v>16</c:v>
                </c:pt>
                <c:pt idx="42">
                  <c:v>16</c:v>
                </c:pt>
                <c:pt idx="43">
                  <c:v>17</c:v>
                </c:pt>
                <c:pt idx="44">
                  <c:v>18</c:v>
                </c:pt>
                <c:pt idx="45">
                  <c:v>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8A6-48E2-A5AB-0B1B6E2599E6}"/>
            </c:ext>
          </c:extLst>
        </c:ser>
        <c:ser>
          <c:idx val="4"/>
          <c:order val="4"/>
          <c:tx>
            <c:strRef>
              <c:f>handsmoothed!$L$1</c:f>
              <c:strCache>
                <c:ptCount val="1"/>
                <c:pt idx="0">
                  <c:v>ss11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handsmoothed!$A$2:$A$47</c:f>
              <c:numCache>
                <c:formatCode>General</c:formatCode>
                <c:ptCount val="4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</c:numCache>
            </c:numRef>
          </c:xVal>
          <c:yVal>
            <c:numRef>
              <c:f>handsmoothed!$L$2:$L$47</c:f>
              <c:numCache>
                <c:formatCode>General</c:formatCode>
                <c:ptCount val="4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7</c:v>
                </c:pt>
                <c:pt idx="19">
                  <c:v>7</c:v>
                </c:pt>
                <c:pt idx="20">
                  <c:v>7</c:v>
                </c:pt>
                <c:pt idx="21">
                  <c:v>8</c:v>
                </c:pt>
                <c:pt idx="22">
                  <c:v>8</c:v>
                </c:pt>
                <c:pt idx="23">
                  <c:v>8</c:v>
                </c:pt>
                <c:pt idx="24">
                  <c:v>9</c:v>
                </c:pt>
                <c:pt idx="25">
                  <c:v>9</c:v>
                </c:pt>
                <c:pt idx="26">
                  <c:v>9</c:v>
                </c:pt>
                <c:pt idx="27">
                  <c:v>10</c:v>
                </c:pt>
                <c:pt idx="28">
                  <c:v>10</c:v>
                </c:pt>
                <c:pt idx="29">
                  <c:v>10</c:v>
                </c:pt>
                <c:pt idx="30">
                  <c:v>11</c:v>
                </c:pt>
                <c:pt idx="31">
                  <c:v>11</c:v>
                </c:pt>
                <c:pt idx="32">
                  <c:v>11</c:v>
                </c:pt>
                <c:pt idx="33">
                  <c:v>12</c:v>
                </c:pt>
                <c:pt idx="34">
                  <c:v>12</c:v>
                </c:pt>
                <c:pt idx="35">
                  <c:v>12</c:v>
                </c:pt>
                <c:pt idx="36">
                  <c:v>13</c:v>
                </c:pt>
                <c:pt idx="37">
                  <c:v>13</c:v>
                </c:pt>
                <c:pt idx="38">
                  <c:v>14</c:v>
                </c:pt>
                <c:pt idx="39">
                  <c:v>14</c:v>
                </c:pt>
                <c:pt idx="40">
                  <c:v>15</c:v>
                </c:pt>
                <c:pt idx="41">
                  <c:v>16</c:v>
                </c:pt>
                <c:pt idx="42">
                  <c:v>16</c:v>
                </c:pt>
                <c:pt idx="43">
                  <c:v>17</c:v>
                </c:pt>
                <c:pt idx="44">
                  <c:v>18</c:v>
                </c:pt>
                <c:pt idx="45">
                  <c:v>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8A6-48E2-A5AB-0B1B6E2599E6}"/>
            </c:ext>
          </c:extLst>
        </c:ser>
        <c:ser>
          <c:idx val="5"/>
          <c:order val="5"/>
          <c:tx>
            <c:strRef>
              <c:f>handsmoothed!$M$1</c:f>
              <c:strCache>
                <c:ptCount val="1"/>
                <c:pt idx="0">
                  <c:v>ss12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handsmoothed!$A$2:$A$47</c:f>
              <c:numCache>
                <c:formatCode>General</c:formatCode>
                <c:ptCount val="4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</c:numCache>
            </c:numRef>
          </c:xVal>
          <c:yVal>
            <c:numRef>
              <c:f>handsmoothed!$M$2:$M$47</c:f>
              <c:numCache>
                <c:formatCode>General</c:formatCode>
                <c:ptCount val="4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5</c:v>
                </c:pt>
                <c:pt idx="12">
                  <c:v>5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7</c:v>
                </c:pt>
                <c:pt idx="17">
                  <c:v>7</c:v>
                </c:pt>
                <c:pt idx="18">
                  <c:v>7</c:v>
                </c:pt>
                <c:pt idx="19">
                  <c:v>7</c:v>
                </c:pt>
                <c:pt idx="20">
                  <c:v>8</c:v>
                </c:pt>
                <c:pt idx="21">
                  <c:v>8</c:v>
                </c:pt>
                <c:pt idx="22">
                  <c:v>8</c:v>
                </c:pt>
                <c:pt idx="23">
                  <c:v>8</c:v>
                </c:pt>
                <c:pt idx="24">
                  <c:v>9</c:v>
                </c:pt>
                <c:pt idx="25">
                  <c:v>9</c:v>
                </c:pt>
                <c:pt idx="26">
                  <c:v>9</c:v>
                </c:pt>
                <c:pt idx="27">
                  <c:v>10</c:v>
                </c:pt>
                <c:pt idx="28">
                  <c:v>10</c:v>
                </c:pt>
                <c:pt idx="29">
                  <c:v>10</c:v>
                </c:pt>
                <c:pt idx="30">
                  <c:v>11</c:v>
                </c:pt>
                <c:pt idx="31">
                  <c:v>11</c:v>
                </c:pt>
                <c:pt idx="32">
                  <c:v>12</c:v>
                </c:pt>
                <c:pt idx="33">
                  <c:v>12</c:v>
                </c:pt>
                <c:pt idx="34">
                  <c:v>12</c:v>
                </c:pt>
                <c:pt idx="35">
                  <c:v>13</c:v>
                </c:pt>
                <c:pt idx="36">
                  <c:v>13</c:v>
                </c:pt>
                <c:pt idx="37">
                  <c:v>14</c:v>
                </c:pt>
                <c:pt idx="38">
                  <c:v>15</c:v>
                </c:pt>
                <c:pt idx="39">
                  <c:v>15</c:v>
                </c:pt>
                <c:pt idx="40">
                  <c:v>16</c:v>
                </c:pt>
                <c:pt idx="41">
                  <c:v>16</c:v>
                </c:pt>
                <c:pt idx="42">
                  <c:v>17</c:v>
                </c:pt>
                <c:pt idx="43">
                  <c:v>17</c:v>
                </c:pt>
                <c:pt idx="44">
                  <c:v>18</c:v>
                </c:pt>
                <c:pt idx="45">
                  <c:v>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8A6-48E2-A5AB-0B1B6E2599E6}"/>
            </c:ext>
          </c:extLst>
        </c:ser>
        <c:ser>
          <c:idx val="6"/>
          <c:order val="6"/>
          <c:tx>
            <c:strRef>
              <c:f>handsmoothed!$N$1</c:f>
              <c:strCache>
                <c:ptCount val="1"/>
                <c:pt idx="0">
                  <c:v>ss13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handsmoothed!$A$2:$A$47</c:f>
              <c:numCache>
                <c:formatCode>General</c:formatCode>
                <c:ptCount val="4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</c:numCache>
            </c:numRef>
          </c:xVal>
          <c:yVal>
            <c:numRef>
              <c:f>handsmoothed!$N$2:$N$47</c:f>
              <c:numCache>
                <c:formatCode>General</c:formatCode>
                <c:ptCount val="46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5</c:v>
                </c:pt>
                <c:pt idx="11">
                  <c:v>5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7</c:v>
                </c:pt>
                <c:pt idx="16">
                  <c:v>7</c:v>
                </c:pt>
                <c:pt idx="17">
                  <c:v>7</c:v>
                </c:pt>
                <c:pt idx="18">
                  <c:v>7</c:v>
                </c:pt>
                <c:pt idx="19">
                  <c:v>8</c:v>
                </c:pt>
                <c:pt idx="20">
                  <c:v>8</c:v>
                </c:pt>
                <c:pt idx="21">
                  <c:v>8</c:v>
                </c:pt>
                <c:pt idx="22">
                  <c:v>8</c:v>
                </c:pt>
                <c:pt idx="23">
                  <c:v>9</c:v>
                </c:pt>
                <c:pt idx="24">
                  <c:v>9</c:v>
                </c:pt>
                <c:pt idx="25">
                  <c:v>9</c:v>
                </c:pt>
                <c:pt idx="26">
                  <c:v>10</c:v>
                </c:pt>
                <c:pt idx="27">
                  <c:v>10</c:v>
                </c:pt>
                <c:pt idx="28">
                  <c:v>10</c:v>
                </c:pt>
                <c:pt idx="29">
                  <c:v>11</c:v>
                </c:pt>
                <c:pt idx="30">
                  <c:v>11</c:v>
                </c:pt>
                <c:pt idx="31">
                  <c:v>12</c:v>
                </c:pt>
                <c:pt idx="32">
                  <c:v>12</c:v>
                </c:pt>
                <c:pt idx="33">
                  <c:v>13</c:v>
                </c:pt>
                <c:pt idx="34">
                  <c:v>13</c:v>
                </c:pt>
                <c:pt idx="35">
                  <c:v>14</c:v>
                </c:pt>
                <c:pt idx="36">
                  <c:v>14</c:v>
                </c:pt>
                <c:pt idx="37">
                  <c:v>15</c:v>
                </c:pt>
                <c:pt idx="38">
                  <c:v>15</c:v>
                </c:pt>
                <c:pt idx="39">
                  <c:v>16</c:v>
                </c:pt>
                <c:pt idx="40">
                  <c:v>16</c:v>
                </c:pt>
                <c:pt idx="41">
                  <c:v>17</c:v>
                </c:pt>
                <c:pt idx="42">
                  <c:v>17</c:v>
                </c:pt>
                <c:pt idx="43">
                  <c:v>18</c:v>
                </c:pt>
                <c:pt idx="44">
                  <c:v>18</c:v>
                </c:pt>
                <c:pt idx="45">
                  <c:v>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8A6-48E2-A5AB-0B1B6E2599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6721375"/>
        <c:axId val="1861646687"/>
      </c:scatterChart>
      <c:valAx>
        <c:axId val="1936721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646687"/>
        <c:crosses val="autoZero"/>
        <c:crossBetween val="midCat"/>
      </c:valAx>
      <c:valAx>
        <c:axId val="1861646687"/>
        <c:scaling>
          <c:orientation val="minMax"/>
          <c:max val="19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67213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EF4D7DC-48DD-40AA-9476-886054D3F046}">
  <sheetPr/>
  <sheetViews>
    <sheetView zoomScale="117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27D5AC4-A860-469C-8741-4ACD6B72DEE2}">
  <sheetPr/>
  <sheetViews>
    <sheetView zoomScale="11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409575</xdr:colOff>
      <xdr:row>0</xdr:row>
      <xdr:rowOff>1</xdr:rowOff>
    </xdr:from>
    <xdr:to>
      <xdr:col>23</xdr:col>
      <xdr:colOff>104775</xdr:colOff>
      <xdr:row>9</xdr:row>
      <xdr:rowOff>161926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513366-0A4B-4958-BCCC-7138E55689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425450</xdr:colOff>
      <xdr:row>10</xdr:row>
      <xdr:rowOff>153987</xdr:rowOff>
    </xdr:from>
    <xdr:to>
      <xdr:col>23</xdr:col>
      <xdr:colOff>120650</xdr:colOff>
      <xdr:row>19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AB91864-67A3-4717-9F68-11FF7A74AB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425450</xdr:colOff>
      <xdr:row>20</xdr:row>
      <xdr:rowOff>173037</xdr:rowOff>
    </xdr:from>
    <xdr:to>
      <xdr:col>23</xdr:col>
      <xdr:colOff>120650</xdr:colOff>
      <xdr:row>30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5EC1737-3783-4BA0-95A7-4E5159D495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70192" cy="62930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392BE7-647E-0D44-3714-D37EB6C2246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70192" cy="62930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584714-0B30-9641-8AD0-8DF859AFCD3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039CB-88F4-4665-938A-D7A9DD14ABDF}">
  <dimension ref="A1:O37"/>
  <sheetViews>
    <sheetView workbookViewId="0">
      <selection activeCell="K21" sqref="K21"/>
    </sheetView>
  </sheetViews>
  <sheetFormatPr defaultRowHeight="15" x14ac:dyDescent="0.25"/>
  <cols>
    <col min="1" max="16384" width="9.140625" style="8"/>
  </cols>
  <sheetData>
    <row r="1" spans="1:15" x14ac:dyDescent="0.25">
      <c r="A1" s="9" t="s">
        <v>88</v>
      </c>
      <c r="B1" s="14" t="s">
        <v>87</v>
      </c>
      <c r="C1" s="14" t="s">
        <v>86</v>
      </c>
      <c r="D1" s="14" t="s">
        <v>85</v>
      </c>
      <c r="E1" s="14" t="s">
        <v>84</v>
      </c>
      <c r="F1" s="14" t="s">
        <v>83</v>
      </c>
      <c r="G1" s="14" t="s">
        <v>82</v>
      </c>
      <c r="H1" s="14" t="s">
        <v>81</v>
      </c>
      <c r="I1" s="14" t="s">
        <v>80</v>
      </c>
      <c r="J1" s="14" t="s">
        <v>79</v>
      </c>
      <c r="K1" s="14" t="s">
        <v>78</v>
      </c>
      <c r="L1" s="14" t="s">
        <v>77</v>
      </c>
      <c r="M1" s="14" t="s">
        <v>76</v>
      </c>
      <c r="N1" s="14" t="s">
        <v>75</v>
      </c>
      <c r="O1" s="14" t="s">
        <v>74</v>
      </c>
    </row>
    <row r="2" spans="1:15" x14ac:dyDescent="0.25">
      <c r="A2" s="10" t="s">
        <v>73</v>
      </c>
      <c r="B2" s="13" t="s">
        <v>70</v>
      </c>
      <c r="C2" s="13">
        <v>21.0833333</v>
      </c>
      <c r="D2" s="13">
        <v>23.227777799999998</v>
      </c>
      <c r="E2" s="13">
        <v>25.9055556</v>
      </c>
      <c r="F2" s="13">
        <v>26.55</v>
      </c>
      <c r="G2" s="13">
        <v>27.1277778</v>
      </c>
      <c r="H2" s="13">
        <v>27.266666699999998</v>
      </c>
      <c r="I2" s="13">
        <v>28.75</v>
      </c>
      <c r="J2" s="13">
        <v>28.111111099999999</v>
      </c>
      <c r="K2" s="13">
        <v>28.394444400000001</v>
      </c>
      <c r="L2" s="13">
        <v>28.21</v>
      </c>
      <c r="M2" s="13">
        <v>28.85</v>
      </c>
      <c r="N2" s="13">
        <v>26.11</v>
      </c>
      <c r="O2" s="13">
        <v>25.3</v>
      </c>
    </row>
    <row r="3" spans="1:15" ht="15.75" thickBot="1" x14ac:dyDescent="0.3">
      <c r="A3" s="10" t="s">
        <v>72</v>
      </c>
      <c r="B3" s="13">
        <v>3</v>
      </c>
      <c r="C3" s="13">
        <v>22.523599999999998</v>
      </c>
      <c r="D3" s="13">
        <v>23.2683</v>
      </c>
      <c r="E3" s="13">
        <v>24.447299999999998</v>
      </c>
      <c r="F3" s="13">
        <v>25.8687</v>
      </c>
      <c r="G3" s="13">
        <v>26.9985</v>
      </c>
      <c r="H3" s="13">
        <v>28.1892</v>
      </c>
      <c r="I3" s="13">
        <v>28.938600000000001</v>
      </c>
      <c r="J3" s="13">
        <v>28.8734</v>
      </c>
      <c r="K3" s="13">
        <v>28.383800000000001</v>
      </c>
      <c r="L3" s="13">
        <v>27.8843</v>
      </c>
      <c r="M3" s="13">
        <v>27.268999999999998</v>
      </c>
      <c r="N3" s="13">
        <v>26.557500000000001</v>
      </c>
      <c r="O3" s="13">
        <v>25.687100000000001</v>
      </c>
    </row>
    <row r="4" spans="1:15" ht="15.75" thickBot="1" x14ac:dyDescent="0.3">
      <c r="A4" s="9" t="s">
        <v>46</v>
      </c>
      <c r="B4" s="11">
        <v>3</v>
      </c>
      <c r="C4" s="11">
        <v>6.8007</v>
      </c>
      <c r="D4" s="11">
        <v>6.9641999999999999</v>
      </c>
      <c r="E4" s="11">
        <v>7.2190000000000003</v>
      </c>
      <c r="F4" s="11">
        <v>7.5186999999999999</v>
      </c>
      <c r="G4" s="11">
        <v>7.7497999999999996</v>
      </c>
      <c r="H4" s="11">
        <v>7.9855999999999998</v>
      </c>
      <c r="I4" s="11">
        <v>8.1356000000000002</v>
      </c>
      <c r="J4" s="11">
        <v>8.1569000000000003</v>
      </c>
      <c r="K4" s="11">
        <v>8.1272000000000002</v>
      </c>
      <c r="L4" s="11">
        <v>8.1008999999999993</v>
      </c>
      <c r="M4" s="11">
        <v>8.0786999999999995</v>
      </c>
      <c r="N4" s="11">
        <v>8.0686999999999998</v>
      </c>
      <c r="O4" s="11">
        <v>8.0815000000000001</v>
      </c>
    </row>
    <row r="5" spans="1:15" ht="15.75" thickBot="1" x14ac:dyDescent="0.3">
      <c r="A5" s="9" t="s">
        <v>71</v>
      </c>
      <c r="B5" s="11">
        <v>4</v>
      </c>
      <c r="C5" s="12">
        <v>-1.6199999999999999E-2</v>
      </c>
      <c r="D5" s="12">
        <v>-0.19520000000000001</v>
      </c>
      <c r="E5" s="12">
        <v>-0.42620000000000002</v>
      </c>
      <c r="F5" s="12">
        <v>-0.61419999999999997</v>
      </c>
      <c r="G5" s="12">
        <v>-0.68740000000000001</v>
      </c>
      <c r="H5" s="11">
        <v>-0.68400000000000005</v>
      </c>
      <c r="I5" s="11">
        <v>-0.63470000000000004</v>
      </c>
      <c r="J5" s="11">
        <v>-0.63739999999999997</v>
      </c>
      <c r="K5" s="11">
        <v>-0.65010000000000001</v>
      </c>
      <c r="L5" s="11">
        <v>-0.62139999999999995</v>
      </c>
      <c r="M5" s="11">
        <v>-0.51919999999999999</v>
      </c>
      <c r="N5" s="11">
        <v>-0.29389999999999999</v>
      </c>
      <c r="O5" s="11">
        <v>0.1686</v>
      </c>
    </row>
    <row r="6" spans="1:15" x14ac:dyDescent="0.25">
      <c r="A6" s="9"/>
      <c r="B6" s="11"/>
      <c r="C6" s="12"/>
      <c r="D6" s="12"/>
      <c r="E6" s="12"/>
      <c r="F6" s="12"/>
      <c r="G6" s="12"/>
      <c r="H6" s="11"/>
      <c r="I6" s="11"/>
      <c r="J6" s="11"/>
      <c r="K6" s="11"/>
      <c r="L6" s="11"/>
      <c r="M6" s="11"/>
      <c r="N6" s="11"/>
      <c r="O6" s="11"/>
    </row>
    <row r="8" spans="1:15" ht="15.75" thickBot="1" x14ac:dyDescent="0.3"/>
    <row r="9" spans="1:15" x14ac:dyDescent="0.25">
      <c r="E9" s="10" t="s">
        <v>72</v>
      </c>
      <c r="F9" s="9" t="s">
        <v>46</v>
      </c>
      <c r="G9" s="9" t="s">
        <v>71</v>
      </c>
    </row>
    <row r="10" spans="1:15" x14ac:dyDescent="0.25">
      <c r="D10" s="3" t="s">
        <v>87</v>
      </c>
      <c r="E10" s="26">
        <v>3</v>
      </c>
      <c r="F10" s="26">
        <v>3</v>
      </c>
      <c r="G10" s="26">
        <v>4</v>
      </c>
    </row>
    <row r="11" spans="1:15" x14ac:dyDescent="0.25">
      <c r="D11" s="3">
        <v>1</v>
      </c>
      <c r="E11" s="3">
        <v>22.523599999999998</v>
      </c>
      <c r="F11" s="3">
        <v>6.8007</v>
      </c>
      <c r="G11" s="3">
        <v>-1.6199999999999999E-2</v>
      </c>
    </row>
    <row r="12" spans="1:15" x14ac:dyDescent="0.25">
      <c r="D12" s="3">
        <v>2</v>
      </c>
      <c r="E12" s="3">
        <v>23.2683</v>
      </c>
      <c r="F12" s="3">
        <v>6.9641999999999999</v>
      </c>
      <c r="G12" s="3">
        <v>-0.19520000000000001</v>
      </c>
    </row>
    <row r="13" spans="1:15" x14ac:dyDescent="0.25">
      <c r="D13" s="3">
        <v>3</v>
      </c>
      <c r="E13" s="3">
        <v>24.447299999999998</v>
      </c>
      <c r="F13" s="3">
        <v>7.2190000000000003</v>
      </c>
      <c r="G13" s="3">
        <v>-0.42620000000000002</v>
      </c>
    </row>
    <row r="14" spans="1:15" x14ac:dyDescent="0.25">
      <c r="D14" s="3">
        <v>4</v>
      </c>
      <c r="E14" s="3">
        <v>25.8687</v>
      </c>
      <c r="F14" s="3">
        <v>7.5186999999999999</v>
      </c>
      <c r="G14" s="3">
        <v>-0.61419999999999997</v>
      </c>
    </row>
    <row r="15" spans="1:15" x14ac:dyDescent="0.25">
      <c r="D15" s="3">
        <v>5</v>
      </c>
      <c r="E15" s="3">
        <v>26.9985</v>
      </c>
      <c r="F15" s="3">
        <v>7.7497999999999996</v>
      </c>
      <c r="G15" s="3">
        <v>-0.68740000000000001</v>
      </c>
    </row>
    <row r="16" spans="1:15" x14ac:dyDescent="0.25">
      <c r="D16" s="3">
        <v>6</v>
      </c>
      <c r="E16" s="3">
        <v>28.1892</v>
      </c>
      <c r="F16" s="3">
        <v>7.9855999999999998</v>
      </c>
      <c r="G16" s="3">
        <v>-0.68400000000000005</v>
      </c>
    </row>
    <row r="17" spans="2:8" x14ac:dyDescent="0.25">
      <c r="D17" s="3">
        <v>7</v>
      </c>
      <c r="E17" s="3">
        <v>28.938600000000001</v>
      </c>
      <c r="F17" s="3">
        <v>8.1356000000000002</v>
      </c>
      <c r="G17" s="3">
        <v>-0.63470000000000004</v>
      </c>
    </row>
    <row r="18" spans="2:8" x14ac:dyDescent="0.25">
      <c r="D18" s="3">
        <v>8</v>
      </c>
      <c r="E18" s="3">
        <v>28.8734</v>
      </c>
      <c r="F18" s="3">
        <v>8.1569000000000003</v>
      </c>
      <c r="G18" s="3">
        <v>-0.63739999999999997</v>
      </c>
    </row>
    <row r="19" spans="2:8" x14ac:dyDescent="0.25">
      <c r="D19" s="3">
        <v>9</v>
      </c>
      <c r="E19" s="3">
        <v>28.383800000000001</v>
      </c>
      <c r="F19" s="3">
        <v>8.1272000000000002</v>
      </c>
      <c r="G19" s="3">
        <v>-0.65010000000000001</v>
      </c>
    </row>
    <row r="20" spans="2:8" x14ac:dyDescent="0.25">
      <c r="D20" s="3">
        <v>10</v>
      </c>
      <c r="E20" s="3">
        <v>27.8843</v>
      </c>
      <c r="F20" s="3">
        <v>8.1008999999999993</v>
      </c>
      <c r="G20" s="3">
        <v>-0.62139999999999995</v>
      </c>
    </row>
    <row r="21" spans="2:8" x14ac:dyDescent="0.25">
      <c r="D21" s="3">
        <v>11</v>
      </c>
      <c r="E21" s="3">
        <v>27.268999999999998</v>
      </c>
      <c r="F21" s="3">
        <v>8.0786999999999995</v>
      </c>
      <c r="G21" s="3">
        <v>-0.51919999999999999</v>
      </c>
    </row>
    <row r="22" spans="2:8" x14ac:dyDescent="0.25">
      <c r="D22" s="3">
        <v>12</v>
      </c>
      <c r="E22" s="3">
        <v>26.557500000000001</v>
      </c>
      <c r="F22" s="3">
        <v>8.0686999999999998</v>
      </c>
      <c r="G22" s="3">
        <v>-0.29389999999999999</v>
      </c>
    </row>
    <row r="23" spans="2:8" x14ac:dyDescent="0.25">
      <c r="D23" s="3">
        <v>13</v>
      </c>
      <c r="E23" s="3">
        <v>25.687100000000001</v>
      </c>
      <c r="F23" s="3">
        <v>8.0815000000000001</v>
      </c>
      <c r="G23" s="3">
        <v>0.1686</v>
      </c>
    </row>
    <row r="25" spans="2:8" x14ac:dyDescent="0.25">
      <c r="B25" s="8">
        <v>1</v>
      </c>
      <c r="C25" s="8">
        <v>180</v>
      </c>
      <c r="D25" s="8">
        <v>180</v>
      </c>
      <c r="E25" s="8">
        <v>21.0833333</v>
      </c>
      <c r="F25" s="8">
        <v>6.7582972000000003</v>
      </c>
      <c r="G25" s="8">
        <v>9</v>
      </c>
      <c r="H25" s="8">
        <v>37</v>
      </c>
    </row>
    <row r="26" spans="2:8" x14ac:dyDescent="0.25">
      <c r="B26" s="8">
        <v>2</v>
      </c>
      <c r="C26" s="8">
        <v>180</v>
      </c>
      <c r="D26" s="8">
        <v>180</v>
      </c>
      <c r="E26" s="8">
        <v>23.227777799999998</v>
      </c>
      <c r="F26" s="8">
        <v>7.3945704000000001</v>
      </c>
      <c r="G26" s="8">
        <v>7</v>
      </c>
      <c r="H26" s="8">
        <v>40</v>
      </c>
    </row>
    <row r="27" spans="2:8" x14ac:dyDescent="0.25">
      <c r="B27" s="8">
        <v>3</v>
      </c>
      <c r="C27" s="8">
        <v>180</v>
      </c>
      <c r="D27" s="8">
        <v>180</v>
      </c>
      <c r="E27" s="8">
        <v>25.9055556</v>
      </c>
      <c r="F27" s="8">
        <v>6.7812568000000004</v>
      </c>
      <c r="G27" s="8">
        <v>9</v>
      </c>
      <c r="H27" s="8">
        <v>41</v>
      </c>
    </row>
    <row r="28" spans="2:8" x14ac:dyDescent="0.25">
      <c r="B28" s="8">
        <v>4</v>
      </c>
      <c r="C28" s="8">
        <v>180</v>
      </c>
      <c r="D28" s="8">
        <v>180</v>
      </c>
      <c r="E28" s="8">
        <v>26.55</v>
      </c>
      <c r="F28" s="8">
        <v>7.1349913000000003</v>
      </c>
      <c r="G28" s="8">
        <v>4</v>
      </c>
      <c r="H28" s="8">
        <v>44</v>
      </c>
    </row>
    <row r="29" spans="2:8" x14ac:dyDescent="0.25">
      <c r="B29" s="8">
        <v>5</v>
      </c>
      <c r="C29" s="8">
        <v>180</v>
      </c>
      <c r="D29" s="8">
        <v>180</v>
      </c>
      <c r="E29" s="8">
        <v>27.1277778</v>
      </c>
      <c r="F29" s="8">
        <v>8.2867806000000002</v>
      </c>
      <c r="G29" s="8">
        <v>0</v>
      </c>
      <c r="H29" s="8">
        <v>44</v>
      </c>
    </row>
    <row r="30" spans="2:8" x14ac:dyDescent="0.25">
      <c r="B30" s="8">
        <v>6</v>
      </c>
      <c r="C30" s="8">
        <v>180</v>
      </c>
      <c r="D30" s="8">
        <v>180</v>
      </c>
      <c r="E30" s="8">
        <v>27.266666699999998</v>
      </c>
      <c r="F30" s="8">
        <v>7.8467159000000004</v>
      </c>
      <c r="G30" s="8">
        <v>7</v>
      </c>
      <c r="H30" s="8">
        <v>45</v>
      </c>
    </row>
    <row r="31" spans="2:8" x14ac:dyDescent="0.25">
      <c r="B31" s="8">
        <v>7</v>
      </c>
      <c r="C31" s="8">
        <v>180</v>
      </c>
      <c r="D31" s="8">
        <v>180</v>
      </c>
      <c r="E31" s="8">
        <v>28.75</v>
      </c>
      <c r="F31" s="8">
        <v>7.8305197</v>
      </c>
      <c r="G31" s="8">
        <v>7</v>
      </c>
      <c r="H31" s="8">
        <v>44</v>
      </c>
    </row>
    <row r="32" spans="2:8" x14ac:dyDescent="0.25">
      <c r="B32" s="8">
        <v>8</v>
      </c>
      <c r="C32" s="8">
        <v>180</v>
      </c>
      <c r="D32" s="8">
        <v>180</v>
      </c>
      <c r="E32" s="8">
        <v>28.111111099999999</v>
      </c>
      <c r="F32" s="8">
        <v>8.8272615000000005</v>
      </c>
      <c r="G32" s="8">
        <v>4</v>
      </c>
      <c r="H32" s="8">
        <v>45</v>
      </c>
    </row>
    <row r="33" spans="2:8" x14ac:dyDescent="0.25">
      <c r="B33" s="8">
        <v>9</v>
      </c>
      <c r="C33" s="8">
        <v>180</v>
      </c>
      <c r="D33" s="8">
        <v>180</v>
      </c>
      <c r="E33" s="8">
        <v>28.394444400000001</v>
      </c>
      <c r="F33" s="8">
        <v>8.2166864000000004</v>
      </c>
      <c r="G33" s="8">
        <v>7</v>
      </c>
      <c r="H33" s="8">
        <v>45</v>
      </c>
    </row>
    <row r="34" spans="2:8" x14ac:dyDescent="0.25">
      <c r="B34" s="8">
        <v>10</v>
      </c>
      <c r="C34" s="8">
        <v>100</v>
      </c>
      <c r="D34" s="8">
        <v>100</v>
      </c>
      <c r="E34" s="8">
        <v>28.21</v>
      </c>
      <c r="F34" s="8">
        <v>7.4823630999999997</v>
      </c>
      <c r="G34" s="8">
        <v>11</v>
      </c>
      <c r="H34" s="8">
        <v>44</v>
      </c>
    </row>
    <row r="35" spans="2:8" x14ac:dyDescent="0.25">
      <c r="B35" s="8">
        <v>11</v>
      </c>
      <c r="C35" s="8">
        <v>100</v>
      </c>
      <c r="D35" s="8">
        <v>100</v>
      </c>
      <c r="E35" s="8">
        <v>28.85</v>
      </c>
      <c r="F35" s="8">
        <v>7.9332760000000002</v>
      </c>
      <c r="G35" s="8">
        <v>9</v>
      </c>
      <c r="H35" s="8">
        <v>44</v>
      </c>
    </row>
    <row r="36" spans="2:8" x14ac:dyDescent="0.25">
      <c r="B36" s="8">
        <v>12</v>
      </c>
      <c r="C36" s="8">
        <v>100</v>
      </c>
      <c r="D36" s="8">
        <v>100</v>
      </c>
      <c r="E36" s="8">
        <v>26.11</v>
      </c>
      <c r="F36" s="8">
        <v>8.3688877999999995</v>
      </c>
      <c r="G36" s="8">
        <v>8</v>
      </c>
      <c r="H36" s="8">
        <v>42</v>
      </c>
    </row>
    <row r="37" spans="2:8" x14ac:dyDescent="0.25">
      <c r="B37" s="8">
        <v>13</v>
      </c>
      <c r="C37" s="8">
        <v>100</v>
      </c>
      <c r="D37" s="8">
        <v>100</v>
      </c>
      <c r="E37" s="8">
        <v>25.3</v>
      </c>
      <c r="F37" s="8">
        <v>8.0760275999999998</v>
      </c>
      <c r="G37" s="8">
        <v>10</v>
      </c>
      <c r="H37" s="8">
        <v>45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77"/>
  <sheetViews>
    <sheetView tabSelected="1" zoomScale="77" zoomScaleNormal="77" workbookViewId="0">
      <selection activeCell="Q36" sqref="Q36"/>
    </sheetView>
  </sheetViews>
  <sheetFormatPr defaultRowHeight="12" customHeight="1" x14ac:dyDescent="0.2"/>
  <cols>
    <col min="1" max="1" width="11.5703125" style="7" customWidth="1"/>
    <col min="2" max="3" width="9.140625" style="3" bestFit="1" customWidth="1"/>
    <col min="4" max="4" width="10.140625" style="3" bestFit="1" customWidth="1"/>
    <col min="5" max="7" width="9.140625" style="3" bestFit="1" customWidth="1"/>
    <col min="8" max="9" width="10.140625" style="3" bestFit="1" customWidth="1"/>
    <col min="10" max="10" width="9.140625" style="3" bestFit="1" customWidth="1"/>
    <col min="11" max="12" width="10.140625" style="3" bestFit="1" customWidth="1"/>
    <col min="13" max="14" width="9.140625" style="3" bestFit="1" customWidth="1"/>
    <col min="15" max="15" width="9.140625" style="3"/>
    <col min="16" max="27" width="6.85546875" style="3" customWidth="1"/>
    <col min="28" max="28" width="7.7109375" style="3" customWidth="1"/>
    <col min="29" max="41" width="5.42578125" style="3" customWidth="1"/>
    <col min="42" max="55" width="7.7109375" style="3" customWidth="1"/>
    <col min="56" max="16384" width="9.140625" style="3"/>
  </cols>
  <sheetData>
    <row r="1" spans="1:69" ht="45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5" t="s">
        <v>21</v>
      </c>
      <c r="W1" s="25" t="s">
        <v>22</v>
      </c>
      <c r="X1" s="25" t="s">
        <v>23</v>
      </c>
      <c r="Y1" s="25" t="s">
        <v>24</v>
      </c>
      <c r="Z1" s="25" t="s">
        <v>25</v>
      </c>
      <c r="AA1" s="25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</row>
    <row r="2" spans="1:69" ht="15" x14ac:dyDescent="0.2">
      <c r="A2" s="4">
        <v>0</v>
      </c>
      <c r="B2" s="5">
        <v>1</v>
      </c>
      <c r="C2" s="5">
        <v>1</v>
      </c>
      <c r="D2" s="5">
        <v>1</v>
      </c>
      <c r="E2" s="5">
        <v>1</v>
      </c>
      <c r="F2" s="5">
        <v>1</v>
      </c>
      <c r="G2" s="5">
        <v>1</v>
      </c>
      <c r="H2" s="5">
        <v>1</v>
      </c>
      <c r="I2" s="5">
        <v>1</v>
      </c>
      <c r="J2" s="5">
        <v>1</v>
      </c>
      <c r="K2" s="5">
        <v>1</v>
      </c>
      <c r="L2" s="5">
        <v>1</v>
      </c>
      <c r="M2" s="5">
        <v>1</v>
      </c>
      <c r="N2" s="5">
        <v>1</v>
      </c>
      <c r="O2" s="5" t="s">
        <v>42</v>
      </c>
      <c r="P2" s="22">
        <f>B2-C2</f>
        <v>0</v>
      </c>
      <c r="Q2" s="22">
        <f t="shared" ref="Q2:Q47" si="0">C2-D2</f>
        <v>0</v>
      </c>
      <c r="R2" s="22">
        <f t="shared" ref="R2:R47" si="1">D2-E2</f>
        <v>0</v>
      </c>
      <c r="S2" s="22">
        <f t="shared" ref="S2:S47" si="2">E2-F2</f>
        <v>0</v>
      </c>
      <c r="T2" s="22">
        <f t="shared" ref="T2:T47" si="3">F2-G2</f>
        <v>0</v>
      </c>
      <c r="U2" s="22">
        <f t="shared" ref="U2:U47" si="4">G2-H2</f>
        <v>0</v>
      </c>
      <c r="V2" s="22">
        <f t="shared" ref="V2:V47" si="5">H2-I2</f>
        <v>0</v>
      </c>
      <c r="W2" s="22">
        <f t="shared" ref="W2:W47" si="6">I2-J2</f>
        <v>0</v>
      </c>
      <c r="X2" s="22">
        <f t="shared" ref="X2:X47" si="7">J2-K2</f>
        <v>0</v>
      </c>
      <c r="Y2" s="22">
        <f t="shared" ref="Y2:Y47" si="8">K2-L2</f>
        <v>0</v>
      </c>
      <c r="Z2" s="22">
        <f t="shared" ref="Z2:Z47" si="9">L2-M2</f>
        <v>0</v>
      </c>
      <c r="AA2" s="22">
        <f t="shared" ref="AA2:AA47" si="10">M2-N2</f>
        <v>0</v>
      </c>
      <c r="AB2" s="5" t="s">
        <v>42</v>
      </c>
      <c r="AC2" s="5">
        <f>B3-B2</f>
        <v>0</v>
      </c>
      <c r="AD2" s="5">
        <f t="shared" ref="AD2:AD46" si="11">C3-C2</f>
        <v>0</v>
      </c>
      <c r="AE2" s="5">
        <f t="shared" ref="AE2:AE46" si="12">D3-D2</f>
        <v>0</v>
      </c>
      <c r="AF2" s="5">
        <f t="shared" ref="AF2:AF46" si="13">E3-E2</f>
        <v>0</v>
      </c>
      <c r="AG2" s="5">
        <f t="shared" ref="AG2:AG46" si="14">F3-F2</f>
        <v>0</v>
      </c>
      <c r="AH2" s="5">
        <f t="shared" ref="AH2:AH46" si="15">G3-G2</f>
        <v>0</v>
      </c>
      <c r="AI2" s="5">
        <f t="shared" ref="AI2:AI46" si="16">H3-H2</f>
        <v>0</v>
      </c>
      <c r="AJ2" s="5">
        <f t="shared" ref="AJ2:AJ46" si="17">I3-I2</f>
        <v>0</v>
      </c>
      <c r="AK2" s="5">
        <f t="shared" ref="AK2:AK46" si="18">J3-J2</f>
        <v>0</v>
      </c>
      <c r="AL2" s="5">
        <f t="shared" ref="AL2:AL46" si="19">K3-K2</f>
        <v>0</v>
      </c>
      <c r="AM2" s="5">
        <f t="shared" ref="AM2:AM46" si="20">L3-L2</f>
        <v>0</v>
      </c>
      <c r="AN2" s="5">
        <f t="shared" ref="AN2:AN46" si="21">M3-M2</f>
        <v>0</v>
      </c>
      <c r="AO2" s="5">
        <f t="shared" ref="AO2:AO46" si="22">N3-N2</f>
        <v>0</v>
      </c>
      <c r="AP2" s="5" t="s">
        <v>43</v>
      </c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</row>
    <row r="3" spans="1:69" ht="15" x14ac:dyDescent="0.2">
      <c r="A3" s="4">
        <v>1</v>
      </c>
      <c r="B3" s="5">
        <v>1</v>
      </c>
      <c r="C3" s="5">
        <v>1</v>
      </c>
      <c r="D3" s="5">
        <v>1</v>
      </c>
      <c r="E3" s="5">
        <v>1</v>
      </c>
      <c r="F3" s="5">
        <v>1</v>
      </c>
      <c r="G3" s="5">
        <v>1</v>
      </c>
      <c r="H3" s="5">
        <v>1</v>
      </c>
      <c r="I3" s="5">
        <v>1</v>
      </c>
      <c r="J3" s="5">
        <v>1</v>
      </c>
      <c r="K3" s="5">
        <v>1</v>
      </c>
      <c r="L3" s="5">
        <v>1</v>
      </c>
      <c r="M3" s="5">
        <v>1</v>
      </c>
      <c r="N3" s="5">
        <v>1</v>
      </c>
      <c r="O3" s="5" t="s">
        <v>42</v>
      </c>
      <c r="P3" s="22">
        <f t="shared" ref="P3:P47" si="23">B3-C3</f>
        <v>0</v>
      </c>
      <c r="Q3" s="22">
        <f t="shared" si="0"/>
        <v>0</v>
      </c>
      <c r="R3" s="22">
        <f t="shared" si="1"/>
        <v>0</v>
      </c>
      <c r="S3" s="22">
        <f t="shared" si="2"/>
        <v>0</v>
      </c>
      <c r="T3" s="22">
        <f t="shared" si="3"/>
        <v>0</v>
      </c>
      <c r="U3" s="22">
        <f t="shared" si="4"/>
        <v>0</v>
      </c>
      <c r="V3" s="22">
        <f t="shared" si="5"/>
        <v>0</v>
      </c>
      <c r="W3" s="22">
        <f t="shared" si="6"/>
        <v>0</v>
      </c>
      <c r="X3" s="22">
        <f t="shared" si="7"/>
        <v>0</v>
      </c>
      <c r="Y3" s="22">
        <f t="shared" si="8"/>
        <v>0</v>
      </c>
      <c r="Z3" s="22">
        <f t="shared" si="9"/>
        <v>0</v>
      </c>
      <c r="AA3" s="22">
        <f t="shared" si="10"/>
        <v>0</v>
      </c>
      <c r="AB3" s="5" t="s">
        <v>42</v>
      </c>
      <c r="AC3" s="5">
        <f t="shared" ref="AC3:AC45" si="24">B4-B3</f>
        <v>1</v>
      </c>
      <c r="AD3" s="5">
        <f t="shared" si="11"/>
        <v>0</v>
      </c>
      <c r="AE3" s="5">
        <f t="shared" si="12"/>
        <v>0</v>
      </c>
      <c r="AF3" s="5">
        <f t="shared" si="13"/>
        <v>0</v>
      </c>
      <c r="AG3" s="5">
        <f t="shared" si="14"/>
        <v>0</v>
      </c>
      <c r="AH3" s="5">
        <f t="shared" si="15"/>
        <v>0</v>
      </c>
      <c r="AI3" s="5">
        <f t="shared" si="16"/>
        <v>0</v>
      </c>
      <c r="AJ3" s="5">
        <f t="shared" si="17"/>
        <v>0</v>
      </c>
      <c r="AK3" s="5">
        <f t="shared" si="18"/>
        <v>0</v>
      </c>
      <c r="AL3" s="5">
        <f t="shared" si="19"/>
        <v>0</v>
      </c>
      <c r="AM3" s="5">
        <f t="shared" si="20"/>
        <v>0</v>
      </c>
      <c r="AN3" s="5">
        <f t="shared" si="21"/>
        <v>0</v>
      </c>
      <c r="AO3" s="5">
        <f t="shared" si="22"/>
        <v>1</v>
      </c>
      <c r="AP3" s="5" t="s">
        <v>43</v>
      </c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</row>
    <row r="4" spans="1:69" ht="15" x14ac:dyDescent="0.2">
      <c r="A4" s="4">
        <v>2</v>
      </c>
      <c r="B4" s="5">
        <v>2</v>
      </c>
      <c r="C4" s="5">
        <v>1</v>
      </c>
      <c r="D4" s="5">
        <v>1</v>
      </c>
      <c r="E4" s="5">
        <v>1</v>
      </c>
      <c r="F4" s="5">
        <v>1</v>
      </c>
      <c r="G4" s="5">
        <v>1</v>
      </c>
      <c r="H4" s="5">
        <v>1</v>
      </c>
      <c r="I4" s="5">
        <v>1</v>
      </c>
      <c r="J4" s="5">
        <v>1</v>
      </c>
      <c r="K4" s="5">
        <v>1</v>
      </c>
      <c r="L4" s="5">
        <v>1</v>
      </c>
      <c r="M4" s="5">
        <v>1</v>
      </c>
      <c r="N4" s="5">
        <v>2</v>
      </c>
      <c r="O4" s="5" t="s">
        <v>42</v>
      </c>
      <c r="P4" s="22">
        <f t="shared" si="23"/>
        <v>1</v>
      </c>
      <c r="Q4" s="22">
        <f t="shared" si="0"/>
        <v>0</v>
      </c>
      <c r="R4" s="22">
        <f t="shared" si="1"/>
        <v>0</v>
      </c>
      <c r="S4" s="22">
        <f t="shared" si="2"/>
        <v>0</v>
      </c>
      <c r="T4" s="22">
        <f t="shared" si="3"/>
        <v>0</v>
      </c>
      <c r="U4" s="22">
        <f t="shared" si="4"/>
        <v>0</v>
      </c>
      <c r="V4" s="22">
        <f t="shared" si="5"/>
        <v>0</v>
      </c>
      <c r="W4" s="22">
        <f t="shared" si="6"/>
        <v>0</v>
      </c>
      <c r="X4" s="22">
        <f t="shared" si="7"/>
        <v>0</v>
      </c>
      <c r="Y4" s="22">
        <f t="shared" si="8"/>
        <v>0</v>
      </c>
      <c r="Z4" s="22">
        <f t="shared" si="9"/>
        <v>0</v>
      </c>
      <c r="AA4" s="22">
        <f t="shared" si="10"/>
        <v>-1</v>
      </c>
      <c r="AB4" s="5" t="s">
        <v>42</v>
      </c>
      <c r="AC4" s="5">
        <f t="shared" si="24"/>
        <v>0</v>
      </c>
      <c r="AD4" s="5">
        <f t="shared" si="11"/>
        <v>1</v>
      </c>
      <c r="AE4" s="5">
        <f t="shared" si="12"/>
        <v>0</v>
      </c>
      <c r="AF4" s="5">
        <f t="shared" si="13"/>
        <v>0</v>
      </c>
      <c r="AG4" s="5">
        <f t="shared" si="14"/>
        <v>0</v>
      </c>
      <c r="AH4" s="5">
        <f t="shared" si="15"/>
        <v>0</v>
      </c>
      <c r="AI4" s="5">
        <f t="shared" si="16"/>
        <v>0</v>
      </c>
      <c r="AJ4" s="5">
        <f t="shared" si="17"/>
        <v>0</v>
      </c>
      <c r="AK4" s="5">
        <f t="shared" si="18"/>
        <v>1</v>
      </c>
      <c r="AL4" s="5">
        <f t="shared" si="19"/>
        <v>1</v>
      </c>
      <c r="AM4" s="5">
        <f t="shared" si="20"/>
        <v>1</v>
      </c>
      <c r="AN4" s="5">
        <f t="shared" si="21"/>
        <v>1</v>
      </c>
      <c r="AO4" s="5">
        <f t="shared" si="22"/>
        <v>0</v>
      </c>
      <c r="AP4" s="5" t="s">
        <v>43</v>
      </c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</row>
    <row r="5" spans="1:69" ht="15" x14ac:dyDescent="0.2">
      <c r="A5" s="4">
        <v>3</v>
      </c>
      <c r="B5" s="5">
        <v>2</v>
      </c>
      <c r="C5" s="5">
        <v>2</v>
      </c>
      <c r="D5" s="5">
        <v>1</v>
      </c>
      <c r="E5" s="5">
        <v>1</v>
      </c>
      <c r="F5" s="5">
        <v>1</v>
      </c>
      <c r="G5" s="5">
        <v>1</v>
      </c>
      <c r="H5" s="5">
        <v>1</v>
      </c>
      <c r="I5" s="5">
        <v>1</v>
      </c>
      <c r="J5" s="5">
        <v>2</v>
      </c>
      <c r="K5" s="5">
        <v>2</v>
      </c>
      <c r="L5" s="5">
        <v>2</v>
      </c>
      <c r="M5" s="5">
        <v>2</v>
      </c>
      <c r="N5" s="5">
        <v>2</v>
      </c>
      <c r="O5" s="5" t="s">
        <v>42</v>
      </c>
      <c r="P5" s="22">
        <f t="shared" si="23"/>
        <v>0</v>
      </c>
      <c r="Q5" s="22">
        <f t="shared" si="0"/>
        <v>1</v>
      </c>
      <c r="R5" s="22">
        <f t="shared" si="1"/>
        <v>0</v>
      </c>
      <c r="S5" s="22">
        <f t="shared" si="2"/>
        <v>0</v>
      </c>
      <c r="T5" s="22">
        <f t="shared" si="3"/>
        <v>0</v>
      </c>
      <c r="U5" s="22">
        <f t="shared" si="4"/>
        <v>0</v>
      </c>
      <c r="V5" s="22">
        <f t="shared" si="5"/>
        <v>0</v>
      </c>
      <c r="W5" s="22">
        <f t="shared" si="6"/>
        <v>-1</v>
      </c>
      <c r="X5" s="22">
        <f t="shared" si="7"/>
        <v>0</v>
      </c>
      <c r="Y5" s="22">
        <f t="shared" si="8"/>
        <v>0</v>
      </c>
      <c r="Z5" s="22">
        <f t="shared" si="9"/>
        <v>0</v>
      </c>
      <c r="AA5" s="22">
        <f t="shared" si="10"/>
        <v>0</v>
      </c>
      <c r="AB5" s="5" t="s">
        <v>42</v>
      </c>
      <c r="AC5" s="5">
        <f t="shared" si="24"/>
        <v>1</v>
      </c>
      <c r="AD5" s="5">
        <f t="shared" si="11"/>
        <v>0</v>
      </c>
      <c r="AE5" s="5">
        <f t="shared" si="12"/>
        <v>1</v>
      </c>
      <c r="AF5" s="5">
        <f t="shared" si="13"/>
        <v>1</v>
      </c>
      <c r="AG5" s="5">
        <f t="shared" si="14"/>
        <v>1</v>
      </c>
      <c r="AH5" s="5">
        <f t="shared" si="15"/>
        <v>1</v>
      </c>
      <c r="AI5" s="5">
        <f t="shared" si="16"/>
        <v>1</v>
      </c>
      <c r="AJ5" s="5">
        <f t="shared" si="17"/>
        <v>1</v>
      </c>
      <c r="AK5" s="5">
        <f t="shared" si="18"/>
        <v>0</v>
      </c>
      <c r="AL5" s="5">
        <f t="shared" si="19"/>
        <v>0</v>
      </c>
      <c r="AM5" s="5">
        <f t="shared" si="20"/>
        <v>0</v>
      </c>
      <c r="AN5" s="5">
        <f t="shared" si="21"/>
        <v>0</v>
      </c>
      <c r="AO5" s="5">
        <f t="shared" si="22"/>
        <v>1</v>
      </c>
      <c r="AP5" s="5" t="s">
        <v>43</v>
      </c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</row>
    <row r="6" spans="1:69" ht="15" x14ac:dyDescent="0.2">
      <c r="A6" s="4">
        <v>4</v>
      </c>
      <c r="B6" s="5">
        <v>3</v>
      </c>
      <c r="C6" s="5">
        <v>2</v>
      </c>
      <c r="D6" s="5">
        <v>2</v>
      </c>
      <c r="E6" s="5">
        <v>2</v>
      </c>
      <c r="F6" s="5">
        <v>2</v>
      </c>
      <c r="G6" s="5">
        <v>2</v>
      </c>
      <c r="H6" s="5">
        <v>2</v>
      </c>
      <c r="I6" s="5">
        <v>2</v>
      </c>
      <c r="J6" s="5">
        <v>2</v>
      </c>
      <c r="K6" s="5">
        <v>2</v>
      </c>
      <c r="L6" s="5">
        <v>2</v>
      </c>
      <c r="M6" s="5">
        <v>2</v>
      </c>
      <c r="N6" s="5">
        <v>3</v>
      </c>
      <c r="O6" s="5" t="s">
        <v>42</v>
      </c>
      <c r="P6" s="22">
        <f t="shared" si="23"/>
        <v>1</v>
      </c>
      <c r="Q6" s="22">
        <f t="shared" si="0"/>
        <v>0</v>
      </c>
      <c r="R6" s="22">
        <f t="shared" si="1"/>
        <v>0</v>
      </c>
      <c r="S6" s="22">
        <f t="shared" si="2"/>
        <v>0</v>
      </c>
      <c r="T6" s="22">
        <f t="shared" si="3"/>
        <v>0</v>
      </c>
      <c r="U6" s="22">
        <f t="shared" si="4"/>
        <v>0</v>
      </c>
      <c r="V6" s="22">
        <f t="shared" si="5"/>
        <v>0</v>
      </c>
      <c r="W6" s="22">
        <f t="shared" si="6"/>
        <v>0</v>
      </c>
      <c r="X6" s="22">
        <f t="shared" si="7"/>
        <v>0</v>
      </c>
      <c r="Y6" s="22">
        <f t="shared" si="8"/>
        <v>0</v>
      </c>
      <c r="Z6" s="22">
        <f t="shared" si="9"/>
        <v>0</v>
      </c>
      <c r="AA6" s="22">
        <f t="shared" si="10"/>
        <v>-1</v>
      </c>
      <c r="AB6" s="5" t="s">
        <v>42</v>
      </c>
      <c r="AC6" s="5">
        <f t="shared" si="24"/>
        <v>0</v>
      </c>
      <c r="AD6" s="5">
        <f t="shared" si="11"/>
        <v>1</v>
      </c>
      <c r="AE6" s="5">
        <f t="shared" si="12"/>
        <v>0</v>
      </c>
      <c r="AF6" s="5">
        <f t="shared" si="13"/>
        <v>0</v>
      </c>
      <c r="AG6" s="5">
        <f t="shared" si="14"/>
        <v>0</v>
      </c>
      <c r="AH6" s="5">
        <f t="shared" si="15"/>
        <v>0</v>
      </c>
      <c r="AI6" s="5">
        <f t="shared" si="16"/>
        <v>0</v>
      </c>
      <c r="AJ6" s="5">
        <f t="shared" si="17"/>
        <v>0</v>
      </c>
      <c r="AK6" s="5">
        <f t="shared" si="18"/>
        <v>1</v>
      </c>
      <c r="AL6" s="5">
        <f t="shared" si="19"/>
        <v>1</v>
      </c>
      <c r="AM6" s="5">
        <f t="shared" si="20"/>
        <v>1</v>
      </c>
      <c r="AN6" s="5">
        <f t="shared" si="21"/>
        <v>1</v>
      </c>
      <c r="AO6" s="5">
        <f t="shared" si="22"/>
        <v>0</v>
      </c>
      <c r="AP6" s="5" t="s">
        <v>43</v>
      </c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</row>
    <row r="7" spans="1:69" ht="15" x14ac:dyDescent="0.2">
      <c r="A7" s="4">
        <v>5</v>
      </c>
      <c r="B7" s="5">
        <v>3</v>
      </c>
      <c r="C7" s="5">
        <v>3</v>
      </c>
      <c r="D7" s="5">
        <v>2</v>
      </c>
      <c r="E7" s="5">
        <v>2</v>
      </c>
      <c r="F7" s="5">
        <v>2</v>
      </c>
      <c r="G7" s="5">
        <v>2</v>
      </c>
      <c r="H7" s="5">
        <v>2</v>
      </c>
      <c r="I7" s="5">
        <v>2</v>
      </c>
      <c r="J7" s="5">
        <v>3</v>
      </c>
      <c r="K7" s="5">
        <v>3</v>
      </c>
      <c r="L7" s="5">
        <v>3</v>
      </c>
      <c r="M7" s="5">
        <v>3</v>
      </c>
      <c r="N7" s="5">
        <v>3</v>
      </c>
      <c r="O7" s="5" t="s">
        <v>42</v>
      </c>
      <c r="P7" s="22">
        <f t="shared" si="23"/>
        <v>0</v>
      </c>
      <c r="Q7" s="22">
        <f t="shared" si="0"/>
        <v>1</v>
      </c>
      <c r="R7" s="22">
        <f t="shared" si="1"/>
        <v>0</v>
      </c>
      <c r="S7" s="22">
        <f t="shared" si="2"/>
        <v>0</v>
      </c>
      <c r="T7" s="22">
        <f t="shared" si="3"/>
        <v>0</v>
      </c>
      <c r="U7" s="22">
        <f t="shared" si="4"/>
        <v>0</v>
      </c>
      <c r="V7" s="22">
        <f t="shared" si="5"/>
        <v>0</v>
      </c>
      <c r="W7" s="22">
        <f t="shared" si="6"/>
        <v>-1</v>
      </c>
      <c r="X7" s="22">
        <f t="shared" si="7"/>
        <v>0</v>
      </c>
      <c r="Y7" s="22">
        <f t="shared" si="8"/>
        <v>0</v>
      </c>
      <c r="Z7" s="22">
        <f t="shared" si="9"/>
        <v>0</v>
      </c>
      <c r="AA7" s="22">
        <f t="shared" si="10"/>
        <v>0</v>
      </c>
      <c r="AB7" s="5" t="s">
        <v>42</v>
      </c>
      <c r="AC7" s="5">
        <f t="shared" si="24"/>
        <v>1</v>
      </c>
      <c r="AD7" s="5">
        <f t="shared" si="11"/>
        <v>0</v>
      </c>
      <c r="AE7" s="5">
        <f t="shared" si="12"/>
        <v>1</v>
      </c>
      <c r="AF7" s="5">
        <f t="shared" si="13"/>
        <v>1</v>
      </c>
      <c r="AG7" s="5">
        <f t="shared" si="14"/>
        <v>1</v>
      </c>
      <c r="AH7" s="5">
        <f t="shared" si="15"/>
        <v>1</v>
      </c>
      <c r="AI7" s="5">
        <f t="shared" si="16"/>
        <v>1</v>
      </c>
      <c r="AJ7" s="5">
        <f t="shared" si="17"/>
        <v>1</v>
      </c>
      <c r="AK7" s="5">
        <f t="shared" si="18"/>
        <v>0</v>
      </c>
      <c r="AL7" s="5">
        <f t="shared" si="19"/>
        <v>0</v>
      </c>
      <c r="AM7" s="5">
        <f t="shared" si="20"/>
        <v>0</v>
      </c>
      <c r="AN7" s="5">
        <f t="shared" si="21"/>
        <v>0</v>
      </c>
      <c r="AO7" s="5">
        <f t="shared" si="22"/>
        <v>0</v>
      </c>
      <c r="AP7" s="5" t="s">
        <v>43</v>
      </c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</row>
    <row r="8" spans="1:69" ht="15" x14ac:dyDescent="0.2">
      <c r="A8" s="4">
        <v>6</v>
      </c>
      <c r="B8" s="5">
        <v>4</v>
      </c>
      <c r="C8" s="5">
        <v>3</v>
      </c>
      <c r="D8" s="5">
        <v>3</v>
      </c>
      <c r="E8" s="5">
        <v>3</v>
      </c>
      <c r="F8" s="5">
        <v>3</v>
      </c>
      <c r="G8" s="5">
        <v>3</v>
      </c>
      <c r="H8" s="5">
        <v>3</v>
      </c>
      <c r="I8" s="5">
        <v>3</v>
      </c>
      <c r="J8" s="5">
        <v>3</v>
      </c>
      <c r="K8" s="5">
        <v>3</v>
      </c>
      <c r="L8" s="5">
        <v>3</v>
      </c>
      <c r="M8" s="5">
        <v>3</v>
      </c>
      <c r="N8" s="5">
        <v>3</v>
      </c>
      <c r="O8" s="5" t="s">
        <v>42</v>
      </c>
      <c r="P8" s="22">
        <f t="shared" si="23"/>
        <v>1</v>
      </c>
      <c r="Q8" s="22">
        <f t="shared" si="0"/>
        <v>0</v>
      </c>
      <c r="R8" s="22">
        <f t="shared" si="1"/>
        <v>0</v>
      </c>
      <c r="S8" s="22">
        <f t="shared" si="2"/>
        <v>0</v>
      </c>
      <c r="T8" s="22">
        <f t="shared" si="3"/>
        <v>0</v>
      </c>
      <c r="U8" s="22">
        <f t="shared" si="4"/>
        <v>0</v>
      </c>
      <c r="V8" s="22">
        <f t="shared" si="5"/>
        <v>0</v>
      </c>
      <c r="W8" s="22">
        <f t="shared" si="6"/>
        <v>0</v>
      </c>
      <c r="X8" s="22">
        <f t="shared" si="7"/>
        <v>0</v>
      </c>
      <c r="Y8" s="22">
        <f t="shared" si="8"/>
        <v>0</v>
      </c>
      <c r="Z8" s="22">
        <f t="shared" si="9"/>
        <v>0</v>
      </c>
      <c r="AA8" s="22">
        <f t="shared" si="10"/>
        <v>0</v>
      </c>
      <c r="AB8" s="5" t="s">
        <v>42</v>
      </c>
      <c r="AC8" s="5">
        <f t="shared" si="24"/>
        <v>0</v>
      </c>
      <c r="AD8" s="5">
        <f t="shared" si="11"/>
        <v>0</v>
      </c>
      <c r="AE8" s="5">
        <f t="shared" si="12"/>
        <v>0</v>
      </c>
      <c r="AF8" s="5">
        <f t="shared" si="13"/>
        <v>0</v>
      </c>
      <c r="AG8" s="5">
        <f t="shared" si="14"/>
        <v>0</v>
      </c>
      <c r="AH8" s="5">
        <f t="shared" si="15"/>
        <v>0</v>
      </c>
      <c r="AI8" s="5">
        <f t="shared" si="16"/>
        <v>0</v>
      </c>
      <c r="AJ8" s="5">
        <f t="shared" si="17"/>
        <v>0</v>
      </c>
      <c r="AK8" s="5">
        <f t="shared" si="18"/>
        <v>0</v>
      </c>
      <c r="AL8" s="5">
        <f t="shared" si="19"/>
        <v>0</v>
      </c>
      <c r="AM8" s="5">
        <f t="shared" si="20"/>
        <v>0</v>
      </c>
      <c r="AN8" s="5">
        <f t="shared" si="21"/>
        <v>0</v>
      </c>
      <c r="AO8" s="5">
        <f t="shared" si="22"/>
        <v>1</v>
      </c>
      <c r="AP8" s="5" t="s">
        <v>43</v>
      </c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</row>
    <row r="9" spans="1:69" ht="15" x14ac:dyDescent="0.2">
      <c r="A9" s="4">
        <v>7</v>
      </c>
      <c r="B9" s="5">
        <v>4</v>
      </c>
      <c r="C9" s="5">
        <v>3</v>
      </c>
      <c r="D9" s="5">
        <v>3</v>
      </c>
      <c r="E9" s="5">
        <v>3</v>
      </c>
      <c r="F9" s="5">
        <v>3</v>
      </c>
      <c r="G9" s="5">
        <v>3</v>
      </c>
      <c r="H9" s="5">
        <v>3</v>
      </c>
      <c r="I9" s="5">
        <v>3</v>
      </c>
      <c r="J9" s="5">
        <v>3</v>
      </c>
      <c r="K9" s="5">
        <v>3</v>
      </c>
      <c r="L9" s="5">
        <v>3</v>
      </c>
      <c r="M9" s="5">
        <v>3</v>
      </c>
      <c r="N9" s="5">
        <v>4</v>
      </c>
      <c r="O9" s="5" t="s">
        <v>42</v>
      </c>
      <c r="P9" s="22">
        <f t="shared" si="23"/>
        <v>1</v>
      </c>
      <c r="Q9" s="22">
        <f t="shared" si="0"/>
        <v>0</v>
      </c>
      <c r="R9" s="22">
        <f t="shared" si="1"/>
        <v>0</v>
      </c>
      <c r="S9" s="22">
        <f t="shared" si="2"/>
        <v>0</v>
      </c>
      <c r="T9" s="22">
        <f t="shared" si="3"/>
        <v>0</v>
      </c>
      <c r="U9" s="22">
        <f t="shared" si="4"/>
        <v>0</v>
      </c>
      <c r="V9" s="22">
        <f t="shared" si="5"/>
        <v>0</v>
      </c>
      <c r="W9" s="22">
        <f t="shared" si="6"/>
        <v>0</v>
      </c>
      <c r="X9" s="22">
        <f t="shared" si="7"/>
        <v>0</v>
      </c>
      <c r="Y9" s="22">
        <f t="shared" si="8"/>
        <v>0</v>
      </c>
      <c r="Z9" s="22">
        <f t="shared" si="9"/>
        <v>0</v>
      </c>
      <c r="AA9" s="22">
        <f t="shared" si="10"/>
        <v>-1</v>
      </c>
      <c r="AB9" s="5" t="s">
        <v>42</v>
      </c>
      <c r="AC9" s="5">
        <f t="shared" si="24"/>
        <v>0</v>
      </c>
      <c r="AD9" s="5">
        <f t="shared" si="11"/>
        <v>1</v>
      </c>
      <c r="AE9" s="5">
        <f t="shared" si="12"/>
        <v>0</v>
      </c>
      <c r="AF9" s="5">
        <f t="shared" si="13"/>
        <v>0</v>
      </c>
      <c r="AG9" s="5">
        <f t="shared" si="14"/>
        <v>0</v>
      </c>
      <c r="AH9" s="5">
        <f t="shared" si="15"/>
        <v>0</v>
      </c>
      <c r="AI9" s="5">
        <f t="shared" si="16"/>
        <v>0</v>
      </c>
      <c r="AJ9" s="5">
        <f t="shared" si="17"/>
        <v>0</v>
      </c>
      <c r="AK9" s="5">
        <f t="shared" si="18"/>
        <v>1</v>
      </c>
      <c r="AL9" s="5">
        <f t="shared" si="19"/>
        <v>1</v>
      </c>
      <c r="AM9" s="5">
        <f t="shared" si="20"/>
        <v>1</v>
      </c>
      <c r="AN9" s="5">
        <f t="shared" si="21"/>
        <v>1</v>
      </c>
      <c r="AO9" s="5">
        <f t="shared" si="22"/>
        <v>0</v>
      </c>
      <c r="AP9" s="5" t="s">
        <v>43</v>
      </c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</row>
    <row r="10" spans="1:69" ht="15" x14ac:dyDescent="0.2">
      <c r="A10" s="4">
        <v>8</v>
      </c>
      <c r="B10" s="5">
        <v>4</v>
      </c>
      <c r="C10" s="5">
        <v>4</v>
      </c>
      <c r="D10" s="5">
        <v>3</v>
      </c>
      <c r="E10" s="5">
        <v>3</v>
      </c>
      <c r="F10" s="5">
        <v>3</v>
      </c>
      <c r="G10" s="5">
        <v>3</v>
      </c>
      <c r="H10" s="5">
        <v>3</v>
      </c>
      <c r="I10" s="5">
        <v>3</v>
      </c>
      <c r="J10" s="5">
        <v>4</v>
      </c>
      <c r="K10" s="5">
        <v>4</v>
      </c>
      <c r="L10" s="5">
        <v>4</v>
      </c>
      <c r="M10" s="5">
        <v>4</v>
      </c>
      <c r="N10" s="5">
        <v>4</v>
      </c>
      <c r="O10" s="5" t="s">
        <v>42</v>
      </c>
      <c r="P10" s="22">
        <f t="shared" si="23"/>
        <v>0</v>
      </c>
      <c r="Q10" s="22">
        <f t="shared" si="0"/>
        <v>1</v>
      </c>
      <c r="R10" s="22">
        <f t="shared" si="1"/>
        <v>0</v>
      </c>
      <c r="S10" s="22">
        <f t="shared" si="2"/>
        <v>0</v>
      </c>
      <c r="T10" s="22">
        <f t="shared" si="3"/>
        <v>0</v>
      </c>
      <c r="U10" s="22">
        <f t="shared" si="4"/>
        <v>0</v>
      </c>
      <c r="V10" s="22">
        <f t="shared" si="5"/>
        <v>0</v>
      </c>
      <c r="W10" s="22">
        <f t="shared" si="6"/>
        <v>-1</v>
      </c>
      <c r="X10" s="22">
        <f t="shared" si="7"/>
        <v>0</v>
      </c>
      <c r="Y10" s="22">
        <f t="shared" si="8"/>
        <v>0</v>
      </c>
      <c r="Z10" s="22">
        <f t="shared" si="9"/>
        <v>0</v>
      </c>
      <c r="AA10" s="22">
        <f t="shared" si="10"/>
        <v>0</v>
      </c>
      <c r="AB10" s="5" t="s">
        <v>42</v>
      </c>
      <c r="AC10" s="5">
        <f t="shared" si="24"/>
        <v>1</v>
      </c>
      <c r="AD10" s="5">
        <f t="shared" si="11"/>
        <v>0</v>
      </c>
      <c r="AE10" s="5">
        <f t="shared" si="12"/>
        <v>1</v>
      </c>
      <c r="AF10" s="5">
        <f t="shared" si="13"/>
        <v>1</v>
      </c>
      <c r="AG10" s="5">
        <f t="shared" si="14"/>
        <v>1</v>
      </c>
      <c r="AH10" s="5">
        <f t="shared" si="15"/>
        <v>1</v>
      </c>
      <c r="AI10" s="5">
        <f t="shared" si="16"/>
        <v>1</v>
      </c>
      <c r="AJ10" s="5">
        <f t="shared" si="17"/>
        <v>1</v>
      </c>
      <c r="AK10" s="5">
        <f t="shared" si="18"/>
        <v>0</v>
      </c>
      <c r="AL10" s="5">
        <f t="shared" si="19"/>
        <v>0</v>
      </c>
      <c r="AM10" s="5">
        <f t="shared" si="20"/>
        <v>0</v>
      </c>
      <c r="AN10" s="5">
        <f t="shared" si="21"/>
        <v>0</v>
      </c>
      <c r="AO10" s="5">
        <f t="shared" si="22"/>
        <v>0</v>
      </c>
      <c r="AP10" s="5" t="s">
        <v>43</v>
      </c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</row>
    <row r="11" spans="1:69" ht="15" x14ac:dyDescent="0.2">
      <c r="A11" s="4">
        <v>9</v>
      </c>
      <c r="B11" s="5">
        <v>5</v>
      </c>
      <c r="C11" s="5">
        <v>4</v>
      </c>
      <c r="D11" s="5">
        <v>4</v>
      </c>
      <c r="E11" s="5">
        <v>4</v>
      </c>
      <c r="F11" s="5">
        <v>4</v>
      </c>
      <c r="G11" s="5">
        <v>4</v>
      </c>
      <c r="H11" s="5">
        <v>4</v>
      </c>
      <c r="I11" s="5">
        <v>4</v>
      </c>
      <c r="J11" s="5">
        <v>4</v>
      </c>
      <c r="K11" s="5">
        <v>4</v>
      </c>
      <c r="L11" s="5">
        <v>4</v>
      </c>
      <c r="M11" s="5">
        <v>4</v>
      </c>
      <c r="N11" s="5">
        <v>4</v>
      </c>
      <c r="O11" s="5" t="s">
        <v>42</v>
      </c>
      <c r="P11" s="22">
        <f t="shared" si="23"/>
        <v>1</v>
      </c>
      <c r="Q11" s="22">
        <f t="shared" si="0"/>
        <v>0</v>
      </c>
      <c r="R11" s="22">
        <f t="shared" si="1"/>
        <v>0</v>
      </c>
      <c r="S11" s="22">
        <f t="shared" si="2"/>
        <v>0</v>
      </c>
      <c r="T11" s="22">
        <f t="shared" si="3"/>
        <v>0</v>
      </c>
      <c r="U11" s="22">
        <f t="shared" si="4"/>
        <v>0</v>
      </c>
      <c r="V11" s="22">
        <f t="shared" si="5"/>
        <v>0</v>
      </c>
      <c r="W11" s="22">
        <f t="shared" si="6"/>
        <v>0</v>
      </c>
      <c r="X11" s="22">
        <f t="shared" si="7"/>
        <v>0</v>
      </c>
      <c r="Y11" s="22">
        <f t="shared" si="8"/>
        <v>0</v>
      </c>
      <c r="Z11" s="22">
        <f t="shared" si="9"/>
        <v>0</v>
      </c>
      <c r="AA11" s="22">
        <f t="shared" si="10"/>
        <v>0</v>
      </c>
      <c r="AB11" s="5" t="s">
        <v>42</v>
      </c>
      <c r="AC11" s="5">
        <f t="shared" si="24"/>
        <v>0</v>
      </c>
      <c r="AD11" s="5">
        <f t="shared" si="11"/>
        <v>0</v>
      </c>
      <c r="AE11" s="5">
        <f t="shared" si="12"/>
        <v>0</v>
      </c>
      <c r="AF11" s="5">
        <f t="shared" si="13"/>
        <v>0</v>
      </c>
      <c r="AG11" s="5">
        <f t="shared" si="14"/>
        <v>0</v>
      </c>
      <c r="AH11" s="5">
        <f t="shared" si="15"/>
        <v>0</v>
      </c>
      <c r="AI11" s="5">
        <f t="shared" si="16"/>
        <v>0</v>
      </c>
      <c r="AJ11" s="5">
        <f t="shared" si="17"/>
        <v>0</v>
      </c>
      <c r="AK11" s="5">
        <f t="shared" si="18"/>
        <v>0</v>
      </c>
      <c r="AL11" s="5">
        <f t="shared" si="19"/>
        <v>0</v>
      </c>
      <c r="AM11" s="5">
        <f t="shared" si="20"/>
        <v>0</v>
      </c>
      <c r="AN11" s="5">
        <f t="shared" si="21"/>
        <v>0</v>
      </c>
      <c r="AO11" s="5">
        <f t="shared" si="22"/>
        <v>1</v>
      </c>
      <c r="AP11" s="5" t="s">
        <v>43</v>
      </c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</row>
    <row r="12" spans="1:69" ht="15" x14ac:dyDescent="0.2">
      <c r="A12" s="4">
        <v>10</v>
      </c>
      <c r="B12" s="5">
        <v>5</v>
      </c>
      <c r="C12" s="5">
        <v>4</v>
      </c>
      <c r="D12" s="5">
        <v>4</v>
      </c>
      <c r="E12" s="5">
        <v>4</v>
      </c>
      <c r="F12" s="5">
        <v>4</v>
      </c>
      <c r="G12" s="5">
        <v>4</v>
      </c>
      <c r="H12" s="5">
        <v>4</v>
      </c>
      <c r="I12" s="5">
        <v>4</v>
      </c>
      <c r="J12" s="5">
        <v>4</v>
      </c>
      <c r="K12" s="5">
        <v>4</v>
      </c>
      <c r="L12" s="5">
        <v>4</v>
      </c>
      <c r="M12" s="5">
        <v>4</v>
      </c>
      <c r="N12" s="5">
        <v>5</v>
      </c>
      <c r="O12" s="5" t="s">
        <v>42</v>
      </c>
      <c r="P12" s="22">
        <f t="shared" si="23"/>
        <v>1</v>
      </c>
      <c r="Q12" s="22">
        <f t="shared" si="0"/>
        <v>0</v>
      </c>
      <c r="R12" s="22">
        <f t="shared" si="1"/>
        <v>0</v>
      </c>
      <c r="S12" s="22">
        <f t="shared" si="2"/>
        <v>0</v>
      </c>
      <c r="T12" s="22">
        <f t="shared" si="3"/>
        <v>0</v>
      </c>
      <c r="U12" s="22">
        <f t="shared" si="4"/>
        <v>0</v>
      </c>
      <c r="V12" s="22">
        <f t="shared" si="5"/>
        <v>0</v>
      </c>
      <c r="W12" s="22">
        <f t="shared" si="6"/>
        <v>0</v>
      </c>
      <c r="X12" s="22">
        <f t="shared" si="7"/>
        <v>0</v>
      </c>
      <c r="Y12" s="22">
        <f t="shared" si="8"/>
        <v>0</v>
      </c>
      <c r="Z12" s="22">
        <f t="shared" si="9"/>
        <v>0</v>
      </c>
      <c r="AA12" s="22">
        <f t="shared" si="10"/>
        <v>-1</v>
      </c>
      <c r="AB12" s="5" t="s">
        <v>42</v>
      </c>
      <c r="AC12" s="5">
        <f t="shared" si="24"/>
        <v>0</v>
      </c>
      <c r="AD12" s="5">
        <f t="shared" si="11"/>
        <v>1</v>
      </c>
      <c r="AE12" s="5">
        <f t="shared" si="12"/>
        <v>0</v>
      </c>
      <c r="AF12" s="5">
        <f t="shared" si="13"/>
        <v>0</v>
      </c>
      <c r="AG12" s="5">
        <f t="shared" si="14"/>
        <v>0</v>
      </c>
      <c r="AH12" s="5">
        <f t="shared" si="15"/>
        <v>0</v>
      </c>
      <c r="AI12" s="5">
        <f t="shared" si="16"/>
        <v>0</v>
      </c>
      <c r="AJ12" s="5">
        <f t="shared" si="17"/>
        <v>0</v>
      </c>
      <c r="AK12" s="5">
        <f t="shared" si="18"/>
        <v>0</v>
      </c>
      <c r="AL12" s="5">
        <f t="shared" si="19"/>
        <v>0</v>
      </c>
      <c r="AM12" s="5">
        <f t="shared" si="20"/>
        <v>0</v>
      </c>
      <c r="AN12" s="5">
        <f t="shared" si="21"/>
        <v>1</v>
      </c>
      <c r="AO12" s="5">
        <f t="shared" si="22"/>
        <v>0</v>
      </c>
      <c r="AP12" s="5" t="s">
        <v>43</v>
      </c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</row>
    <row r="13" spans="1:69" ht="15" x14ac:dyDescent="0.2">
      <c r="A13" s="4">
        <v>11</v>
      </c>
      <c r="B13" s="5">
        <v>5</v>
      </c>
      <c r="C13" s="5">
        <v>5</v>
      </c>
      <c r="D13" s="5">
        <v>4</v>
      </c>
      <c r="E13" s="5">
        <v>4</v>
      </c>
      <c r="F13" s="5">
        <v>4</v>
      </c>
      <c r="G13" s="5">
        <v>4</v>
      </c>
      <c r="H13" s="5">
        <v>4</v>
      </c>
      <c r="I13" s="5">
        <v>4</v>
      </c>
      <c r="J13" s="5">
        <v>4</v>
      </c>
      <c r="K13" s="5">
        <v>4</v>
      </c>
      <c r="L13" s="5">
        <v>4</v>
      </c>
      <c r="M13" s="5">
        <v>5</v>
      </c>
      <c r="N13" s="5">
        <v>5</v>
      </c>
      <c r="O13" s="5" t="s">
        <v>42</v>
      </c>
      <c r="P13" s="22">
        <f t="shared" si="23"/>
        <v>0</v>
      </c>
      <c r="Q13" s="22">
        <f t="shared" si="0"/>
        <v>1</v>
      </c>
      <c r="R13" s="22">
        <f t="shared" si="1"/>
        <v>0</v>
      </c>
      <c r="S13" s="22">
        <f t="shared" si="2"/>
        <v>0</v>
      </c>
      <c r="T13" s="22">
        <f t="shared" si="3"/>
        <v>0</v>
      </c>
      <c r="U13" s="22">
        <f t="shared" si="4"/>
        <v>0</v>
      </c>
      <c r="V13" s="22">
        <f t="shared" si="5"/>
        <v>0</v>
      </c>
      <c r="W13" s="22">
        <f t="shared" si="6"/>
        <v>0</v>
      </c>
      <c r="X13" s="22">
        <f t="shared" si="7"/>
        <v>0</v>
      </c>
      <c r="Y13" s="22">
        <f t="shared" si="8"/>
        <v>0</v>
      </c>
      <c r="Z13" s="22">
        <f t="shared" si="9"/>
        <v>-1</v>
      </c>
      <c r="AA13" s="22">
        <f t="shared" si="10"/>
        <v>0</v>
      </c>
      <c r="AB13" s="5" t="s">
        <v>42</v>
      </c>
      <c r="AC13" s="5">
        <f t="shared" si="24"/>
        <v>1</v>
      </c>
      <c r="AD13" s="5">
        <f t="shared" si="11"/>
        <v>0</v>
      </c>
      <c r="AE13" s="5">
        <f t="shared" si="12"/>
        <v>1</v>
      </c>
      <c r="AF13" s="5">
        <f t="shared" si="13"/>
        <v>1</v>
      </c>
      <c r="AG13" s="5">
        <f t="shared" si="14"/>
        <v>1</v>
      </c>
      <c r="AH13" s="5">
        <f t="shared" si="15"/>
        <v>1</v>
      </c>
      <c r="AI13" s="5">
        <f t="shared" si="16"/>
        <v>1</v>
      </c>
      <c r="AJ13" s="5">
        <f t="shared" si="17"/>
        <v>1</v>
      </c>
      <c r="AK13" s="5">
        <f t="shared" si="18"/>
        <v>1</v>
      </c>
      <c r="AL13" s="5">
        <f t="shared" si="19"/>
        <v>1</v>
      </c>
      <c r="AM13" s="5">
        <f t="shared" si="20"/>
        <v>1</v>
      </c>
      <c r="AN13" s="5">
        <f t="shared" si="21"/>
        <v>0</v>
      </c>
      <c r="AO13" s="5">
        <f t="shared" si="22"/>
        <v>1</v>
      </c>
      <c r="AP13" s="5" t="s">
        <v>43</v>
      </c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</row>
    <row r="14" spans="1:69" ht="15" x14ac:dyDescent="0.2">
      <c r="A14" s="4">
        <v>12</v>
      </c>
      <c r="B14" s="5">
        <v>6</v>
      </c>
      <c r="C14" s="5">
        <v>5</v>
      </c>
      <c r="D14" s="5">
        <v>5</v>
      </c>
      <c r="E14" s="5">
        <v>5</v>
      </c>
      <c r="F14" s="5">
        <v>5</v>
      </c>
      <c r="G14" s="5">
        <v>5</v>
      </c>
      <c r="H14" s="5">
        <v>5</v>
      </c>
      <c r="I14" s="5">
        <v>5</v>
      </c>
      <c r="J14" s="5">
        <v>5</v>
      </c>
      <c r="K14" s="5">
        <v>5</v>
      </c>
      <c r="L14" s="5">
        <v>5</v>
      </c>
      <c r="M14" s="5">
        <v>5</v>
      </c>
      <c r="N14" s="5">
        <v>6</v>
      </c>
      <c r="O14" s="5" t="s">
        <v>42</v>
      </c>
      <c r="P14" s="22">
        <f t="shared" si="23"/>
        <v>1</v>
      </c>
      <c r="Q14" s="22">
        <f t="shared" si="0"/>
        <v>0</v>
      </c>
      <c r="R14" s="22">
        <f t="shared" si="1"/>
        <v>0</v>
      </c>
      <c r="S14" s="22">
        <f t="shared" si="2"/>
        <v>0</v>
      </c>
      <c r="T14" s="22">
        <f t="shared" si="3"/>
        <v>0</v>
      </c>
      <c r="U14" s="22">
        <f t="shared" si="4"/>
        <v>0</v>
      </c>
      <c r="V14" s="22">
        <f t="shared" si="5"/>
        <v>0</v>
      </c>
      <c r="W14" s="22">
        <f t="shared" si="6"/>
        <v>0</v>
      </c>
      <c r="X14" s="22">
        <f t="shared" si="7"/>
        <v>0</v>
      </c>
      <c r="Y14" s="22">
        <f t="shared" si="8"/>
        <v>0</v>
      </c>
      <c r="Z14" s="22">
        <f t="shared" si="9"/>
        <v>0</v>
      </c>
      <c r="AA14" s="22">
        <f t="shared" si="10"/>
        <v>-1</v>
      </c>
      <c r="AB14" s="5" t="s">
        <v>42</v>
      </c>
      <c r="AC14" s="5">
        <f t="shared" si="24"/>
        <v>0</v>
      </c>
      <c r="AD14" s="5">
        <f t="shared" si="11"/>
        <v>1</v>
      </c>
      <c r="AE14" s="5">
        <f t="shared" si="12"/>
        <v>0</v>
      </c>
      <c r="AF14" s="5">
        <f t="shared" si="13"/>
        <v>0</v>
      </c>
      <c r="AG14" s="5">
        <f t="shared" si="14"/>
        <v>0</v>
      </c>
      <c r="AH14" s="5">
        <f t="shared" si="15"/>
        <v>0</v>
      </c>
      <c r="AI14" s="5">
        <f t="shared" si="16"/>
        <v>0</v>
      </c>
      <c r="AJ14" s="5">
        <f t="shared" si="17"/>
        <v>0</v>
      </c>
      <c r="AK14" s="5">
        <f t="shared" si="18"/>
        <v>0</v>
      </c>
      <c r="AL14" s="5">
        <f t="shared" si="19"/>
        <v>0</v>
      </c>
      <c r="AM14" s="5">
        <f t="shared" si="20"/>
        <v>0</v>
      </c>
      <c r="AN14" s="5">
        <f t="shared" si="21"/>
        <v>1</v>
      </c>
      <c r="AO14" s="5">
        <f t="shared" si="22"/>
        <v>0</v>
      </c>
      <c r="AP14" s="5" t="s">
        <v>43</v>
      </c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</row>
    <row r="15" spans="1:69" ht="15" x14ac:dyDescent="0.2">
      <c r="A15" s="4">
        <v>13</v>
      </c>
      <c r="B15" s="5">
        <v>6</v>
      </c>
      <c r="C15" s="5">
        <v>6</v>
      </c>
      <c r="D15" s="5">
        <v>5</v>
      </c>
      <c r="E15" s="5">
        <v>5</v>
      </c>
      <c r="F15" s="5">
        <v>5</v>
      </c>
      <c r="G15" s="5">
        <v>5</v>
      </c>
      <c r="H15" s="5">
        <v>5</v>
      </c>
      <c r="I15" s="5">
        <v>5</v>
      </c>
      <c r="J15" s="5">
        <v>5</v>
      </c>
      <c r="K15" s="5">
        <v>5</v>
      </c>
      <c r="L15" s="5">
        <v>5</v>
      </c>
      <c r="M15" s="5">
        <v>6</v>
      </c>
      <c r="N15" s="5">
        <v>6</v>
      </c>
      <c r="O15" s="5" t="s">
        <v>42</v>
      </c>
      <c r="P15" s="22">
        <f t="shared" si="23"/>
        <v>0</v>
      </c>
      <c r="Q15" s="22">
        <f t="shared" si="0"/>
        <v>1</v>
      </c>
      <c r="R15" s="22">
        <f t="shared" si="1"/>
        <v>0</v>
      </c>
      <c r="S15" s="22">
        <f t="shared" si="2"/>
        <v>0</v>
      </c>
      <c r="T15" s="22">
        <f t="shared" si="3"/>
        <v>0</v>
      </c>
      <c r="U15" s="22">
        <f t="shared" si="4"/>
        <v>0</v>
      </c>
      <c r="V15" s="22">
        <f t="shared" si="5"/>
        <v>0</v>
      </c>
      <c r="W15" s="22">
        <f t="shared" si="6"/>
        <v>0</v>
      </c>
      <c r="X15" s="22">
        <f t="shared" si="7"/>
        <v>0</v>
      </c>
      <c r="Y15" s="22">
        <f t="shared" si="8"/>
        <v>0</v>
      </c>
      <c r="Z15" s="22">
        <f t="shared" si="9"/>
        <v>-1</v>
      </c>
      <c r="AA15" s="22">
        <f t="shared" si="10"/>
        <v>0</v>
      </c>
      <c r="AB15" s="5" t="s">
        <v>42</v>
      </c>
      <c r="AC15" s="5">
        <f t="shared" si="24"/>
        <v>1</v>
      </c>
      <c r="AD15" s="5">
        <f t="shared" si="11"/>
        <v>0</v>
      </c>
      <c r="AE15" s="5">
        <f t="shared" si="12"/>
        <v>1</v>
      </c>
      <c r="AF15" s="5">
        <f t="shared" si="13"/>
        <v>0</v>
      </c>
      <c r="AG15" s="5">
        <f t="shared" si="14"/>
        <v>0</v>
      </c>
      <c r="AH15" s="5">
        <f t="shared" si="15"/>
        <v>0</v>
      </c>
      <c r="AI15" s="5">
        <f t="shared" si="16"/>
        <v>0</v>
      </c>
      <c r="AJ15" s="5">
        <f t="shared" si="17"/>
        <v>0</v>
      </c>
      <c r="AK15" s="5">
        <f t="shared" si="18"/>
        <v>0</v>
      </c>
      <c r="AL15" s="5">
        <f t="shared" si="19"/>
        <v>0</v>
      </c>
      <c r="AM15" s="5">
        <f t="shared" si="20"/>
        <v>0</v>
      </c>
      <c r="AN15" s="5">
        <f t="shared" si="21"/>
        <v>0</v>
      </c>
      <c r="AO15" s="5">
        <f t="shared" si="22"/>
        <v>0</v>
      </c>
      <c r="AP15" s="5" t="s">
        <v>43</v>
      </c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</row>
    <row r="16" spans="1:69" ht="15" x14ac:dyDescent="0.2">
      <c r="A16" s="4">
        <v>14</v>
      </c>
      <c r="B16" s="5">
        <v>7</v>
      </c>
      <c r="C16" s="5">
        <v>6</v>
      </c>
      <c r="D16" s="5">
        <v>6</v>
      </c>
      <c r="E16" s="5">
        <v>5</v>
      </c>
      <c r="F16" s="5">
        <v>5</v>
      </c>
      <c r="G16" s="5">
        <v>5</v>
      </c>
      <c r="H16" s="5">
        <v>5</v>
      </c>
      <c r="I16" s="5">
        <v>5</v>
      </c>
      <c r="J16" s="5">
        <v>5</v>
      </c>
      <c r="K16" s="5">
        <v>5</v>
      </c>
      <c r="L16" s="5">
        <v>5</v>
      </c>
      <c r="M16" s="5">
        <v>6</v>
      </c>
      <c r="N16" s="5">
        <v>6</v>
      </c>
      <c r="O16" s="5" t="s">
        <v>42</v>
      </c>
      <c r="P16" s="22">
        <f t="shared" si="23"/>
        <v>1</v>
      </c>
      <c r="Q16" s="22">
        <f t="shared" si="0"/>
        <v>0</v>
      </c>
      <c r="R16" s="22">
        <f t="shared" si="1"/>
        <v>1</v>
      </c>
      <c r="S16" s="22">
        <f t="shared" si="2"/>
        <v>0</v>
      </c>
      <c r="T16" s="22">
        <f t="shared" si="3"/>
        <v>0</v>
      </c>
      <c r="U16" s="22">
        <f t="shared" si="4"/>
        <v>0</v>
      </c>
      <c r="V16" s="22">
        <f t="shared" si="5"/>
        <v>0</v>
      </c>
      <c r="W16" s="22">
        <f t="shared" si="6"/>
        <v>0</v>
      </c>
      <c r="X16" s="22">
        <f t="shared" si="7"/>
        <v>0</v>
      </c>
      <c r="Y16" s="22">
        <f t="shared" si="8"/>
        <v>0</v>
      </c>
      <c r="Z16" s="22">
        <f t="shared" si="9"/>
        <v>-1</v>
      </c>
      <c r="AA16" s="22">
        <f t="shared" si="10"/>
        <v>0</v>
      </c>
      <c r="AB16" s="5" t="s">
        <v>42</v>
      </c>
      <c r="AC16" s="5">
        <f t="shared" si="24"/>
        <v>0</v>
      </c>
      <c r="AD16" s="5">
        <f t="shared" si="11"/>
        <v>1</v>
      </c>
      <c r="AE16" s="5">
        <f t="shared" si="12"/>
        <v>0</v>
      </c>
      <c r="AF16" s="5">
        <f t="shared" si="13"/>
        <v>1</v>
      </c>
      <c r="AG16" s="5">
        <f t="shared" si="14"/>
        <v>1</v>
      </c>
      <c r="AH16" s="5">
        <f t="shared" si="15"/>
        <v>1</v>
      </c>
      <c r="AI16" s="5">
        <f t="shared" si="16"/>
        <v>0</v>
      </c>
      <c r="AJ16" s="5">
        <f t="shared" si="17"/>
        <v>0</v>
      </c>
      <c r="AK16" s="5">
        <f t="shared" si="18"/>
        <v>1</v>
      </c>
      <c r="AL16" s="5">
        <f t="shared" si="19"/>
        <v>1</v>
      </c>
      <c r="AM16" s="5">
        <f t="shared" si="20"/>
        <v>1</v>
      </c>
      <c r="AN16" s="5">
        <f t="shared" si="21"/>
        <v>0</v>
      </c>
      <c r="AO16" s="5">
        <f t="shared" si="22"/>
        <v>1</v>
      </c>
      <c r="AP16" s="5" t="s">
        <v>43</v>
      </c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</row>
    <row r="17" spans="1:69" ht="15" x14ac:dyDescent="0.2">
      <c r="A17" s="4">
        <v>15</v>
      </c>
      <c r="B17" s="5">
        <v>7</v>
      </c>
      <c r="C17" s="5">
        <v>7</v>
      </c>
      <c r="D17" s="5">
        <v>6</v>
      </c>
      <c r="E17" s="5">
        <v>6</v>
      </c>
      <c r="F17" s="5">
        <v>6</v>
      </c>
      <c r="G17" s="5">
        <v>6</v>
      </c>
      <c r="H17" s="5">
        <v>5</v>
      </c>
      <c r="I17" s="5">
        <v>5</v>
      </c>
      <c r="J17" s="5">
        <v>6</v>
      </c>
      <c r="K17" s="5">
        <v>6</v>
      </c>
      <c r="L17" s="5">
        <v>6</v>
      </c>
      <c r="M17" s="5">
        <v>6</v>
      </c>
      <c r="N17" s="5">
        <v>7</v>
      </c>
      <c r="O17" s="5" t="s">
        <v>42</v>
      </c>
      <c r="P17" s="22">
        <f t="shared" si="23"/>
        <v>0</v>
      </c>
      <c r="Q17" s="22">
        <f t="shared" si="0"/>
        <v>1</v>
      </c>
      <c r="R17" s="22">
        <f t="shared" si="1"/>
        <v>0</v>
      </c>
      <c r="S17" s="22">
        <f t="shared" si="2"/>
        <v>0</v>
      </c>
      <c r="T17" s="22">
        <f t="shared" si="3"/>
        <v>0</v>
      </c>
      <c r="U17" s="22">
        <f t="shared" si="4"/>
        <v>1</v>
      </c>
      <c r="V17" s="22">
        <f t="shared" si="5"/>
        <v>0</v>
      </c>
      <c r="W17" s="22">
        <f t="shared" si="6"/>
        <v>-1</v>
      </c>
      <c r="X17" s="22">
        <f t="shared" si="7"/>
        <v>0</v>
      </c>
      <c r="Y17" s="22">
        <f t="shared" si="8"/>
        <v>0</v>
      </c>
      <c r="Z17" s="22">
        <f t="shared" si="9"/>
        <v>0</v>
      </c>
      <c r="AA17" s="22">
        <f t="shared" si="10"/>
        <v>-1</v>
      </c>
      <c r="AB17" s="5" t="s">
        <v>42</v>
      </c>
      <c r="AC17" s="5">
        <f t="shared" si="24"/>
        <v>1</v>
      </c>
      <c r="AD17" s="5">
        <f t="shared" si="11"/>
        <v>0</v>
      </c>
      <c r="AE17" s="5">
        <f t="shared" si="12"/>
        <v>1</v>
      </c>
      <c r="AF17" s="5">
        <f t="shared" si="13"/>
        <v>0</v>
      </c>
      <c r="AG17" s="5">
        <f t="shared" si="14"/>
        <v>0</v>
      </c>
      <c r="AH17" s="5">
        <f t="shared" si="15"/>
        <v>0</v>
      </c>
      <c r="AI17" s="5">
        <f t="shared" si="16"/>
        <v>1</v>
      </c>
      <c r="AJ17" s="5">
        <f t="shared" si="17"/>
        <v>1</v>
      </c>
      <c r="AK17" s="5">
        <f t="shared" si="18"/>
        <v>0</v>
      </c>
      <c r="AL17" s="5">
        <f t="shared" si="19"/>
        <v>0</v>
      </c>
      <c r="AM17" s="5">
        <f t="shared" si="20"/>
        <v>0</v>
      </c>
      <c r="AN17" s="5">
        <f t="shared" si="21"/>
        <v>1</v>
      </c>
      <c r="AO17" s="5">
        <f t="shared" si="22"/>
        <v>0</v>
      </c>
      <c r="AP17" s="5" t="s">
        <v>43</v>
      </c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</row>
    <row r="18" spans="1:69" ht="15" x14ac:dyDescent="0.2">
      <c r="A18" s="4">
        <v>16</v>
      </c>
      <c r="B18" s="5">
        <v>8</v>
      </c>
      <c r="C18" s="5">
        <v>7</v>
      </c>
      <c r="D18" s="5">
        <v>7</v>
      </c>
      <c r="E18" s="5">
        <v>6</v>
      </c>
      <c r="F18" s="5">
        <v>6</v>
      </c>
      <c r="G18" s="5">
        <v>6</v>
      </c>
      <c r="H18" s="5">
        <v>6</v>
      </c>
      <c r="I18" s="5">
        <v>6</v>
      </c>
      <c r="J18" s="5">
        <v>6</v>
      </c>
      <c r="K18" s="5">
        <v>6</v>
      </c>
      <c r="L18" s="5">
        <v>6</v>
      </c>
      <c r="M18" s="5">
        <v>7</v>
      </c>
      <c r="N18" s="5">
        <v>7</v>
      </c>
      <c r="O18" s="5" t="s">
        <v>42</v>
      </c>
      <c r="P18" s="22">
        <f t="shared" si="23"/>
        <v>1</v>
      </c>
      <c r="Q18" s="22">
        <f t="shared" si="0"/>
        <v>0</v>
      </c>
      <c r="R18" s="22">
        <f t="shared" si="1"/>
        <v>1</v>
      </c>
      <c r="S18" s="22">
        <f t="shared" si="2"/>
        <v>0</v>
      </c>
      <c r="T18" s="22">
        <f t="shared" si="3"/>
        <v>0</v>
      </c>
      <c r="U18" s="22">
        <f t="shared" si="4"/>
        <v>0</v>
      </c>
      <c r="V18" s="22">
        <f t="shared" si="5"/>
        <v>0</v>
      </c>
      <c r="W18" s="22">
        <f t="shared" si="6"/>
        <v>0</v>
      </c>
      <c r="X18" s="22">
        <f t="shared" si="7"/>
        <v>0</v>
      </c>
      <c r="Y18" s="22">
        <f t="shared" si="8"/>
        <v>0</v>
      </c>
      <c r="Z18" s="22">
        <f t="shared" si="9"/>
        <v>-1</v>
      </c>
      <c r="AA18" s="22">
        <f t="shared" si="10"/>
        <v>0</v>
      </c>
      <c r="AB18" s="5" t="s">
        <v>42</v>
      </c>
      <c r="AC18" s="5">
        <f t="shared" si="24"/>
        <v>0</v>
      </c>
      <c r="AD18" s="5">
        <f t="shared" si="11"/>
        <v>1</v>
      </c>
      <c r="AE18" s="5">
        <f t="shared" si="12"/>
        <v>0</v>
      </c>
      <c r="AF18" s="5">
        <f t="shared" si="13"/>
        <v>1</v>
      </c>
      <c r="AG18" s="5">
        <f t="shared" si="14"/>
        <v>0</v>
      </c>
      <c r="AH18" s="5">
        <f t="shared" si="15"/>
        <v>0</v>
      </c>
      <c r="AI18" s="5">
        <f t="shared" si="16"/>
        <v>0</v>
      </c>
      <c r="AJ18" s="5">
        <f t="shared" si="17"/>
        <v>0</v>
      </c>
      <c r="AK18" s="5">
        <f t="shared" si="18"/>
        <v>0</v>
      </c>
      <c r="AL18" s="5">
        <f t="shared" si="19"/>
        <v>0</v>
      </c>
      <c r="AM18" s="5">
        <f t="shared" si="20"/>
        <v>0</v>
      </c>
      <c r="AN18" s="5">
        <f t="shared" si="21"/>
        <v>0</v>
      </c>
      <c r="AO18" s="5">
        <f t="shared" si="22"/>
        <v>0</v>
      </c>
      <c r="AP18" s="5" t="s">
        <v>43</v>
      </c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</row>
    <row r="19" spans="1:69" ht="15" x14ac:dyDescent="0.2">
      <c r="A19" s="4">
        <v>17</v>
      </c>
      <c r="B19" s="5">
        <v>8</v>
      </c>
      <c r="C19" s="5">
        <v>8</v>
      </c>
      <c r="D19" s="5">
        <v>7</v>
      </c>
      <c r="E19" s="5">
        <v>7</v>
      </c>
      <c r="F19" s="5">
        <v>6</v>
      </c>
      <c r="G19" s="5">
        <v>6</v>
      </c>
      <c r="H19" s="5">
        <v>6</v>
      </c>
      <c r="I19" s="5">
        <v>6</v>
      </c>
      <c r="J19" s="5">
        <v>6</v>
      </c>
      <c r="K19" s="5">
        <v>6</v>
      </c>
      <c r="L19" s="5">
        <v>6</v>
      </c>
      <c r="M19" s="5">
        <v>7</v>
      </c>
      <c r="N19" s="5">
        <v>7</v>
      </c>
      <c r="O19" s="5" t="s">
        <v>42</v>
      </c>
      <c r="P19" s="22">
        <f t="shared" si="23"/>
        <v>0</v>
      </c>
      <c r="Q19" s="22">
        <f t="shared" si="0"/>
        <v>1</v>
      </c>
      <c r="R19" s="22">
        <f t="shared" si="1"/>
        <v>0</v>
      </c>
      <c r="S19" s="22">
        <f t="shared" si="2"/>
        <v>1</v>
      </c>
      <c r="T19" s="22">
        <f t="shared" si="3"/>
        <v>0</v>
      </c>
      <c r="U19" s="22">
        <f t="shared" si="4"/>
        <v>0</v>
      </c>
      <c r="V19" s="22">
        <f t="shared" si="5"/>
        <v>0</v>
      </c>
      <c r="W19" s="22">
        <f t="shared" si="6"/>
        <v>0</v>
      </c>
      <c r="X19" s="22">
        <f t="shared" si="7"/>
        <v>0</v>
      </c>
      <c r="Y19" s="22">
        <f t="shared" si="8"/>
        <v>0</v>
      </c>
      <c r="Z19" s="22">
        <f t="shared" si="9"/>
        <v>-1</v>
      </c>
      <c r="AA19" s="22">
        <f t="shared" si="10"/>
        <v>0</v>
      </c>
      <c r="AB19" s="5" t="s">
        <v>42</v>
      </c>
      <c r="AC19" s="5">
        <f t="shared" si="24"/>
        <v>1</v>
      </c>
      <c r="AD19" s="5">
        <f t="shared" si="11"/>
        <v>0</v>
      </c>
      <c r="AE19" s="5">
        <f t="shared" si="12"/>
        <v>0</v>
      </c>
      <c r="AF19" s="5">
        <f t="shared" si="13"/>
        <v>0</v>
      </c>
      <c r="AG19" s="5">
        <f t="shared" si="14"/>
        <v>1</v>
      </c>
      <c r="AH19" s="5">
        <f t="shared" si="15"/>
        <v>0</v>
      </c>
      <c r="AI19" s="5">
        <f t="shared" si="16"/>
        <v>0</v>
      </c>
      <c r="AJ19" s="5">
        <f t="shared" si="17"/>
        <v>0</v>
      </c>
      <c r="AK19" s="5">
        <f t="shared" si="18"/>
        <v>1</v>
      </c>
      <c r="AL19" s="5">
        <f t="shared" si="19"/>
        <v>1</v>
      </c>
      <c r="AM19" s="5">
        <f t="shared" si="20"/>
        <v>1</v>
      </c>
      <c r="AN19" s="5">
        <f t="shared" si="21"/>
        <v>0</v>
      </c>
      <c r="AO19" s="5">
        <f t="shared" si="22"/>
        <v>0</v>
      </c>
      <c r="AP19" s="5" t="s">
        <v>43</v>
      </c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</row>
    <row r="20" spans="1:69" ht="15" x14ac:dyDescent="0.2">
      <c r="A20" s="4">
        <v>18</v>
      </c>
      <c r="B20" s="5">
        <v>9</v>
      </c>
      <c r="C20" s="5">
        <v>8</v>
      </c>
      <c r="D20" s="5">
        <v>7</v>
      </c>
      <c r="E20" s="5">
        <v>7</v>
      </c>
      <c r="F20" s="5">
        <v>7</v>
      </c>
      <c r="G20" s="5">
        <v>6</v>
      </c>
      <c r="H20" s="5">
        <v>6</v>
      </c>
      <c r="I20" s="5">
        <v>6</v>
      </c>
      <c r="J20" s="5">
        <v>7</v>
      </c>
      <c r="K20" s="5">
        <v>7</v>
      </c>
      <c r="L20" s="5">
        <v>7</v>
      </c>
      <c r="M20" s="5">
        <v>7</v>
      </c>
      <c r="N20" s="5">
        <v>7</v>
      </c>
      <c r="O20" s="5" t="s">
        <v>42</v>
      </c>
      <c r="P20" s="22">
        <f t="shared" si="23"/>
        <v>1</v>
      </c>
      <c r="Q20" s="22">
        <f t="shared" si="0"/>
        <v>1</v>
      </c>
      <c r="R20" s="22">
        <f t="shared" si="1"/>
        <v>0</v>
      </c>
      <c r="S20" s="22">
        <f t="shared" si="2"/>
        <v>0</v>
      </c>
      <c r="T20" s="22">
        <f t="shared" si="3"/>
        <v>1</v>
      </c>
      <c r="U20" s="22">
        <f t="shared" si="4"/>
        <v>0</v>
      </c>
      <c r="V20" s="22">
        <f t="shared" si="5"/>
        <v>0</v>
      </c>
      <c r="W20" s="22">
        <f t="shared" si="6"/>
        <v>-1</v>
      </c>
      <c r="X20" s="22">
        <f t="shared" si="7"/>
        <v>0</v>
      </c>
      <c r="Y20" s="22">
        <f t="shared" si="8"/>
        <v>0</v>
      </c>
      <c r="Z20" s="22">
        <f t="shared" si="9"/>
        <v>0</v>
      </c>
      <c r="AA20" s="22">
        <f t="shared" si="10"/>
        <v>0</v>
      </c>
      <c r="AB20" s="5" t="s">
        <v>42</v>
      </c>
      <c r="AC20" s="5">
        <f t="shared" si="24"/>
        <v>0</v>
      </c>
      <c r="AD20" s="5">
        <f t="shared" si="11"/>
        <v>0</v>
      </c>
      <c r="AE20" s="5">
        <f t="shared" si="12"/>
        <v>1</v>
      </c>
      <c r="AF20" s="5">
        <f t="shared" si="13"/>
        <v>0</v>
      </c>
      <c r="AG20" s="5">
        <f t="shared" si="14"/>
        <v>0</v>
      </c>
      <c r="AH20" s="5">
        <f t="shared" si="15"/>
        <v>1</v>
      </c>
      <c r="AI20" s="5">
        <f t="shared" si="16"/>
        <v>1</v>
      </c>
      <c r="AJ20" s="5">
        <f t="shared" si="17"/>
        <v>1</v>
      </c>
      <c r="AK20" s="5">
        <f t="shared" si="18"/>
        <v>0</v>
      </c>
      <c r="AL20" s="5">
        <f t="shared" si="19"/>
        <v>0</v>
      </c>
      <c r="AM20" s="5">
        <f t="shared" si="20"/>
        <v>0</v>
      </c>
      <c r="AN20" s="5">
        <f t="shared" si="21"/>
        <v>0</v>
      </c>
      <c r="AO20" s="5">
        <f t="shared" si="22"/>
        <v>1</v>
      </c>
      <c r="AP20" s="5" t="s">
        <v>43</v>
      </c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</row>
    <row r="21" spans="1:69" ht="15" x14ac:dyDescent="0.2">
      <c r="A21" s="4">
        <v>19</v>
      </c>
      <c r="B21" s="5">
        <v>9</v>
      </c>
      <c r="C21" s="5">
        <v>8</v>
      </c>
      <c r="D21" s="5">
        <v>8</v>
      </c>
      <c r="E21" s="5">
        <v>7</v>
      </c>
      <c r="F21" s="5">
        <v>7</v>
      </c>
      <c r="G21" s="5">
        <v>7</v>
      </c>
      <c r="H21" s="5">
        <v>7</v>
      </c>
      <c r="I21" s="5">
        <v>7</v>
      </c>
      <c r="J21" s="5">
        <v>7</v>
      </c>
      <c r="K21" s="5">
        <v>7</v>
      </c>
      <c r="L21" s="5">
        <v>7</v>
      </c>
      <c r="M21" s="5">
        <v>7</v>
      </c>
      <c r="N21" s="5">
        <v>8</v>
      </c>
      <c r="O21" s="5" t="s">
        <v>42</v>
      </c>
      <c r="P21" s="22">
        <f t="shared" si="23"/>
        <v>1</v>
      </c>
      <c r="Q21" s="22">
        <f t="shared" si="0"/>
        <v>0</v>
      </c>
      <c r="R21" s="22">
        <f t="shared" si="1"/>
        <v>1</v>
      </c>
      <c r="S21" s="22">
        <f t="shared" si="2"/>
        <v>0</v>
      </c>
      <c r="T21" s="22">
        <f t="shared" si="3"/>
        <v>0</v>
      </c>
      <c r="U21" s="22">
        <f t="shared" si="4"/>
        <v>0</v>
      </c>
      <c r="V21" s="22">
        <f t="shared" si="5"/>
        <v>0</v>
      </c>
      <c r="W21" s="22">
        <f t="shared" si="6"/>
        <v>0</v>
      </c>
      <c r="X21" s="22">
        <f t="shared" si="7"/>
        <v>0</v>
      </c>
      <c r="Y21" s="22">
        <f t="shared" si="8"/>
        <v>0</v>
      </c>
      <c r="Z21" s="22">
        <f t="shared" si="9"/>
        <v>0</v>
      </c>
      <c r="AA21" s="22">
        <f t="shared" si="10"/>
        <v>-1</v>
      </c>
      <c r="AB21" s="5" t="s">
        <v>42</v>
      </c>
      <c r="AC21" s="5">
        <f t="shared" si="24"/>
        <v>0</v>
      </c>
      <c r="AD21" s="5">
        <f t="shared" si="11"/>
        <v>1</v>
      </c>
      <c r="AE21" s="5">
        <f t="shared" si="12"/>
        <v>0</v>
      </c>
      <c r="AF21" s="5">
        <f t="shared" si="13"/>
        <v>1</v>
      </c>
      <c r="AG21" s="5">
        <f t="shared" si="14"/>
        <v>0</v>
      </c>
      <c r="AH21" s="5">
        <f t="shared" si="15"/>
        <v>0</v>
      </c>
      <c r="AI21" s="5">
        <f t="shared" si="16"/>
        <v>0</v>
      </c>
      <c r="AJ21" s="5">
        <f t="shared" si="17"/>
        <v>0</v>
      </c>
      <c r="AK21" s="5">
        <f t="shared" si="18"/>
        <v>0</v>
      </c>
      <c r="AL21" s="5">
        <f t="shared" si="19"/>
        <v>0</v>
      </c>
      <c r="AM21" s="5">
        <f t="shared" si="20"/>
        <v>0</v>
      </c>
      <c r="AN21" s="5">
        <f t="shared" si="21"/>
        <v>1</v>
      </c>
      <c r="AO21" s="5">
        <f t="shared" si="22"/>
        <v>0</v>
      </c>
      <c r="AP21" s="5" t="s">
        <v>43</v>
      </c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</row>
    <row r="22" spans="1:69" ht="15" x14ac:dyDescent="0.2">
      <c r="A22" s="4">
        <v>20</v>
      </c>
      <c r="B22" s="5">
        <v>9</v>
      </c>
      <c r="C22" s="5">
        <v>9</v>
      </c>
      <c r="D22" s="5">
        <v>8</v>
      </c>
      <c r="E22" s="5">
        <v>8</v>
      </c>
      <c r="F22" s="5">
        <v>7</v>
      </c>
      <c r="G22" s="5">
        <v>7</v>
      </c>
      <c r="H22" s="5">
        <v>7</v>
      </c>
      <c r="I22" s="5">
        <v>7</v>
      </c>
      <c r="J22" s="5">
        <v>7</v>
      </c>
      <c r="K22" s="5">
        <v>7</v>
      </c>
      <c r="L22" s="5">
        <v>7</v>
      </c>
      <c r="M22" s="5">
        <v>8</v>
      </c>
      <c r="N22" s="5">
        <v>8</v>
      </c>
      <c r="O22" s="5" t="s">
        <v>42</v>
      </c>
      <c r="P22" s="22">
        <f t="shared" si="23"/>
        <v>0</v>
      </c>
      <c r="Q22" s="22">
        <f t="shared" si="0"/>
        <v>1</v>
      </c>
      <c r="R22" s="22">
        <f t="shared" si="1"/>
        <v>0</v>
      </c>
      <c r="S22" s="22">
        <f t="shared" si="2"/>
        <v>1</v>
      </c>
      <c r="T22" s="22">
        <f t="shared" si="3"/>
        <v>0</v>
      </c>
      <c r="U22" s="22">
        <f t="shared" si="4"/>
        <v>0</v>
      </c>
      <c r="V22" s="22">
        <f t="shared" si="5"/>
        <v>0</v>
      </c>
      <c r="W22" s="22">
        <f t="shared" si="6"/>
        <v>0</v>
      </c>
      <c r="X22" s="22">
        <f t="shared" si="7"/>
        <v>0</v>
      </c>
      <c r="Y22" s="22">
        <f t="shared" si="8"/>
        <v>0</v>
      </c>
      <c r="Z22" s="22">
        <f t="shared" si="9"/>
        <v>-1</v>
      </c>
      <c r="AA22" s="22">
        <f t="shared" si="10"/>
        <v>0</v>
      </c>
      <c r="AB22" s="5" t="s">
        <v>42</v>
      </c>
      <c r="AC22" s="5">
        <f t="shared" si="24"/>
        <v>1</v>
      </c>
      <c r="AD22" s="5">
        <f t="shared" si="11"/>
        <v>0</v>
      </c>
      <c r="AE22" s="5">
        <f t="shared" si="12"/>
        <v>0</v>
      </c>
      <c r="AF22" s="5">
        <f t="shared" si="13"/>
        <v>0</v>
      </c>
      <c r="AG22" s="5">
        <f t="shared" si="14"/>
        <v>1</v>
      </c>
      <c r="AH22" s="5">
        <f t="shared" si="15"/>
        <v>0</v>
      </c>
      <c r="AI22" s="5">
        <f t="shared" si="16"/>
        <v>0</v>
      </c>
      <c r="AJ22" s="5">
        <f t="shared" si="17"/>
        <v>0</v>
      </c>
      <c r="AK22" s="5">
        <f t="shared" si="18"/>
        <v>0</v>
      </c>
      <c r="AL22" s="5">
        <f t="shared" si="19"/>
        <v>0</v>
      </c>
      <c r="AM22" s="5">
        <f t="shared" si="20"/>
        <v>1</v>
      </c>
      <c r="AN22" s="5">
        <f t="shared" si="21"/>
        <v>0</v>
      </c>
      <c r="AO22" s="5">
        <f t="shared" si="22"/>
        <v>0</v>
      </c>
      <c r="AP22" s="5" t="s">
        <v>43</v>
      </c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</row>
    <row r="23" spans="1:69" ht="15" x14ac:dyDescent="0.2">
      <c r="A23" s="4">
        <v>21</v>
      </c>
      <c r="B23" s="5">
        <v>10</v>
      </c>
      <c r="C23" s="5">
        <v>9</v>
      </c>
      <c r="D23" s="5">
        <v>8</v>
      </c>
      <c r="E23" s="5">
        <v>8</v>
      </c>
      <c r="F23" s="5">
        <v>8</v>
      </c>
      <c r="G23" s="5">
        <v>7</v>
      </c>
      <c r="H23" s="5">
        <v>7</v>
      </c>
      <c r="I23" s="5">
        <v>7</v>
      </c>
      <c r="J23" s="5">
        <v>7</v>
      </c>
      <c r="K23" s="5">
        <v>7</v>
      </c>
      <c r="L23" s="5">
        <v>8</v>
      </c>
      <c r="M23" s="5">
        <v>8</v>
      </c>
      <c r="N23" s="5">
        <v>8</v>
      </c>
      <c r="O23" s="5" t="s">
        <v>42</v>
      </c>
      <c r="P23" s="22">
        <f t="shared" si="23"/>
        <v>1</v>
      </c>
      <c r="Q23" s="22">
        <f t="shared" si="0"/>
        <v>1</v>
      </c>
      <c r="R23" s="22">
        <f t="shared" si="1"/>
        <v>0</v>
      </c>
      <c r="S23" s="22">
        <f t="shared" si="2"/>
        <v>0</v>
      </c>
      <c r="T23" s="22">
        <f t="shared" si="3"/>
        <v>1</v>
      </c>
      <c r="U23" s="22">
        <f t="shared" si="4"/>
        <v>0</v>
      </c>
      <c r="V23" s="22">
        <f t="shared" si="5"/>
        <v>0</v>
      </c>
      <c r="W23" s="22">
        <f t="shared" si="6"/>
        <v>0</v>
      </c>
      <c r="X23" s="22">
        <f t="shared" si="7"/>
        <v>0</v>
      </c>
      <c r="Y23" s="22">
        <f t="shared" si="8"/>
        <v>-1</v>
      </c>
      <c r="Z23" s="22">
        <f t="shared" si="9"/>
        <v>0</v>
      </c>
      <c r="AA23" s="22">
        <f t="shared" si="10"/>
        <v>0</v>
      </c>
      <c r="AB23" s="5" t="s">
        <v>42</v>
      </c>
      <c r="AC23" s="5">
        <f t="shared" si="24"/>
        <v>0</v>
      </c>
      <c r="AD23" s="5">
        <f t="shared" si="11"/>
        <v>0</v>
      </c>
      <c r="AE23" s="5">
        <f t="shared" si="12"/>
        <v>1</v>
      </c>
      <c r="AF23" s="5">
        <f t="shared" si="13"/>
        <v>0</v>
      </c>
      <c r="AG23" s="5">
        <f t="shared" si="14"/>
        <v>0</v>
      </c>
      <c r="AH23" s="5">
        <f t="shared" si="15"/>
        <v>1</v>
      </c>
      <c r="AI23" s="5">
        <f t="shared" si="16"/>
        <v>0</v>
      </c>
      <c r="AJ23" s="5">
        <f t="shared" si="17"/>
        <v>0</v>
      </c>
      <c r="AK23" s="5">
        <f t="shared" si="18"/>
        <v>1</v>
      </c>
      <c r="AL23" s="5">
        <f t="shared" si="19"/>
        <v>1</v>
      </c>
      <c r="AM23" s="5">
        <f t="shared" si="20"/>
        <v>0</v>
      </c>
      <c r="AN23" s="5">
        <f t="shared" si="21"/>
        <v>0</v>
      </c>
      <c r="AO23" s="5">
        <f t="shared" si="22"/>
        <v>0</v>
      </c>
      <c r="AP23" s="5" t="s">
        <v>43</v>
      </c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</row>
    <row r="24" spans="1:69" ht="15" x14ac:dyDescent="0.2">
      <c r="A24" s="4">
        <v>22</v>
      </c>
      <c r="B24" s="5">
        <v>10</v>
      </c>
      <c r="C24" s="5">
        <v>9</v>
      </c>
      <c r="D24" s="5">
        <v>9</v>
      </c>
      <c r="E24" s="5">
        <v>8</v>
      </c>
      <c r="F24" s="5">
        <v>8</v>
      </c>
      <c r="G24" s="5">
        <v>8</v>
      </c>
      <c r="H24" s="5">
        <v>7</v>
      </c>
      <c r="I24" s="5">
        <v>7</v>
      </c>
      <c r="J24" s="5">
        <v>8</v>
      </c>
      <c r="K24" s="5">
        <v>8</v>
      </c>
      <c r="L24" s="5">
        <v>8</v>
      </c>
      <c r="M24" s="5">
        <v>8</v>
      </c>
      <c r="N24" s="5">
        <v>8</v>
      </c>
      <c r="O24" s="5" t="s">
        <v>42</v>
      </c>
      <c r="P24" s="22">
        <f t="shared" si="23"/>
        <v>1</v>
      </c>
      <c r="Q24" s="22">
        <f t="shared" si="0"/>
        <v>0</v>
      </c>
      <c r="R24" s="22">
        <f t="shared" si="1"/>
        <v>1</v>
      </c>
      <c r="S24" s="22">
        <f t="shared" si="2"/>
        <v>0</v>
      </c>
      <c r="T24" s="22">
        <f t="shared" si="3"/>
        <v>0</v>
      </c>
      <c r="U24" s="22">
        <f t="shared" si="4"/>
        <v>1</v>
      </c>
      <c r="V24" s="22">
        <f t="shared" si="5"/>
        <v>0</v>
      </c>
      <c r="W24" s="22">
        <f t="shared" si="6"/>
        <v>-1</v>
      </c>
      <c r="X24" s="22">
        <f t="shared" si="7"/>
        <v>0</v>
      </c>
      <c r="Y24" s="22">
        <f t="shared" si="8"/>
        <v>0</v>
      </c>
      <c r="Z24" s="22">
        <f t="shared" si="9"/>
        <v>0</v>
      </c>
      <c r="AA24" s="22">
        <f t="shared" si="10"/>
        <v>0</v>
      </c>
      <c r="AB24" s="5" t="s">
        <v>42</v>
      </c>
      <c r="AC24" s="5">
        <f t="shared" si="24"/>
        <v>0</v>
      </c>
      <c r="AD24" s="5">
        <f t="shared" si="11"/>
        <v>1</v>
      </c>
      <c r="AE24" s="5">
        <f t="shared" si="12"/>
        <v>0</v>
      </c>
      <c r="AF24" s="5">
        <f t="shared" si="13"/>
        <v>1</v>
      </c>
      <c r="AG24" s="5">
        <f t="shared" si="14"/>
        <v>0</v>
      </c>
      <c r="AH24" s="5">
        <f t="shared" si="15"/>
        <v>0</v>
      </c>
      <c r="AI24" s="5">
        <f t="shared" si="16"/>
        <v>1</v>
      </c>
      <c r="AJ24" s="5">
        <f t="shared" si="17"/>
        <v>1</v>
      </c>
      <c r="AK24" s="5">
        <f t="shared" si="18"/>
        <v>0</v>
      </c>
      <c r="AL24" s="5">
        <f t="shared" si="19"/>
        <v>0</v>
      </c>
      <c r="AM24" s="5">
        <f t="shared" si="20"/>
        <v>0</v>
      </c>
      <c r="AN24" s="5">
        <f t="shared" si="21"/>
        <v>0</v>
      </c>
      <c r="AO24" s="5">
        <f t="shared" si="22"/>
        <v>1</v>
      </c>
      <c r="AP24" s="5" t="s">
        <v>43</v>
      </c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</row>
    <row r="25" spans="1:69" ht="15" x14ac:dyDescent="0.2">
      <c r="A25" s="4">
        <v>23</v>
      </c>
      <c r="B25" s="5">
        <v>10</v>
      </c>
      <c r="C25" s="5">
        <v>10</v>
      </c>
      <c r="D25" s="5">
        <v>9</v>
      </c>
      <c r="E25" s="5">
        <v>9</v>
      </c>
      <c r="F25" s="5">
        <v>8</v>
      </c>
      <c r="G25" s="5">
        <v>8</v>
      </c>
      <c r="H25" s="5">
        <v>8</v>
      </c>
      <c r="I25" s="5">
        <v>8</v>
      </c>
      <c r="J25" s="5">
        <v>8</v>
      </c>
      <c r="K25" s="5">
        <v>8</v>
      </c>
      <c r="L25" s="5">
        <v>8</v>
      </c>
      <c r="M25" s="5">
        <v>8</v>
      </c>
      <c r="N25" s="5">
        <v>9</v>
      </c>
      <c r="O25" s="5" t="s">
        <v>42</v>
      </c>
      <c r="P25" s="22">
        <f t="shared" si="23"/>
        <v>0</v>
      </c>
      <c r="Q25" s="22">
        <f t="shared" si="0"/>
        <v>1</v>
      </c>
      <c r="R25" s="22">
        <f t="shared" si="1"/>
        <v>0</v>
      </c>
      <c r="S25" s="22">
        <f t="shared" si="2"/>
        <v>1</v>
      </c>
      <c r="T25" s="22">
        <f t="shared" si="3"/>
        <v>0</v>
      </c>
      <c r="U25" s="22">
        <f t="shared" si="4"/>
        <v>0</v>
      </c>
      <c r="V25" s="22">
        <f t="shared" si="5"/>
        <v>0</v>
      </c>
      <c r="W25" s="22">
        <f t="shared" si="6"/>
        <v>0</v>
      </c>
      <c r="X25" s="22">
        <f t="shared" si="7"/>
        <v>0</v>
      </c>
      <c r="Y25" s="22">
        <f t="shared" si="8"/>
        <v>0</v>
      </c>
      <c r="Z25" s="22">
        <f t="shared" si="9"/>
        <v>0</v>
      </c>
      <c r="AA25" s="22">
        <f t="shared" si="10"/>
        <v>-1</v>
      </c>
      <c r="AB25" s="5" t="s">
        <v>42</v>
      </c>
      <c r="AC25" s="5">
        <f t="shared" si="24"/>
        <v>1</v>
      </c>
      <c r="AD25" s="5">
        <f t="shared" si="11"/>
        <v>0</v>
      </c>
      <c r="AE25" s="5">
        <f t="shared" si="12"/>
        <v>0</v>
      </c>
      <c r="AF25" s="5">
        <f t="shared" si="13"/>
        <v>0</v>
      </c>
      <c r="AG25" s="5">
        <f t="shared" si="14"/>
        <v>1</v>
      </c>
      <c r="AH25" s="5">
        <f t="shared" si="15"/>
        <v>0</v>
      </c>
      <c r="AI25" s="5">
        <f t="shared" si="16"/>
        <v>0</v>
      </c>
      <c r="AJ25" s="5">
        <f t="shared" si="17"/>
        <v>0</v>
      </c>
      <c r="AK25" s="5">
        <f t="shared" si="18"/>
        <v>0</v>
      </c>
      <c r="AL25" s="5">
        <f t="shared" si="19"/>
        <v>0</v>
      </c>
      <c r="AM25" s="5">
        <f t="shared" si="20"/>
        <v>1</v>
      </c>
      <c r="AN25" s="5">
        <f t="shared" si="21"/>
        <v>1</v>
      </c>
      <c r="AO25" s="5">
        <f t="shared" si="22"/>
        <v>0</v>
      </c>
      <c r="AP25" s="5" t="s">
        <v>43</v>
      </c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</row>
    <row r="26" spans="1:69" ht="15" x14ac:dyDescent="0.2">
      <c r="A26" s="4">
        <v>24</v>
      </c>
      <c r="B26" s="5">
        <v>11</v>
      </c>
      <c r="C26" s="5">
        <v>10</v>
      </c>
      <c r="D26" s="5">
        <v>9</v>
      </c>
      <c r="E26" s="5">
        <v>9</v>
      </c>
      <c r="F26" s="5">
        <v>9</v>
      </c>
      <c r="G26" s="5">
        <v>8</v>
      </c>
      <c r="H26" s="5">
        <v>8</v>
      </c>
      <c r="I26" s="5">
        <v>8</v>
      </c>
      <c r="J26" s="5">
        <v>8</v>
      </c>
      <c r="K26" s="5">
        <v>8</v>
      </c>
      <c r="L26" s="5">
        <v>9</v>
      </c>
      <c r="M26" s="5">
        <v>9</v>
      </c>
      <c r="N26" s="5">
        <v>9</v>
      </c>
      <c r="O26" s="5" t="s">
        <v>42</v>
      </c>
      <c r="P26" s="22">
        <f t="shared" si="23"/>
        <v>1</v>
      </c>
      <c r="Q26" s="22">
        <f t="shared" si="0"/>
        <v>1</v>
      </c>
      <c r="R26" s="22">
        <f t="shared" si="1"/>
        <v>0</v>
      </c>
      <c r="S26" s="22">
        <f t="shared" si="2"/>
        <v>0</v>
      </c>
      <c r="T26" s="22">
        <f t="shared" si="3"/>
        <v>1</v>
      </c>
      <c r="U26" s="22">
        <f t="shared" si="4"/>
        <v>0</v>
      </c>
      <c r="V26" s="22">
        <f t="shared" si="5"/>
        <v>0</v>
      </c>
      <c r="W26" s="22">
        <f t="shared" si="6"/>
        <v>0</v>
      </c>
      <c r="X26" s="22">
        <f t="shared" si="7"/>
        <v>0</v>
      </c>
      <c r="Y26" s="22">
        <f t="shared" si="8"/>
        <v>-1</v>
      </c>
      <c r="Z26" s="22">
        <f t="shared" si="9"/>
        <v>0</v>
      </c>
      <c r="AA26" s="22">
        <f t="shared" si="10"/>
        <v>0</v>
      </c>
      <c r="AB26" s="5" t="s">
        <v>42</v>
      </c>
      <c r="AC26" s="5">
        <f t="shared" si="24"/>
        <v>0</v>
      </c>
      <c r="AD26" s="5">
        <f t="shared" si="11"/>
        <v>0</v>
      </c>
      <c r="AE26" s="5">
        <f t="shared" si="12"/>
        <v>1</v>
      </c>
      <c r="AF26" s="5">
        <f t="shared" si="13"/>
        <v>0</v>
      </c>
      <c r="AG26" s="5">
        <f t="shared" si="14"/>
        <v>0</v>
      </c>
      <c r="AH26" s="5">
        <f t="shared" si="15"/>
        <v>1</v>
      </c>
      <c r="AI26" s="5">
        <f t="shared" si="16"/>
        <v>0</v>
      </c>
      <c r="AJ26" s="5">
        <f t="shared" si="17"/>
        <v>0</v>
      </c>
      <c r="AK26" s="5">
        <f t="shared" si="18"/>
        <v>1</v>
      </c>
      <c r="AL26" s="5">
        <f t="shared" si="19"/>
        <v>1</v>
      </c>
      <c r="AM26" s="5">
        <f t="shared" si="20"/>
        <v>0</v>
      </c>
      <c r="AN26" s="5">
        <f t="shared" si="21"/>
        <v>0</v>
      </c>
      <c r="AO26" s="5">
        <f t="shared" si="22"/>
        <v>0</v>
      </c>
      <c r="AP26" s="5" t="s">
        <v>43</v>
      </c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</row>
    <row r="27" spans="1:69" ht="15" x14ac:dyDescent="0.2">
      <c r="A27" s="4">
        <v>25</v>
      </c>
      <c r="B27" s="5">
        <v>11</v>
      </c>
      <c r="C27" s="5">
        <v>10</v>
      </c>
      <c r="D27" s="5">
        <v>10</v>
      </c>
      <c r="E27" s="5">
        <v>9</v>
      </c>
      <c r="F27" s="5">
        <v>9</v>
      </c>
      <c r="G27" s="5">
        <v>9</v>
      </c>
      <c r="H27" s="5">
        <v>8</v>
      </c>
      <c r="I27" s="5">
        <v>8</v>
      </c>
      <c r="J27" s="5">
        <v>9</v>
      </c>
      <c r="K27" s="5">
        <v>9</v>
      </c>
      <c r="L27" s="5">
        <v>9</v>
      </c>
      <c r="M27" s="5">
        <v>9</v>
      </c>
      <c r="N27" s="5">
        <v>9</v>
      </c>
      <c r="O27" s="5" t="s">
        <v>42</v>
      </c>
      <c r="P27" s="22">
        <f t="shared" si="23"/>
        <v>1</v>
      </c>
      <c r="Q27" s="22">
        <f t="shared" si="0"/>
        <v>0</v>
      </c>
      <c r="R27" s="22">
        <f t="shared" si="1"/>
        <v>1</v>
      </c>
      <c r="S27" s="22">
        <f t="shared" si="2"/>
        <v>0</v>
      </c>
      <c r="T27" s="22">
        <f t="shared" si="3"/>
        <v>0</v>
      </c>
      <c r="U27" s="22">
        <f t="shared" si="4"/>
        <v>1</v>
      </c>
      <c r="V27" s="22">
        <f t="shared" si="5"/>
        <v>0</v>
      </c>
      <c r="W27" s="22">
        <f t="shared" si="6"/>
        <v>-1</v>
      </c>
      <c r="X27" s="22">
        <f t="shared" si="7"/>
        <v>0</v>
      </c>
      <c r="Y27" s="22">
        <f t="shared" si="8"/>
        <v>0</v>
      </c>
      <c r="Z27" s="22">
        <f t="shared" si="9"/>
        <v>0</v>
      </c>
      <c r="AA27" s="22">
        <f t="shared" si="10"/>
        <v>0</v>
      </c>
      <c r="AB27" s="5" t="s">
        <v>42</v>
      </c>
      <c r="AC27" s="5">
        <f t="shared" si="24"/>
        <v>1</v>
      </c>
      <c r="AD27" s="5">
        <f t="shared" si="11"/>
        <v>1</v>
      </c>
      <c r="AE27" s="5">
        <f t="shared" si="12"/>
        <v>0</v>
      </c>
      <c r="AF27" s="5">
        <f t="shared" si="13"/>
        <v>1</v>
      </c>
      <c r="AG27" s="5">
        <f t="shared" si="14"/>
        <v>0</v>
      </c>
      <c r="AH27" s="5">
        <f t="shared" si="15"/>
        <v>0</v>
      </c>
      <c r="AI27" s="5">
        <f t="shared" si="16"/>
        <v>1</v>
      </c>
      <c r="AJ27" s="5">
        <f t="shared" si="17"/>
        <v>1</v>
      </c>
      <c r="AK27" s="5">
        <f t="shared" si="18"/>
        <v>0</v>
      </c>
      <c r="AL27" s="5">
        <f t="shared" si="19"/>
        <v>0</v>
      </c>
      <c r="AM27" s="5">
        <f t="shared" si="20"/>
        <v>0</v>
      </c>
      <c r="AN27" s="5">
        <f t="shared" si="21"/>
        <v>0</v>
      </c>
      <c r="AO27" s="5">
        <f t="shared" si="22"/>
        <v>1</v>
      </c>
      <c r="AP27" s="5" t="s">
        <v>43</v>
      </c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</row>
    <row r="28" spans="1:69" ht="15" x14ac:dyDescent="0.2">
      <c r="A28" s="4">
        <v>26</v>
      </c>
      <c r="B28" s="5">
        <v>12</v>
      </c>
      <c r="C28" s="5">
        <v>11</v>
      </c>
      <c r="D28" s="5">
        <v>10</v>
      </c>
      <c r="E28" s="5">
        <v>10</v>
      </c>
      <c r="F28" s="5">
        <v>9</v>
      </c>
      <c r="G28" s="5">
        <v>9</v>
      </c>
      <c r="H28" s="5">
        <v>9</v>
      </c>
      <c r="I28" s="5">
        <v>9</v>
      </c>
      <c r="J28" s="5">
        <v>9</v>
      </c>
      <c r="K28" s="5">
        <v>9</v>
      </c>
      <c r="L28" s="5">
        <v>9</v>
      </c>
      <c r="M28" s="5">
        <v>9</v>
      </c>
      <c r="N28" s="5">
        <v>10</v>
      </c>
      <c r="O28" s="5" t="s">
        <v>42</v>
      </c>
      <c r="P28" s="22">
        <f t="shared" si="23"/>
        <v>1</v>
      </c>
      <c r="Q28" s="22">
        <f t="shared" si="0"/>
        <v>1</v>
      </c>
      <c r="R28" s="22">
        <f t="shared" si="1"/>
        <v>0</v>
      </c>
      <c r="S28" s="22">
        <f t="shared" si="2"/>
        <v>1</v>
      </c>
      <c r="T28" s="22">
        <f t="shared" si="3"/>
        <v>0</v>
      </c>
      <c r="U28" s="22">
        <f t="shared" si="4"/>
        <v>0</v>
      </c>
      <c r="V28" s="22">
        <f t="shared" si="5"/>
        <v>0</v>
      </c>
      <c r="W28" s="22">
        <f t="shared" si="6"/>
        <v>0</v>
      </c>
      <c r="X28" s="22">
        <f t="shared" si="7"/>
        <v>0</v>
      </c>
      <c r="Y28" s="22">
        <f t="shared" si="8"/>
        <v>0</v>
      </c>
      <c r="Z28" s="22">
        <f t="shared" si="9"/>
        <v>0</v>
      </c>
      <c r="AA28" s="22">
        <f t="shared" si="10"/>
        <v>-1</v>
      </c>
      <c r="AB28" s="5" t="s">
        <v>42</v>
      </c>
      <c r="AC28" s="5">
        <f t="shared" si="24"/>
        <v>0</v>
      </c>
      <c r="AD28" s="5">
        <f t="shared" si="11"/>
        <v>0</v>
      </c>
      <c r="AE28" s="5">
        <f t="shared" si="12"/>
        <v>0</v>
      </c>
      <c r="AF28" s="5">
        <f t="shared" si="13"/>
        <v>0</v>
      </c>
      <c r="AG28" s="5">
        <f t="shared" si="14"/>
        <v>1</v>
      </c>
      <c r="AH28" s="5">
        <f t="shared" si="15"/>
        <v>0</v>
      </c>
      <c r="AI28" s="5">
        <f t="shared" si="16"/>
        <v>0</v>
      </c>
      <c r="AJ28" s="5">
        <f t="shared" si="17"/>
        <v>0</v>
      </c>
      <c r="AK28" s="5">
        <f t="shared" si="18"/>
        <v>0</v>
      </c>
      <c r="AL28" s="5">
        <f t="shared" si="19"/>
        <v>0</v>
      </c>
      <c r="AM28" s="5">
        <f t="shared" si="20"/>
        <v>1</v>
      </c>
      <c r="AN28" s="5">
        <f t="shared" si="21"/>
        <v>1</v>
      </c>
      <c r="AO28" s="5">
        <f t="shared" si="22"/>
        <v>0</v>
      </c>
      <c r="AP28" s="5" t="s">
        <v>43</v>
      </c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</row>
    <row r="29" spans="1:69" ht="15" x14ac:dyDescent="0.2">
      <c r="A29" s="4">
        <v>27</v>
      </c>
      <c r="B29" s="5">
        <v>12</v>
      </c>
      <c r="C29" s="5">
        <v>11</v>
      </c>
      <c r="D29" s="5">
        <v>10</v>
      </c>
      <c r="E29" s="5">
        <v>10</v>
      </c>
      <c r="F29" s="5">
        <v>10</v>
      </c>
      <c r="G29" s="5">
        <v>9</v>
      </c>
      <c r="H29" s="5">
        <v>9</v>
      </c>
      <c r="I29" s="5">
        <v>9</v>
      </c>
      <c r="J29" s="5">
        <v>9</v>
      </c>
      <c r="K29" s="5">
        <v>9</v>
      </c>
      <c r="L29" s="5">
        <v>10</v>
      </c>
      <c r="M29" s="5">
        <v>10</v>
      </c>
      <c r="N29" s="5">
        <v>10</v>
      </c>
      <c r="O29" s="5" t="s">
        <v>42</v>
      </c>
      <c r="P29" s="22">
        <f t="shared" si="23"/>
        <v>1</v>
      </c>
      <c r="Q29" s="22">
        <f t="shared" si="0"/>
        <v>1</v>
      </c>
      <c r="R29" s="22">
        <f t="shared" si="1"/>
        <v>0</v>
      </c>
      <c r="S29" s="22">
        <f t="shared" si="2"/>
        <v>0</v>
      </c>
      <c r="T29" s="22">
        <f t="shared" si="3"/>
        <v>1</v>
      </c>
      <c r="U29" s="22">
        <f t="shared" si="4"/>
        <v>0</v>
      </c>
      <c r="V29" s="22">
        <f t="shared" si="5"/>
        <v>0</v>
      </c>
      <c r="W29" s="22">
        <f t="shared" si="6"/>
        <v>0</v>
      </c>
      <c r="X29" s="22">
        <f t="shared" si="7"/>
        <v>0</v>
      </c>
      <c r="Y29" s="22">
        <f t="shared" si="8"/>
        <v>-1</v>
      </c>
      <c r="Z29" s="22">
        <f t="shared" si="9"/>
        <v>0</v>
      </c>
      <c r="AA29" s="22">
        <f t="shared" si="10"/>
        <v>0</v>
      </c>
      <c r="AB29" s="5" t="s">
        <v>42</v>
      </c>
      <c r="AC29" s="5">
        <f t="shared" si="24"/>
        <v>1</v>
      </c>
      <c r="AD29" s="5">
        <f t="shared" si="11"/>
        <v>1</v>
      </c>
      <c r="AE29" s="5">
        <f t="shared" si="12"/>
        <v>1</v>
      </c>
      <c r="AF29" s="5">
        <f t="shared" si="13"/>
        <v>0</v>
      </c>
      <c r="AG29" s="5">
        <f t="shared" si="14"/>
        <v>0</v>
      </c>
      <c r="AH29" s="5">
        <f t="shared" si="15"/>
        <v>1</v>
      </c>
      <c r="AI29" s="5">
        <f t="shared" si="16"/>
        <v>1</v>
      </c>
      <c r="AJ29" s="5">
        <f t="shared" si="17"/>
        <v>1</v>
      </c>
      <c r="AK29" s="5">
        <f t="shared" si="18"/>
        <v>1</v>
      </c>
      <c r="AL29" s="5">
        <f t="shared" si="19"/>
        <v>1</v>
      </c>
      <c r="AM29" s="5">
        <f t="shared" si="20"/>
        <v>0</v>
      </c>
      <c r="AN29" s="5">
        <f t="shared" si="21"/>
        <v>0</v>
      </c>
      <c r="AO29" s="5">
        <f t="shared" si="22"/>
        <v>0</v>
      </c>
      <c r="AP29" s="5" t="s">
        <v>43</v>
      </c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</row>
    <row r="30" spans="1:69" ht="15" x14ac:dyDescent="0.2">
      <c r="A30" s="4">
        <v>28</v>
      </c>
      <c r="B30" s="5">
        <v>13</v>
      </c>
      <c r="C30" s="5">
        <v>12</v>
      </c>
      <c r="D30" s="5">
        <v>11</v>
      </c>
      <c r="E30" s="5">
        <v>10</v>
      </c>
      <c r="F30" s="5">
        <v>10</v>
      </c>
      <c r="G30" s="5">
        <v>10</v>
      </c>
      <c r="H30" s="5">
        <v>10</v>
      </c>
      <c r="I30" s="5">
        <v>10</v>
      </c>
      <c r="J30" s="5">
        <v>10</v>
      </c>
      <c r="K30" s="5">
        <v>10</v>
      </c>
      <c r="L30" s="5">
        <v>10</v>
      </c>
      <c r="M30" s="5">
        <v>10</v>
      </c>
      <c r="N30" s="5">
        <v>10</v>
      </c>
      <c r="O30" s="5" t="s">
        <v>42</v>
      </c>
      <c r="P30" s="22">
        <f t="shared" si="23"/>
        <v>1</v>
      </c>
      <c r="Q30" s="22">
        <f t="shared" si="0"/>
        <v>1</v>
      </c>
      <c r="R30" s="22">
        <f t="shared" si="1"/>
        <v>1</v>
      </c>
      <c r="S30" s="22">
        <f t="shared" si="2"/>
        <v>0</v>
      </c>
      <c r="T30" s="22">
        <f t="shared" si="3"/>
        <v>0</v>
      </c>
      <c r="U30" s="22">
        <f t="shared" si="4"/>
        <v>0</v>
      </c>
      <c r="V30" s="22">
        <f t="shared" si="5"/>
        <v>0</v>
      </c>
      <c r="W30" s="22">
        <f t="shared" si="6"/>
        <v>0</v>
      </c>
      <c r="X30" s="22">
        <f t="shared" si="7"/>
        <v>0</v>
      </c>
      <c r="Y30" s="22">
        <f t="shared" si="8"/>
        <v>0</v>
      </c>
      <c r="Z30" s="22">
        <f t="shared" si="9"/>
        <v>0</v>
      </c>
      <c r="AA30" s="22">
        <f t="shared" si="10"/>
        <v>0</v>
      </c>
      <c r="AB30" s="5" t="s">
        <v>42</v>
      </c>
      <c r="AC30" s="5">
        <f t="shared" si="24"/>
        <v>0</v>
      </c>
      <c r="AD30" s="5">
        <f t="shared" si="11"/>
        <v>0</v>
      </c>
      <c r="AE30" s="5">
        <f t="shared" si="12"/>
        <v>0</v>
      </c>
      <c r="AF30" s="5">
        <f t="shared" si="13"/>
        <v>1</v>
      </c>
      <c r="AG30" s="5">
        <f t="shared" si="14"/>
        <v>0</v>
      </c>
      <c r="AH30" s="5">
        <f t="shared" si="15"/>
        <v>0</v>
      </c>
      <c r="AI30" s="5">
        <f t="shared" si="16"/>
        <v>0</v>
      </c>
      <c r="AJ30" s="5">
        <f t="shared" si="17"/>
        <v>0</v>
      </c>
      <c r="AK30" s="5">
        <f t="shared" si="18"/>
        <v>0</v>
      </c>
      <c r="AL30" s="5">
        <f t="shared" si="19"/>
        <v>0</v>
      </c>
      <c r="AM30" s="5">
        <f t="shared" si="20"/>
        <v>0</v>
      </c>
      <c r="AN30" s="5">
        <f t="shared" si="21"/>
        <v>0</v>
      </c>
      <c r="AO30" s="5">
        <f t="shared" si="22"/>
        <v>1</v>
      </c>
      <c r="AP30" s="5" t="s">
        <v>43</v>
      </c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</row>
    <row r="31" spans="1:69" ht="15" x14ac:dyDescent="0.2">
      <c r="A31" s="4">
        <v>29</v>
      </c>
      <c r="B31" s="5">
        <v>13</v>
      </c>
      <c r="C31" s="5">
        <v>12</v>
      </c>
      <c r="D31" s="5">
        <v>11</v>
      </c>
      <c r="E31" s="5">
        <v>11</v>
      </c>
      <c r="F31" s="5">
        <v>10</v>
      </c>
      <c r="G31" s="5">
        <v>10</v>
      </c>
      <c r="H31" s="5">
        <v>10</v>
      </c>
      <c r="I31" s="5">
        <v>10</v>
      </c>
      <c r="J31" s="5">
        <v>10</v>
      </c>
      <c r="K31" s="5">
        <v>10</v>
      </c>
      <c r="L31" s="5">
        <v>10</v>
      </c>
      <c r="M31" s="5">
        <v>10</v>
      </c>
      <c r="N31" s="5">
        <v>11</v>
      </c>
      <c r="O31" s="5" t="s">
        <v>42</v>
      </c>
      <c r="P31" s="22">
        <f t="shared" si="23"/>
        <v>1</v>
      </c>
      <c r="Q31" s="22">
        <f t="shared" si="0"/>
        <v>1</v>
      </c>
      <c r="R31" s="22">
        <f t="shared" si="1"/>
        <v>0</v>
      </c>
      <c r="S31" s="22">
        <f t="shared" si="2"/>
        <v>1</v>
      </c>
      <c r="T31" s="22">
        <f t="shared" si="3"/>
        <v>0</v>
      </c>
      <c r="U31" s="22">
        <f t="shared" si="4"/>
        <v>0</v>
      </c>
      <c r="V31" s="22">
        <f t="shared" si="5"/>
        <v>0</v>
      </c>
      <c r="W31" s="22">
        <f t="shared" si="6"/>
        <v>0</v>
      </c>
      <c r="X31" s="22">
        <f t="shared" si="7"/>
        <v>0</v>
      </c>
      <c r="Y31" s="22">
        <f t="shared" si="8"/>
        <v>0</v>
      </c>
      <c r="Z31" s="22">
        <f t="shared" si="9"/>
        <v>0</v>
      </c>
      <c r="AA31" s="22">
        <f t="shared" si="10"/>
        <v>-1</v>
      </c>
      <c r="AB31" s="5" t="s">
        <v>42</v>
      </c>
      <c r="AC31" s="5">
        <f t="shared" si="24"/>
        <v>1</v>
      </c>
      <c r="AD31" s="5">
        <f t="shared" si="11"/>
        <v>1</v>
      </c>
      <c r="AE31" s="5">
        <f t="shared" si="12"/>
        <v>1</v>
      </c>
      <c r="AF31" s="5">
        <f t="shared" si="13"/>
        <v>0</v>
      </c>
      <c r="AG31" s="5">
        <f t="shared" si="14"/>
        <v>1</v>
      </c>
      <c r="AH31" s="5">
        <f t="shared" si="15"/>
        <v>0</v>
      </c>
      <c r="AI31" s="5">
        <f t="shared" si="16"/>
        <v>0</v>
      </c>
      <c r="AJ31" s="5">
        <f t="shared" si="17"/>
        <v>0</v>
      </c>
      <c r="AK31" s="5">
        <f t="shared" si="18"/>
        <v>0</v>
      </c>
      <c r="AL31" s="5">
        <f t="shared" si="19"/>
        <v>0</v>
      </c>
      <c r="AM31" s="5">
        <f t="shared" si="20"/>
        <v>1</v>
      </c>
      <c r="AN31" s="5">
        <f t="shared" si="21"/>
        <v>1</v>
      </c>
      <c r="AO31" s="5">
        <f t="shared" si="22"/>
        <v>0</v>
      </c>
      <c r="AP31" s="5" t="s">
        <v>43</v>
      </c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</row>
    <row r="32" spans="1:69" ht="15" x14ac:dyDescent="0.2">
      <c r="A32" s="4">
        <v>30</v>
      </c>
      <c r="B32" s="5">
        <v>14</v>
      </c>
      <c r="C32" s="5">
        <v>13</v>
      </c>
      <c r="D32" s="5">
        <v>12</v>
      </c>
      <c r="E32" s="5">
        <v>11</v>
      </c>
      <c r="F32" s="5">
        <v>11</v>
      </c>
      <c r="G32" s="5">
        <v>10</v>
      </c>
      <c r="H32" s="5">
        <v>10</v>
      </c>
      <c r="I32" s="5">
        <v>10</v>
      </c>
      <c r="J32" s="5">
        <v>10</v>
      </c>
      <c r="K32" s="5">
        <v>10</v>
      </c>
      <c r="L32" s="5">
        <v>11</v>
      </c>
      <c r="M32" s="5">
        <v>11</v>
      </c>
      <c r="N32" s="5">
        <v>11</v>
      </c>
      <c r="O32" s="5" t="s">
        <v>42</v>
      </c>
      <c r="P32" s="22">
        <f t="shared" si="23"/>
        <v>1</v>
      </c>
      <c r="Q32" s="22">
        <f t="shared" si="0"/>
        <v>1</v>
      </c>
      <c r="R32" s="22">
        <f t="shared" si="1"/>
        <v>1</v>
      </c>
      <c r="S32" s="22">
        <f t="shared" si="2"/>
        <v>0</v>
      </c>
      <c r="T32" s="22">
        <f t="shared" si="3"/>
        <v>1</v>
      </c>
      <c r="U32" s="22">
        <f t="shared" si="4"/>
        <v>0</v>
      </c>
      <c r="V32" s="22">
        <f t="shared" si="5"/>
        <v>0</v>
      </c>
      <c r="W32" s="22">
        <f t="shared" si="6"/>
        <v>0</v>
      </c>
      <c r="X32" s="22">
        <f t="shared" si="7"/>
        <v>0</v>
      </c>
      <c r="Y32" s="22">
        <f t="shared" si="8"/>
        <v>-1</v>
      </c>
      <c r="Z32" s="22">
        <f t="shared" si="9"/>
        <v>0</v>
      </c>
      <c r="AA32" s="22">
        <f t="shared" si="10"/>
        <v>0</v>
      </c>
      <c r="AB32" s="5" t="s">
        <v>42</v>
      </c>
      <c r="AC32" s="5">
        <f t="shared" si="24"/>
        <v>0</v>
      </c>
      <c r="AD32" s="5">
        <f t="shared" si="11"/>
        <v>0</v>
      </c>
      <c r="AE32" s="5">
        <f t="shared" si="12"/>
        <v>0</v>
      </c>
      <c r="AF32" s="5">
        <f t="shared" si="13"/>
        <v>1</v>
      </c>
      <c r="AG32" s="5">
        <f t="shared" si="14"/>
        <v>0</v>
      </c>
      <c r="AH32" s="5">
        <f t="shared" si="15"/>
        <v>1</v>
      </c>
      <c r="AI32" s="5">
        <f t="shared" si="16"/>
        <v>1</v>
      </c>
      <c r="AJ32" s="5">
        <f t="shared" si="17"/>
        <v>1</v>
      </c>
      <c r="AK32" s="5">
        <f t="shared" si="18"/>
        <v>1</v>
      </c>
      <c r="AL32" s="5">
        <f t="shared" si="19"/>
        <v>1</v>
      </c>
      <c r="AM32" s="5">
        <f t="shared" si="20"/>
        <v>0</v>
      </c>
      <c r="AN32" s="5">
        <f t="shared" si="21"/>
        <v>0</v>
      </c>
      <c r="AO32" s="5">
        <f t="shared" si="22"/>
        <v>1</v>
      </c>
      <c r="AP32" s="5" t="s">
        <v>43</v>
      </c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</row>
    <row r="33" spans="1:69" ht="15" x14ac:dyDescent="0.2">
      <c r="A33" s="4">
        <v>31</v>
      </c>
      <c r="B33" s="5">
        <v>14</v>
      </c>
      <c r="C33" s="5">
        <v>13</v>
      </c>
      <c r="D33" s="5">
        <v>12</v>
      </c>
      <c r="E33" s="5">
        <v>12</v>
      </c>
      <c r="F33" s="5">
        <v>11</v>
      </c>
      <c r="G33" s="5">
        <v>11</v>
      </c>
      <c r="H33" s="5">
        <v>11</v>
      </c>
      <c r="I33" s="5">
        <v>11</v>
      </c>
      <c r="J33" s="5">
        <v>11</v>
      </c>
      <c r="K33" s="5">
        <v>11</v>
      </c>
      <c r="L33" s="5">
        <v>11</v>
      </c>
      <c r="M33" s="5">
        <v>11</v>
      </c>
      <c r="N33" s="5">
        <v>12</v>
      </c>
      <c r="O33" s="5" t="s">
        <v>42</v>
      </c>
      <c r="P33" s="22">
        <f t="shared" si="23"/>
        <v>1</v>
      </c>
      <c r="Q33" s="22">
        <f t="shared" si="0"/>
        <v>1</v>
      </c>
      <c r="R33" s="22">
        <f t="shared" si="1"/>
        <v>0</v>
      </c>
      <c r="S33" s="22">
        <f t="shared" si="2"/>
        <v>1</v>
      </c>
      <c r="T33" s="22">
        <f t="shared" si="3"/>
        <v>0</v>
      </c>
      <c r="U33" s="22">
        <f t="shared" si="4"/>
        <v>0</v>
      </c>
      <c r="V33" s="22">
        <f t="shared" si="5"/>
        <v>0</v>
      </c>
      <c r="W33" s="22">
        <f t="shared" si="6"/>
        <v>0</v>
      </c>
      <c r="X33" s="22">
        <f t="shared" si="7"/>
        <v>0</v>
      </c>
      <c r="Y33" s="22">
        <f t="shared" si="8"/>
        <v>0</v>
      </c>
      <c r="Z33" s="22">
        <f t="shared" si="9"/>
        <v>0</v>
      </c>
      <c r="AA33" s="22">
        <f t="shared" si="10"/>
        <v>-1</v>
      </c>
      <c r="AB33" s="5" t="s">
        <v>42</v>
      </c>
      <c r="AC33" s="5">
        <f t="shared" si="24"/>
        <v>1</v>
      </c>
      <c r="AD33" s="5">
        <f t="shared" si="11"/>
        <v>1</v>
      </c>
      <c r="AE33" s="5">
        <f t="shared" si="12"/>
        <v>1</v>
      </c>
      <c r="AF33" s="5">
        <f t="shared" si="13"/>
        <v>0</v>
      </c>
      <c r="AG33" s="5">
        <f t="shared" si="14"/>
        <v>1</v>
      </c>
      <c r="AH33" s="5">
        <f t="shared" si="15"/>
        <v>0</v>
      </c>
      <c r="AI33" s="5">
        <f t="shared" si="16"/>
        <v>0</v>
      </c>
      <c r="AJ33" s="5">
        <f t="shared" si="17"/>
        <v>0</v>
      </c>
      <c r="AK33" s="5">
        <f t="shared" si="18"/>
        <v>0</v>
      </c>
      <c r="AL33" s="5">
        <f t="shared" si="19"/>
        <v>0</v>
      </c>
      <c r="AM33" s="5">
        <f t="shared" si="20"/>
        <v>0</v>
      </c>
      <c r="AN33" s="5">
        <f t="shared" si="21"/>
        <v>1</v>
      </c>
      <c r="AO33" s="5">
        <f t="shared" si="22"/>
        <v>0</v>
      </c>
      <c r="AP33" s="5" t="s">
        <v>43</v>
      </c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</row>
    <row r="34" spans="1:69" ht="15" x14ac:dyDescent="0.2">
      <c r="A34" s="4">
        <v>32</v>
      </c>
      <c r="B34" s="5">
        <v>15</v>
      </c>
      <c r="C34" s="5">
        <v>14</v>
      </c>
      <c r="D34" s="5">
        <v>13</v>
      </c>
      <c r="E34" s="5">
        <v>12</v>
      </c>
      <c r="F34" s="5">
        <v>12</v>
      </c>
      <c r="G34" s="5">
        <v>11</v>
      </c>
      <c r="H34" s="5">
        <v>11</v>
      </c>
      <c r="I34" s="5">
        <v>11</v>
      </c>
      <c r="J34" s="5">
        <v>11</v>
      </c>
      <c r="K34" s="5">
        <v>11</v>
      </c>
      <c r="L34" s="5">
        <v>11</v>
      </c>
      <c r="M34" s="5">
        <v>12</v>
      </c>
      <c r="N34" s="5">
        <v>12</v>
      </c>
      <c r="O34" s="5" t="s">
        <v>42</v>
      </c>
      <c r="P34" s="22">
        <f t="shared" si="23"/>
        <v>1</v>
      </c>
      <c r="Q34" s="22">
        <f t="shared" si="0"/>
        <v>1</v>
      </c>
      <c r="R34" s="22">
        <f t="shared" si="1"/>
        <v>1</v>
      </c>
      <c r="S34" s="22">
        <f t="shared" si="2"/>
        <v>0</v>
      </c>
      <c r="T34" s="22">
        <f t="shared" si="3"/>
        <v>1</v>
      </c>
      <c r="U34" s="22">
        <f t="shared" si="4"/>
        <v>0</v>
      </c>
      <c r="V34" s="22">
        <f t="shared" si="5"/>
        <v>0</v>
      </c>
      <c r="W34" s="22">
        <f t="shared" si="6"/>
        <v>0</v>
      </c>
      <c r="X34" s="22">
        <f t="shared" si="7"/>
        <v>0</v>
      </c>
      <c r="Y34" s="22">
        <f t="shared" si="8"/>
        <v>0</v>
      </c>
      <c r="Z34" s="22">
        <f t="shared" si="9"/>
        <v>-1</v>
      </c>
      <c r="AA34" s="22">
        <f t="shared" si="10"/>
        <v>0</v>
      </c>
      <c r="AB34" s="5" t="s">
        <v>42</v>
      </c>
      <c r="AC34" s="5">
        <f t="shared" si="24"/>
        <v>1</v>
      </c>
      <c r="AD34" s="5">
        <f t="shared" si="11"/>
        <v>0</v>
      </c>
      <c r="AE34" s="5">
        <f t="shared" si="12"/>
        <v>0</v>
      </c>
      <c r="AF34" s="5">
        <f t="shared" si="13"/>
        <v>1</v>
      </c>
      <c r="AG34" s="5">
        <f t="shared" si="14"/>
        <v>0</v>
      </c>
      <c r="AH34" s="5">
        <f t="shared" si="15"/>
        <v>1</v>
      </c>
      <c r="AI34" s="5">
        <f t="shared" si="16"/>
        <v>0</v>
      </c>
      <c r="AJ34" s="5">
        <f t="shared" si="17"/>
        <v>0</v>
      </c>
      <c r="AK34" s="5">
        <f t="shared" si="18"/>
        <v>1</v>
      </c>
      <c r="AL34" s="5">
        <f t="shared" si="19"/>
        <v>1</v>
      </c>
      <c r="AM34" s="5">
        <f t="shared" si="20"/>
        <v>1</v>
      </c>
      <c r="AN34" s="5">
        <f t="shared" si="21"/>
        <v>0</v>
      </c>
      <c r="AO34" s="5">
        <f t="shared" si="22"/>
        <v>1</v>
      </c>
      <c r="AP34" s="5" t="s">
        <v>43</v>
      </c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</row>
    <row r="35" spans="1:69" ht="15" x14ac:dyDescent="0.2">
      <c r="A35" s="4">
        <v>33</v>
      </c>
      <c r="B35" s="5">
        <v>16</v>
      </c>
      <c r="C35" s="5">
        <v>14</v>
      </c>
      <c r="D35" s="5">
        <v>13</v>
      </c>
      <c r="E35" s="5">
        <v>13</v>
      </c>
      <c r="F35" s="5">
        <v>12</v>
      </c>
      <c r="G35" s="5">
        <v>12</v>
      </c>
      <c r="H35" s="5">
        <v>11</v>
      </c>
      <c r="I35" s="5">
        <v>11</v>
      </c>
      <c r="J35" s="5">
        <v>12</v>
      </c>
      <c r="K35" s="5">
        <v>12</v>
      </c>
      <c r="L35" s="5">
        <v>12</v>
      </c>
      <c r="M35" s="5">
        <v>12</v>
      </c>
      <c r="N35" s="5">
        <v>13</v>
      </c>
      <c r="O35" s="5" t="s">
        <v>42</v>
      </c>
      <c r="P35" s="22">
        <f t="shared" si="23"/>
        <v>2</v>
      </c>
      <c r="Q35" s="22">
        <f t="shared" si="0"/>
        <v>1</v>
      </c>
      <c r="R35" s="22">
        <f t="shared" si="1"/>
        <v>0</v>
      </c>
      <c r="S35" s="22">
        <f t="shared" si="2"/>
        <v>1</v>
      </c>
      <c r="T35" s="22">
        <f t="shared" si="3"/>
        <v>0</v>
      </c>
      <c r="U35" s="22">
        <f t="shared" si="4"/>
        <v>1</v>
      </c>
      <c r="V35" s="22">
        <f t="shared" si="5"/>
        <v>0</v>
      </c>
      <c r="W35" s="22">
        <f t="shared" si="6"/>
        <v>-1</v>
      </c>
      <c r="X35" s="22">
        <f t="shared" si="7"/>
        <v>0</v>
      </c>
      <c r="Y35" s="22">
        <f t="shared" si="8"/>
        <v>0</v>
      </c>
      <c r="Z35" s="22">
        <f t="shared" si="9"/>
        <v>0</v>
      </c>
      <c r="AA35" s="22">
        <f t="shared" si="10"/>
        <v>-1</v>
      </c>
      <c r="AB35" s="5" t="s">
        <v>42</v>
      </c>
      <c r="AC35" s="5">
        <f t="shared" si="24"/>
        <v>0</v>
      </c>
      <c r="AD35" s="5">
        <f t="shared" si="11"/>
        <v>1</v>
      </c>
      <c r="AE35" s="5">
        <f t="shared" si="12"/>
        <v>1</v>
      </c>
      <c r="AF35" s="5">
        <f t="shared" si="13"/>
        <v>0</v>
      </c>
      <c r="AG35" s="5">
        <f t="shared" si="14"/>
        <v>1</v>
      </c>
      <c r="AH35" s="5">
        <f t="shared" si="15"/>
        <v>0</v>
      </c>
      <c r="AI35" s="5">
        <f t="shared" si="16"/>
        <v>1</v>
      </c>
      <c r="AJ35" s="5">
        <f t="shared" si="17"/>
        <v>1</v>
      </c>
      <c r="AK35" s="5">
        <f t="shared" si="18"/>
        <v>0</v>
      </c>
      <c r="AL35" s="5">
        <f t="shared" si="19"/>
        <v>0</v>
      </c>
      <c r="AM35" s="5">
        <f t="shared" si="20"/>
        <v>0</v>
      </c>
      <c r="AN35" s="5">
        <f t="shared" si="21"/>
        <v>0</v>
      </c>
      <c r="AO35" s="5">
        <f t="shared" si="22"/>
        <v>0</v>
      </c>
      <c r="AP35" s="5" t="s">
        <v>43</v>
      </c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</row>
    <row r="36" spans="1:69" ht="15" x14ac:dyDescent="0.2">
      <c r="A36" s="4">
        <v>34</v>
      </c>
      <c r="B36" s="5">
        <v>16</v>
      </c>
      <c r="C36" s="5">
        <v>15</v>
      </c>
      <c r="D36" s="5">
        <v>14</v>
      </c>
      <c r="E36" s="5">
        <v>13</v>
      </c>
      <c r="F36" s="5">
        <v>13</v>
      </c>
      <c r="G36" s="5">
        <v>12</v>
      </c>
      <c r="H36" s="5">
        <v>12</v>
      </c>
      <c r="I36" s="5">
        <v>12</v>
      </c>
      <c r="J36" s="5">
        <v>12</v>
      </c>
      <c r="K36" s="5">
        <v>12</v>
      </c>
      <c r="L36" s="5">
        <v>12</v>
      </c>
      <c r="M36" s="5">
        <v>12</v>
      </c>
      <c r="N36" s="5">
        <v>13</v>
      </c>
      <c r="O36" s="5" t="s">
        <v>42</v>
      </c>
      <c r="P36" s="22">
        <f t="shared" si="23"/>
        <v>1</v>
      </c>
      <c r="Q36" s="22">
        <f t="shared" si="0"/>
        <v>1</v>
      </c>
      <c r="R36" s="22">
        <f t="shared" si="1"/>
        <v>1</v>
      </c>
      <c r="S36" s="22">
        <f t="shared" si="2"/>
        <v>0</v>
      </c>
      <c r="T36" s="22">
        <f t="shared" si="3"/>
        <v>1</v>
      </c>
      <c r="U36" s="22">
        <f t="shared" si="4"/>
        <v>0</v>
      </c>
      <c r="V36" s="22">
        <f t="shared" si="5"/>
        <v>0</v>
      </c>
      <c r="W36" s="22">
        <f t="shared" si="6"/>
        <v>0</v>
      </c>
      <c r="X36" s="22">
        <f t="shared" si="7"/>
        <v>0</v>
      </c>
      <c r="Y36" s="22">
        <f t="shared" si="8"/>
        <v>0</v>
      </c>
      <c r="Z36" s="22">
        <f t="shared" si="9"/>
        <v>0</v>
      </c>
      <c r="AA36" s="22">
        <f t="shared" si="10"/>
        <v>-1</v>
      </c>
      <c r="AB36" s="5" t="s">
        <v>42</v>
      </c>
      <c r="AC36" s="5">
        <f t="shared" si="24"/>
        <v>1</v>
      </c>
      <c r="AD36" s="5">
        <f t="shared" si="11"/>
        <v>1</v>
      </c>
      <c r="AE36" s="5">
        <f t="shared" si="12"/>
        <v>1</v>
      </c>
      <c r="AF36" s="5">
        <f t="shared" si="13"/>
        <v>1</v>
      </c>
      <c r="AG36" s="5">
        <f t="shared" si="14"/>
        <v>0</v>
      </c>
      <c r="AH36" s="5">
        <f t="shared" si="15"/>
        <v>1</v>
      </c>
      <c r="AI36" s="5">
        <f t="shared" si="16"/>
        <v>0</v>
      </c>
      <c r="AJ36" s="5">
        <f t="shared" si="17"/>
        <v>0</v>
      </c>
      <c r="AK36" s="5">
        <f t="shared" si="18"/>
        <v>0</v>
      </c>
      <c r="AL36" s="5">
        <f t="shared" si="19"/>
        <v>0</v>
      </c>
      <c r="AM36" s="5">
        <f t="shared" si="20"/>
        <v>0</v>
      </c>
      <c r="AN36" s="5">
        <f t="shared" si="21"/>
        <v>1</v>
      </c>
      <c r="AO36" s="5">
        <f t="shared" si="22"/>
        <v>1</v>
      </c>
      <c r="AP36" s="5" t="s">
        <v>43</v>
      </c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</row>
    <row r="37" spans="1:69" ht="15" x14ac:dyDescent="0.2">
      <c r="A37" s="4">
        <v>35</v>
      </c>
      <c r="B37" s="5">
        <v>17</v>
      </c>
      <c r="C37" s="5">
        <v>16</v>
      </c>
      <c r="D37" s="5">
        <v>15</v>
      </c>
      <c r="E37" s="5">
        <v>14</v>
      </c>
      <c r="F37" s="5">
        <v>13</v>
      </c>
      <c r="G37" s="5">
        <v>13</v>
      </c>
      <c r="H37" s="5">
        <v>12</v>
      </c>
      <c r="I37" s="5">
        <v>12</v>
      </c>
      <c r="J37" s="5">
        <v>12</v>
      </c>
      <c r="K37" s="5">
        <v>12</v>
      </c>
      <c r="L37" s="5">
        <v>12</v>
      </c>
      <c r="M37" s="5">
        <v>13</v>
      </c>
      <c r="N37" s="5">
        <v>14</v>
      </c>
      <c r="O37" s="5" t="s">
        <v>42</v>
      </c>
      <c r="P37" s="22">
        <f t="shared" si="23"/>
        <v>1</v>
      </c>
      <c r="Q37" s="22">
        <f t="shared" si="0"/>
        <v>1</v>
      </c>
      <c r="R37" s="22">
        <f t="shared" si="1"/>
        <v>1</v>
      </c>
      <c r="S37" s="22">
        <f t="shared" si="2"/>
        <v>1</v>
      </c>
      <c r="T37" s="22">
        <f t="shared" si="3"/>
        <v>0</v>
      </c>
      <c r="U37" s="22">
        <f t="shared" si="4"/>
        <v>1</v>
      </c>
      <c r="V37" s="22">
        <f t="shared" si="5"/>
        <v>0</v>
      </c>
      <c r="W37" s="22">
        <f t="shared" si="6"/>
        <v>0</v>
      </c>
      <c r="X37" s="22">
        <f t="shared" si="7"/>
        <v>0</v>
      </c>
      <c r="Y37" s="22">
        <f t="shared" si="8"/>
        <v>0</v>
      </c>
      <c r="Z37" s="22">
        <f t="shared" si="9"/>
        <v>-1</v>
      </c>
      <c r="AA37" s="22">
        <f t="shared" si="10"/>
        <v>-1</v>
      </c>
      <c r="AB37" s="5" t="s">
        <v>42</v>
      </c>
      <c r="AC37" s="5">
        <f t="shared" si="24"/>
        <v>0</v>
      </c>
      <c r="AD37" s="5">
        <f t="shared" si="11"/>
        <v>0</v>
      </c>
      <c r="AE37" s="5">
        <f t="shared" si="12"/>
        <v>0</v>
      </c>
      <c r="AF37" s="5">
        <f t="shared" si="13"/>
        <v>0</v>
      </c>
      <c r="AG37" s="5">
        <f t="shared" si="14"/>
        <v>1</v>
      </c>
      <c r="AH37" s="5">
        <f t="shared" si="15"/>
        <v>0</v>
      </c>
      <c r="AI37" s="5">
        <f t="shared" si="16"/>
        <v>1</v>
      </c>
      <c r="AJ37" s="5">
        <f t="shared" si="17"/>
        <v>1</v>
      </c>
      <c r="AK37" s="5">
        <f t="shared" si="18"/>
        <v>1</v>
      </c>
      <c r="AL37" s="5">
        <f t="shared" si="19"/>
        <v>1</v>
      </c>
      <c r="AM37" s="5">
        <f t="shared" si="20"/>
        <v>1</v>
      </c>
      <c r="AN37" s="5">
        <f t="shared" si="21"/>
        <v>0</v>
      </c>
      <c r="AO37" s="5">
        <f t="shared" si="22"/>
        <v>0</v>
      </c>
      <c r="AP37" s="5" t="s">
        <v>43</v>
      </c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</row>
    <row r="38" spans="1:69" ht="15" x14ac:dyDescent="0.2">
      <c r="A38" s="4">
        <v>36</v>
      </c>
      <c r="B38" s="5">
        <v>17</v>
      </c>
      <c r="C38" s="5">
        <v>16</v>
      </c>
      <c r="D38" s="5">
        <v>15</v>
      </c>
      <c r="E38" s="5">
        <v>14</v>
      </c>
      <c r="F38" s="5">
        <v>14</v>
      </c>
      <c r="G38" s="5">
        <v>13</v>
      </c>
      <c r="H38" s="5">
        <v>13</v>
      </c>
      <c r="I38" s="5">
        <v>13</v>
      </c>
      <c r="J38" s="5">
        <v>13</v>
      </c>
      <c r="K38" s="5">
        <v>13</v>
      </c>
      <c r="L38" s="5">
        <v>13</v>
      </c>
      <c r="M38" s="5">
        <v>13</v>
      </c>
      <c r="N38" s="5">
        <v>14</v>
      </c>
      <c r="O38" s="5" t="s">
        <v>42</v>
      </c>
      <c r="P38" s="22">
        <f t="shared" si="23"/>
        <v>1</v>
      </c>
      <c r="Q38" s="22">
        <f t="shared" si="0"/>
        <v>1</v>
      </c>
      <c r="R38" s="22">
        <f t="shared" si="1"/>
        <v>1</v>
      </c>
      <c r="S38" s="22">
        <f t="shared" si="2"/>
        <v>0</v>
      </c>
      <c r="T38" s="22">
        <f t="shared" si="3"/>
        <v>1</v>
      </c>
      <c r="U38" s="22">
        <f t="shared" si="4"/>
        <v>0</v>
      </c>
      <c r="V38" s="22">
        <f t="shared" si="5"/>
        <v>0</v>
      </c>
      <c r="W38" s="22">
        <f t="shared" si="6"/>
        <v>0</v>
      </c>
      <c r="X38" s="22">
        <f t="shared" si="7"/>
        <v>0</v>
      </c>
      <c r="Y38" s="22">
        <f t="shared" si="8"/>
        <v>0</v>
      </c>
      <c r="Z38" s="22">
        <f t="shared" si="9"/>
        <v>0</v>
      </c>
      <c r="AA38" s="22">
        <f t="shared" si="10"/>
        <v>-1</v>
      </c>
      <c r="AB38" s="5" t="s">
        <v>42</v>
      </c>
      <c r="AC38" s="5">
        <f t="shared" si="24"/>
        <v>1</v>
      </c>
      <c r="AD38" s="5">
        <f t="shared" si="11"/>
        <v>1</v>
      </c>
      <c r="AE38" s="5">
        <f t="shared" si="12"/>
        <v>1</v>
      </c>
      <c r="AF38" s="5">
        <f t="shared" si="13"/>
        <v>1</v>
      </c>
      <c r="AG38" s="5">
        <f t="shared" si="14"/>
        <v>0</v>
      </c>
      <c r="AH38" s="5">
        <f t="shared" si="15"/>
        <v>1</v>
      </c>
      <c r="AI38" s="5">
        <f t="shared" si="16"/>
        <v>0</v>
      </c>
      <c r="AJ38" s="5">
        <f t="shared" si="17"/>
        <v>0</v>
      </c>
      <c r="AK38" s="5">
        <f t="shared" si="18"/>
        <v>0</v>
      </c>
      <c r="AL38" s="5">
        <f t="shared" si="19"/>
        <v>0</v>
      </c>
      <c r="AM38" s="5">
        <f t="shared" si="20"/>
        <v>0</v>
      </c>
      <c r="AN38" s="5">
        <f t="shared" si="21"/>
        <v>1</v>
      </c>
      <c r="AO38" s="5">
        <f t="shared" si="22"/>
        <v>1</v>
      </c>
      <c r="AP38" s="5" t="s">
        <v>43</v>
      </c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</row>
    <row r="39" spans="1:69" ht="15" x14ac:dyDescent="0.2">
      <c r="A39" s="4">
        <v>37</v>
      </c>
      <c r="B39" s="5">
        <v>18</v>
      </c>
      <c r="C39" s="5">
        <v>17</v>
      </c>
      <c r="D39" s="5">
        <v>16</v>
      </c>
      <c r="E39" s="5">
        <v>15</v>
      </c>
      <c r="F39" s="5">
        <v>14</v>
      </c>
      <c r="G39" s="5">
        <v>14</v>
      </c>
      <c r="H39" s="5">
        <v>13</v>
      </c>
      <c r="I39" s="5">
        <v>13</v>
      </c>
      <c r="J39" s="5">
        <v>13</v>
      </c>
      <c r="K39" s="5">
        <v>13</v>
      </c>
      <c r="L39" s="5">
        <v>13</v>
      </c>
      <c r="M39" s="5">
        <v>14</v>
      </c>
      <c r="N39" s="5">
        <v>15</v>
      </c>
      <c r="O39" s="5" t="s">
        <v>42</v>
      </c>
      <c r="P39" s="22">
        <f t="shared" si="23"/>
        <v>1</v>
      </c>
      <c r="Q39" s="22">
        <f t="shared" si="0"/>
        <v>1</v>
      </c>
      <c r="R39" s="22">
        <f t="shared" si="1"/>
        <v>1</v>
      </c>
      <c r="S39" s="22">
        <f t="shared" si="2"/>
        <v>1</v>
      </c>
      <c r="T39" s="22">
        <f t="shared" si="3"/>
        <v>0</v>
      </c>
      <c r="U39" s="22">
        <f t="shared" si="4"/>
        <v>1</v>
      </c>
      <c r="V39" s="22">
        <f t="shared" si="5"/>
        <v>0</v>
      </c>
      <c r="W39" s="22">
        <f t="shared" si="6"/>
        <v>0</v>
      </c>
      <c r="X39" s="22">
        <f t="shared" si="7"/>
        <v>0</v>
      </c>
      <c r="Y39" s="22">
        <f t="shared" si="8"/>
        <v>0</v>
      </c>
      <c r="Z39" s="22">
        <f t="shared" si="9"/>
        <v>-1</v>
      </c>
      <c r="AA39" s="22">
        <f t="shared" si="10"/>
        <v>-1</v>
      </c>
      <c r="AB39" s="5" t="s">
        <v>42</v>
      </c>
      <c r="AC39" s="5">
        <f t="shared" si="24"/>
        <v>0</v>
      </c>
      <c r="AD39" s="5">
        <f t="shared" si="11"/>
        <v>0</v>
      </c>
      <c r="AE39" s="5">
        <f t="shared" si="12"/>
        <v>0</v>
      </c>
      <c r="AF39" s="5">
        <f t="shared" si="13"/>
        <v>0</v>
      </c>
      <c r="AG39" s="5">
        <f t="shared" si="14"/>
        <v>1</v>
      </c>
      <c r="AH39" s="5">
        <f t="shared" si="15"/>
        <v>0</v>
      </c>
      <c r="AI39" s="5">
        <f t="shared" si="16"/>
        <v>1</v>
      </c>
      <c r="AJ39" s="5">
        <f t="shared" si="17"/>
        <v>1</v>
      </c>
      <c r="AK39" s="5">
        <f t="shared" si="18"/>
        <v>1</v>
      </c>
      <c r="AL39" s="5">
        <f t="shared" si="19"/>
        <v>1</v>
      </c>
      <c r="AM39" s="5">
        <f t="shared" si="20"/>
        <v>1</v>
      </c>
      <c r="AN39" s="5">
        <f t="shared" si="21"/>
        <v>1</v>
      </c>
      <c r="AO39" s="5">
        <f t="shared" si="22"/>
        <v>0</v>
      </c>
      <c r="AP39" s="5" t="s">
        <v>43</v>
      </c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</row>
    <row r="40" spans="1:69" ht="15" x14ac:dyDescent="0.2">
      <c r="A40" s="4">
        <v>38</v>
      </c>
      <c r="B40" s="5">
        <v>18</v>
      </c>
      <c r="C40" s="5">
        <v>17</v>
      </c>
      <c r="D40" s="5">
        <v>16</v>
      </c>
      <c r="E40" s="5">
        <v>15</v>
      </c>
      <c r="F40" s="5">
        <v>15</v>
      </c>
      <c r="G40" s="5">
        <v>14</v>
      </c>
      <c r="H40" s="5">
        <v>14</v>
      </c>
      <c r="I40" s="5">
        <v>14</v>
      </c>
      <c r="J40" s="5">
        <v>14</v>
      </c>
      <c r="K40" s="5">
        <v>14</v>
      </c>
      <c r="L40" s="5">
        <v>14</v>
      </c>
      <c r="M40" s="5">
        <v>15</v>
      </c>
      <c r="N40" s="5">
        <v>15</v>
      </c>
      <c r="O40" s="5" t="s">
        <v>42</v>
      </c>
      <c r="P40" s="22">
        <f t="shared" si="23"/>
        <v>1</v>
      </c>
      <c r="Q40" s="22">
        <f t="shared" si="0"/>
        <v>1</v>
      </c>
      <c r="R40" s="22">
        <f t="shared" si="1"/>
        <v>1</v>
      </c>
      <c r="S40" s="22">
        <f t="shared" si="2"/>
        <v>0</v>
      </c>
      <c r="T40" s="22">
        <f t="shared" si="3"/>
        <v>1</v>
      </c>
      <c r="U40" s="22">
        <f t="shared" si="4"/>
        <v>0</v>
      </c>
      <c r="V40" s="22">
        <f t="shared" si="5"/>
        <v>0</v>
      </c>
      <c r="W40" s="22">
        <f t="shared" si="6"/>
        <v>0</v>
      </c>
      <c r="X40" s="22">
        <f t="shared" si="7"/>
        <v>0</v>
      </c>
      <c r="Y40" s="22">
        <f t="shared" si="8"/>
        <v>0</v>
      </c>
      <c r="Z40" s="22">
        <f t="shared" si="9"/>
        <v>-1</v>
      </c>
      <c r="AA40" s="22">
        <f t="shared" si="10"/>
        <v>0</v>
      </c>
      <c r="AB40" s="5" t="s">
        <v>42</v>
      </c>
      <c r="AC40" s="5">
        <f t="shared" si="24"/>
        <v>0</v>
      </c>
      <c r="AD40" s="5">
        <f t="shared" si="11"/>
        <v>1</v>
      </c>
      <c r="AE40" s="5">
        <f t="shared" si="12"/>
        <v>1</v>
      </c>
      <c r="AF40" s="5">
        <f t="shared" si="13"/>
        <v>1</v>
      </c>
      <c r="AG40" s="5">
        <f t="shared" si="14"/>
        <v>0</v>
      </c>
      <c r="AH40" s="5">
        <f t="shared" si="15"/>
        <v>1</v>
      </c>
      <c r="AI40" s="5">
        <f t="shared" si="16"/>
        <v>0</v>
      </c>
      <c r="AJ40" s="5">
        <f t="shared" si="17"/>
        <v>0</v>
      </c>
      <c r="AK40" s="5">
        <f t="shared" si="18"/>
        <v>0</v>
      </c>
      <c r="AL40" s="5">
        <f t="shared" si="19"/>
        <v>0</v>
      </c>
      <c r="AM40" s="5">
        <f t="shared" si="20"/>
        <v>0</v>
      </c>
      <c r="AN40" s="5">
        <f t="shared" si="21"/>
        <v>0</v>
      </c>
      <c r="AO40" s="5">
        <f t="shared" si="22"/>
        <v>1</v>
      </c>
      <c r="AP40" s="5" t="s">
        <v>43</v>
      </c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</row>
    <row r="41" spans="1:69" ht="15" x14ac:dyDescent="0.2">
      <c r="A41" s="4">
        <v>39</v>
      </c>
      <c r="B41" s="5">
        <v>18</v>
      </c>
      <c r="C41" s="5">
        <v>18</v>
      </c>
      <c r="D41" s="5">
        <v>17</v>
      </c>
      <c r="E41" s="5">
        <v>16</v>
      </c>
      <c r="F41" s="5">
        <v>15</v>
      </c>
      <c r="G41" s="5">
        <v>15</v>
      </c>
      <c r="H41" s="5">
        <v>14</v>
      </c>
      <c r="I41" s="5">
        <v>14</v>
      </c>
      <c r="J41" s="5">
        <v>14</v>
      </c>
      <c r="K41" s="5">
        <v>14</v>
      </c>
      <c r="L41" s="5">
        <v>14</v>
      </c>
      <c r="M41" s="5">
        <v>15</v>
      </c>
      <c r="N41" s="5">
        <v>16</v>
      </c>
      <c r="O41" s="5" t="s">
        <v>42</v>
      </c>
      <c r="P41" s="22">
        <f t="shared" si="23"/>
        <v>0</v>
      </c>
      <c r="Q41" s="22">
        <f t="shared" si="0"/>
        <v>1</v>
      </c>
      <c r="R41" s="22">
        <f t="shared" si="1"/>
        <v>1</v>
      </c>
      <c r="S41" s="22">
        <f t="shared" si="2"/>
        <v>1</v>
      </c>
      <c r="T41" s="22">
        <f t="shared" si="3"/>
        <v>0</v>
      </c>
      <c r="U41" s="22">
        <f t="shared" si="4"/>
        <v>1</v>
      </c>
      <c r="V41" s="22">
        <f t="shared" si="5"/>
        <v>0</v>
      </c>
      <c r="W41" s="22">
        <f t="shared" si="6"/>
        <v>0</v>
      </c>
      <c r="X41" s="22">
        <f t="shared" si="7"/>
        <v>0</v>
      </c>
      <c r="Y41" s="22">
        <f t="shared" si="8"/>
        <v>0</v>
      </c>
      <c r="Z41" s="22">
        <f t="shared" si="9"/>
        <v>-1</v>
      </c>
      <c r="AA41" s="22">
        <f t="shared" si="10"/>
        <v>-1</v>
      </c>
      <c r="AB41" s="5" t="s">
        <v>42</v>
      </c>
      <c r="AC41" s="5">
        <f t="shared" si="24"/>
        <v>1</v>
      </c>
      <c r="AD41" s="5">
        <f t="shared" si="11"/>
        <v>0</v>
      </c>
      <c r="AE41" s="5">
        <f t="shared" si="12"/>
        <v>0</v>
      </c>
      <c r="AF41" s="5">
        <f t="shared" si="13"/>
        <v>0</v>
      </c>
      <c r="AG41" s="5">
        <f t="shared" si="14"/>
        <v>1</v>
      </c>
      <c r="AH41" s="5">
        <f t="shared" si="15"/>
        <v>0</v>
      </c>
      <c r="AI41" s="5">
        <f t="shared" si="16"/>
        <v>1</v>
      </c>
      <c r="AJ41" s="5">
        <f t="shared" si="17"/>
        <v>1</v>
      </c>
      <c r="AK41" s="5">
        <f t="shared" si="18"/>
        <v>1</v>
      </c>
      <c r="AL41" s="5">
        <f t="shared" si="19"/>
        <v>1</v>
      </c>
      <c r="AM41" s="5">
        <f t="shared" si="20"/>
        <v>1</v>
      </c>
      <c r="AN41" s="5">
        <f t="shared" si="21"/>
        <v>1</v>
      </c>
      <c r="AO41" s="5">
        <f t="shared" si="22"/>
        <v>0</v>
      </c>
      <c r="AP41" s="5" t="s">
        <v>43</v>
      </c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</row>
    <row r="42" spans="1:69" ht="15" x14ac:dyDescent="0.2">
      <c r="A42" s="4">
        <v>40</v>
      </c>
      <c r="B42" s="5">
        <v>19</v>
      </c>
      <c r="C42" s="5">
        <v>18</v>
      </c>
      <c r="D42" s="5">
        <v>17</v>
      </c>
      <c r="E42" s="5">
        <v>16</v>
      </c>
      <c r="F42" s="5">
        <v>16</v>
      </c>
      <c r="G42" s="5">
        <v>15</v>
      </c>
      <c r="H42" s="5">
        <v>15</v>
      </c>
      <c r="I42" s="5">
        <v>15</v>
      </c>
      <c r="J42" s="5">
        <v>15</v>
      </c>
      <c r="K42" s="5">
        <v>15</v>
      </c>
      <c r="L42" s="5">
        <v>15</v>
      </c>
      <c r="M42" s="5">
        <v>16</v>
      </c>
      <c r="N42" s="5">
        <v>16</v>
      </c>
      <c r="O42" s="5" t="s">
        <v>42</v>
      </c>
      <c r="P42" s="22">
        <f t="shared" si="23"/>
        <v>1</v>
      </c>
      <c r="Q42" s="22">
        <f t="shared" si="0"/>
        <v>1</v>
      </c>
      <c r="R42" s="22">
        <f t="shared" si="1"/>
        <v>1</v>
      </c>
      <c r="S42" s="22">
        <f t="shared" si="2"/>
        <v>0</v>
      </c>
      <c r="T42" s="22">
        <f t="shared" si="3"/>
        <v>1</v>
      </c>
      <c r="U42" s="22">
        <f t="shared" si="4"/>
        <v>0</v>
      </c>
      <c r="V42" s="22">
        <f t="shared" si="5"/>
        <v>0</v>
      </c>
      <c r="W42" s="22">
        <f t="shared" si="6"/>
        <v>0</v>
      </c>
      <c r="X42" s="22">
        <f t="shared" si="7"/>
        <v>0</v>
      </c>
      <c r="Y42" s="22">
        <f t="shared" si="8"/>
        <v>0</v>
      </c>
      <c r="Z42" s="22">
        <f t="shared" si="9"/>
        <v>-1</v>
      </c>
      <c r="AA42" s="22">
        <f t="shared" si="10"/>
        <v>0</v>
      </c>
      <c r="AB42" s="5" t="s">
        <v>42</v>
      </c>
      <c r="AC42" s="5">
        <f t="shared" si="24"/>
        <v>0</v>
      </c>
      <c r="AD42" s="5">
        <f t="shared" si="11"/>
        <v>0</v>
      </c>
      <c r="AE42" s="5">
        <f t="shared" si="12"/>
        <v>1</v>
      </c>
      <c r="AF42" s="5">
        <f t="shared" si="13"/>
        <v>1</v>
      </c>
      <c r="AG42" s="5">
        <f t="shared" si="14"/>
        <v>0</v>
      </c>
      <c r="AH42" s="5">
        <f t="shared" si="15"/>
        <v>1</v>
      </c>
      <c r="AI42" s="5">
        <f t="shared" si="16"/>
        <v>1</v>
      </c>
      <c r="AJ42" s="5">
        <f t="shared" si="17"/>
        <v>1</v>
      </c>
      <c r="AK42" s="5">
        <f t="shared" si="18"/>
        <v>1</v>
      </c>
      <c r="AL42" s="5">
        <f t="shared" si="19"/>
        <v>1</v>
      </c>
      <c r="AM42" s="5">
        <f t="shared" si="20"/>
        <v>1</v>
      </c>
      <c r="AN42" s="5">
        <f t="shared" si="21"/>
        <v>0</v>
      </c>
      <c r="AO42" s="5">
        <f t="shared" si="22"/>
        <v>1</v>
      </c>
      <c r="AP42" s="5" t="s">
        <v>43</v>
      </c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</row>
    <row r="43" spans="1:69" ht="15" x14ac:dyDescent="0.2">
      <c r="A43" s="4">
        <v>41</v>
      </c>
      <c r="B43" s="5">
        <v>19</v>
      </c>
      <c r="C43" s="5">
        <v>18</v>
      </c>
      <c r="D43" s="5">
        <v>18</v>
      </c>
      <c r="E43" s="5">
        <v>17</v>
      </c>
      <c r="F43" s="5">
        <v>16</v>
      </c>
      <c r="G43" s="5">
        <v>16</v>
      </c>
      <c r="H43" s="5">
        <v>16</v>
      </c>
      <c r="I43" s="5">
        <v>16</v>
      </c>
      <c r="J43" s="5">
        <v>16</v>
      </c>
      <c r="K43" s="5">
        <v>16</v>
      </c>
      <c r="L43" s="5">
        <v>16</v>
      </c>
      <c r="M43" s="5">
        <v>16</v>
      </c>
      <c r="N43" s="5">
        <v>17</v>
      </c>
      <c r="O43" s="5" t="s">
        <v>42</v>
      </c>
      <c r="P43" s="22">
        <f t="shared" si="23"/>
        <v>1</v>
      </c>
      <c r="Q43" s="22">
        <f t="shared" si="0"/>
        <v>0</v>
      </c>
      <c r="R43" s="22">
        <f t="shared" si="1"/>
        <v>1</v>
      </c>
      <c r="S43" s="22">
        <f t="shared" si="2"/>
        <v>1</v>
      </c>
      <c r="T43" s="22">
        <f t="shared" si="3"/>
        <v>0</v>
      </c>
      <c r="U43" s="22">
        <f t="shared" si="4"/>
        <v>0</v>
      </c>
      <c r="V43" s="22">
        <f t="shared" si="5"/>
        <v>0</v>
      </c>
      <c r="W43" s="22">
        <f t="shared" si="6"/>
        <v>0</v>
      </c>
      <c r="X43" s="22">
        <f t="shared" si="7"/>
        <v>0</v>
      </c>
      <c r="Y43" s="22">
        <f t="shared" si="8"/>
        <v>0</v>
      </c>
      <c r="Z43" s="22">
        <f t="shared" si="9"/>
        <v>0</v>
      </c>
      <c r="AA43" s="22">
        <f t="shared" si="10"/>
        <v>-1</v>
      </c>
      <c r="AB43" s="5" t="s">
        <v>42</v>
      </c>
      <c r="AC43" s="5">
        <f t="shared" si="24"/>
        <v>0</v>
      </c>
      <c r="AD43" s="5">
        <f t="shared" si="11"/>
        <v>1</v>
      </c>
      <c r="AE43" s="5">
        <f t="shared" si="12"/>
        <v>0</v>
      </c>
      <c r="AF43" s="5">
        <f t="shared" si="13"/>
        <v>1</v>
      </c>
      <c r="AG43" s="5">
        <f t="shared" si="14"/>
        <v>1</v>
      </c>
      <c r="AH43" s="5">
        <f t="shared" si="15"/>
        <v>0</v>
      </c>
      <c r="AI43" s="5">
        <f t="shared" si="16"/>
        <v>0</v>
      </c>
      <c r="AJ43" s="5">
        <f t="shared" si="17"/>
        <v>0</v>
      </c>
      <c r="AK43" s="5">
        <f t="shared" si="18"/>
        <v>0</v>
      </c>
      <c r="AL43" s="5">
        <f t="shared" si="19"/>
        <v>0</v>
      </c>
      <c r="AM43" s="5">
        <f t="shared" si="20"/>
        <v>0</v>
      </c>
      <c r="AN43" s="5">
        <f t="shared" si="21"/>
        <v>1</v>
      </c>
      <c r="AO43" s="5">
        <f t="shared" si="22"/>
        <v>0</v>
      </c>
      <c r="AP43" s="5" t="s">
        <v>43</v>
      </c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</row>
    <row r="44" spans="1:69" ht="15" x14ac:dyDescent="0.2">
      <c r="A44" s="4">
        <v>42</v>
      </c>
      <c r="B44" s="5">
        <v>19</v>
      </c>
      <c r="C44" s="5">
        <v>19</v>
      </c>
      <c r="D44" s="5">
        <v>18</v>
      </c>
      <c r="E44" s="5">
        <v>18</v>
      </c>
      <c r="F44" s="5">
        <v>17</v>
      </c>
      <c r="G44" s="5">
        <v>16</v>
      </c>
      <c r="H44" s="5">
        <v>16</v>
      </c>
      <c r="I44" s="5">
        <v>16</v>
      </c>
      <c r="J44" s="5">
        <v>16</v>
      </c>
      <c r="K44" s="5">
        <v>16</v>
      </c>
      <c r="L44" s="5">
        <v>16</v>
      </c>
      <c r="M44" s="5">
        <v>17</v>
      </c>
      <c r="N44" s="5">
        <v>17</v>
      </c>
      <c r="O44" s="5" t="s">
        <v>42</v>
      </c>
      <c r="P44" s="22">
        <f t="shared" si="23"/>
        <v>0</v>
      </c>
      <c r="Q44" s="22">
        <f t="shared" si="0"/>
        <v>1</v>
      </c>
      <c r="R44" s="22">
        <f t="shared" si="1"/>
        <v>0</v>
      </c>
      <c r="S44" s="22">
        <f t="shared" si="2"/>
        <v>1</v>
      </c>
      <c r="T44" s="22">
        <f t="shared" si="3"/>
        <v>1</v>
      </c>
      <c r="U44" s="22">
        <f t="shared" si="4"/>
        <v>0</v>
      </c>
      <c r="V44" s="22">
        <f t="shared" si="5"/>
        <v>0</v>
      </c>
      <c r="W44" s="22">
        <f t="shared" si="6"/>
        <v>0</v>
      </c>
      <c r="X44" s="22">
        <f t="shared" si="7"/>
        <v>0</v>
      </c>
      <c r="Y44" s="22">
        <f t="shared" si="8"/>
        <v>0</v>
      </c>
      <c r="Z44" s="22">
        <f t="shared" si="9"/>
        <v>-1</v>
      </c>
      <c r="AA44" s="22">
        <f t="shared" si="10"/>
        <v>0</v>
      </c>
      <c r="AB44" s="5" t="s">
        <v>42</v>
      </c>
      <c r="AC44" s="5">
        <f t="shared" si="24"/>
        <v>0</v>
      </c>
      <c r="AD44" s="5">
        <f t="shared" si="11"/>
        <v>0</v>
      </c>
      <c r="AE44" s="5">
        <f t="shared" si="12"/>
        <v>1</v>
      </c>
      <c r="AF44" s="5">
        <f t="shared" si="13"/>
        <v>0</v>
      </c>
      <c r="AG44" s="5">
        <f t="shared" si="14"/>
        <v>1</v>
      </c>
      <c r="AH44" s="5">
        <f t="shared" si="15"/>
        <v>1</v>
      </c>
      <c r="AI44" s="5">
        <f t="shared" si="16"/>
        <v>1</v>
      </c>
      <c r="AJ44" s="5">
        <f t="shared" si="17"/>
        <v>1</v>
      </c>
      <c r="AK44" s="5">
        <f t="shared" si="18"/>
        <v>1</v>
      </c>
      <c r="AL44" s="5">
        <f t="shared" si="19"/>
        <v>1</v>
      </c>
      <c r="AM44" s="5">
        <f t="shared" si="20"/>
        <v>1</v>
      </c>
      <c r="AN44" s="5">
        <f t="shared" si="21"/>
        <v>0</v>
      </c>
      <c r="AO44" s="5">
        <f t="shared" si="22"/>
        <v>1</v>
      </c>
      <c r="AP44" s="5" t="s">
        <v>43</v>
      </c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</row>
    <row r="45" spans="1:69" ht="15" x14ac:dyDescent="0.2">
      <c r="A45" s="4">
        <v>43</v>
      </c>
      <c r="B45" s="5">
        <v>19</v>
      </c>
      <c r="C45" s="5">
        <v>19</v>
      </c>
      <c r="D45" s="5">
        <v>19</v>
      </c>
      <c r="E45" s="5">
        <v>18</v>
      </c>
      <c r="F45" s="5">
        <v>18</v>
      </c>
      <c r="G45" s="5">
        <v>17</v>
      </c>
      <c r="H45" s="5">
        <v>17</v>
      </c>
      <c r="I45" s="5">
        <v>17</v>
      </c>
      <c r="J45" s="5">
        <v>17</v>
      </c>
      <c r="K45" s="5">
        <v>17</v>
      </c>
      <c r="L45" s="5">
        <v>17</v>
      </c>
      <c r="M45" s="5">
        <v>17</v>
      </c>
      <c r="N45" s="5">
        <v>18</v>
      </c>
      <c r="O45" s="5" t="s">
        <v>42</v>
      </c>
      <c r="P45" s="22">
        <f t="shared" si="23"/>
        <v>0</v>
      </c>
      <c r="Q45" s="22">
        <f t="shared" si="0"/>
        <v>0</v>
      </c>
      <c r="R45" s="22">
        <f t="shared" si="1"/>
        <v>1</v>
      </c>
      <c r="S45" s="22">
        <f t="shared" si="2"/>
        <v>0</v>
      </c>
      <c r="T45" s="22">
        <f t="shared" si="3"/>
        <v>1</v>
      </c>
      <c r="U45" s="22">
        <f t="shared" si="4"/>
        <v>0</v>
      </c>
      <c r="V45" s="22">
        <f t="shared" si="5"/>
        <v>0</v>
      </c>
      <c r="W45" s="22">
        <f t="shared" si="6"/>
        <v>0</v>
      </c>
      <c r="X45" s="22">
        <f t="shared" si="7"/>
        <v>0</v>
      </c>
      <c r="Y45" s="22">
        <f t="shared" si="8"/>
        <v>0</v>
      </c>
      <c r="Z45" s="22">
        <f t="shared" si="9"/>
        <v>0</v>
      </c>
      <c r="AA45" s="22">
        <f t="shared" si="10"/>
        <v>-1</v>
      </c>
      <c r="AB45" s="5" t="s">
        <v>42</v>
      </c>
      <c r="AC45" s="5">
        <f t="shared" si="24"/>
        <v>0</v>
      </c>
      <c r="AD45" s="5">
        <f t="shared" si="11"/>
        <v>0</v>
      </c>
      <c r="AE45" s="5">
        <f t="shared" si="12"/>
        <v>0</v>
      </c>
      <c r="AF45" s="5">
        <f t="shared" si="13"/>
        <v>1</v>
      </c>
      <c r="AG45" s="5">
        <f t="shared" si="14"/>
        <v>0</v>
      </c>
      <c r="AH45" s="5">
        <f t="shared" si="15"/>
        <v>1</v>
      </c>
      <c r="AI45" s="5">
        <f t="shared" si="16"/>
        <v>1</v>
      </c>
      <c r="AJ45" s="5">
        <f t="shared" si="17"/>
        <v>1</v>
      </c>
      <c r="AK45" s="5">
        <f t="shared" si="18"/>
        <v>1</v>
      </c>
      <c r="AL45" s="5">
        <f t="shared" si="19"/>
        <v>1</v>
      </c>
      <c r="AM45" s="5">
        <f t="shared" si="20"/>
        <v>1</v>
      </c>
      <c r="AN45" s="5">
        <f t="shared" si="21"/>
        <v>1</v>
      </c>
      <c r="AO45" s="5">
        <f t="shared" si="22"/>
        <v>0</v>
      </c>
      <c r="AP45" s="5" t="s">
        <v>43</v>
      </c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</row>
    <row r="46" spans="1:69" ht="15" x14ac:dyDescent="0.2">
      <c r="A46" s="4">
        <v>44</v>
      </c>
      <c r="B46" s="5">
        <v>19</v>
      </c>
      <c r="C46" s="5">
        <v>19</v>
      </c>
      <c r="D46" s="5">
        <v>19</v>
      </c>
      <c r="E46" s="5">
        <v>19</v>
      </c>
      <c r="F46" s="5">
        <v>18</v>
      </c>
      <c r="G46" s="5">
        <v>18</v>
      </c>
      <c r="H46" s="5">
        <v>18</v>
      </c>
      <c r="I46" s="5">
        <v>18</v>
      </c>
      <c r="J46" s="5">
        <v>18</v>
      </c>
      <c r="K46" s="5">
        <v>18</v>
      </c>
      <c r="L46" s="5">
        <v>18</v>
      </c>
      <c r="M46" s="5">
        <v>18</v>
      </c>
      <c r="N46" s="5">
        <v>18</v>
      </c>
      <c r="O46" s="5" t="s">
        <v>42</v>
      </c>
      <c r="P46" s="22">
        <f t="shared" si="23"/>
        <v>0</v>
      </c>
      <c r="Q46" s="22">
        <f t="shared" si="0"/>
        <v>0</v>
      </c>
      <c r="R46" s="22">
        <f t="shared" si="1"/>
        <v>0</v>
      </c>
      <c r="S46" s="22">
        <f t="shared" si="2"/>
        <v>1</v>
      </c>
      <c r="T46" s="22">
        <f t="shared" si="3"/>
        <v>0</v>
      </c>
      <c r="U46" s="22">
        <f t="shared" si="4"/>
        <v>0</v>
      </c>
      <c r="V46" s="22">
        <f t="shared" si="5"/>
        <v>0</v>
      </c>
      <c r="W46" s="22">
        <f t="shared" si="6"/>
        <v>0</v>
      </c>
      <c r="X46" s="22">
        <f t="shared" si="7"/>
        <v>0</v>
      </c>
      <c r="Y46" s="22">
        <f t="shared" si="8"/>
        <v>0</v>
      </c>
      <c r="Z46" s="22">
        <f t="shared" si="9"/>
        <v>0</v>
      </c>
      <c r="AA46" s="22">
        <f t="shared" si="10"/>
        <v>0</v>
      </c>
      <c r="AB46" s="5" t="s">
        <v>42</v>
      </c>
      <c r="AC46" s="5">
        <f>B47-B46</f>
        <v>0</v>
      </c>
      <c r="AD46" s="5">
        <f t="shared" si="11"/>
        <v>0</v>
      </c>
      <c r="AE46" s="5">
        <f t="shared" si="12"/>
        <v>0</v>
      </c>
      <c r="AF46" s="5">
        <f t="shared" si="13"/>
        <v>0</v>
      </c>
      <c r="AG46" s="5">
        <f t="shared" si="14"/>
        <v>1</v>
      </c>
      <c r="AH46" s="5">
        <f t="shared" si="15"/>
        <v>1</v>
      </c>
      <c r="AI46" s="5">
        <f t="shared" si="16"/>
        <v>1</v>
      </c>
      <c r="AJ46" s="5">
        <f t="shared" si="17"/>
        <v>1</v>
      </c>
      <c r="AK46" s="5">
        <f t="shared" si="18"/>
        <v>1</v>
      </c>
      <c r="AL46" s="5">
        <f t="shared" si="19"/>
        <v>1</v>
      </c>
      <c r="AM46" s="5">
        <f t="shared" si="20"/>
        <v>1</v>
      </c>
      <c r="AN46" s="5">
        <f t="shared" si="21"/>
        <v>1</v>
      </c>
      <c r="AO46" s="5">
        <f t="shared" si="22"/>
        <v>1</v>
      </c>
      <c r="AP46" s="5" t="s">
        <v>43</v>
      </c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</row>
    <row r="47" spans="1:69" ht="15" x14ac:dyDescent="0.2">
      <c r="A47" s="4">
        <v>45</v>
      </c>
      <c r="B47" s="5">
        <v>19</v>
      </c>
      <c r="C47" s="5">
        <v>19</v>
      </c>
      <c r="D47" s="5">
        <v>19</v>
      </c>
      <c r="E47" s="5">
        <v>19</v>
      </c>
      <c r="F47" s="5">
        <v>19</v>
      </c>
      <c r="G47" s="5">
        <v>19</v>
      </c>
      <c r="H47" s="5">
        <v>19</v>
      </c>
      <c r="I47" s="5">
        <v>19</v>
      </c>
      <c r="J47" s="5">
        <v>19</v>
      </c>
      <c r="K47" s="5">
        <v>19</v>
      </c>
      <c r="L47" s="5">
        <v>19</v>
      </c>
      <c r="M47" s="5">
        <v>19</v>
      </c>
      <c r="N47" s="5">
        <v>19</v>
      </c>
      <c r="O47" s="5" t="s">
        <v>42</v>
      </c>
      <c r="P47" s="22">
        <f t="shared" si="23"/>
        <v>0</v>
      </c>
      <c r="Q47" s="22">
        <f t="shared" si="0"/>
        <v>0</v>
      </c>
      <c r="R47" s="22">
        <f t="shared" si="1"/>
        <v>0</v>
      </c>
      <c r="S47" s="22">
        <f t="shared" si="2"/>
        <v>0</v>
      </c>
      <c r="T47" s="22">
        <f t="shared" si="3"/>
        <v>0</v>
      </c>
      <c r="U47" s="22">
        <f t="shared" si="4"/>
        <v>0</v>
      </c>
      <c r="V47" s="22">
        <f t="shared" si="5"/>
        <v>0</v>
      </c>
      <c r="W47" s="22">
        <f t="shared" si="6"/>
        <v>0</v>
      </c>
      <c r="X47" s="22">
        <f t="shared" si="7"/>
        <v>0</v>
      </c>
      <c r="Y47" s="22">
        <f t="shared" si="8"/>
        <v>0</v>
      </c>
      <c r="Z47" s="22">
        <f t="shared" si="9"/>
        <v>0</v>
      </c>
      <c r="AA47" s="22">
        <f t="shared" si="10"/>
        <v>0</v>
      </c>
      <c r="AB47" s="5" t="s">
        <v>42</v>
      </c>
      <c r="AC47" s="5" t="s">
        <v>42</v>
      </c>
      <c r="AD47" s="5" t="s">
        <v>42</v>
      </c>
      <c r="AE47" s="5" t="s">
        <v>42</v>
      </c>
      <c r="AF47" s="5" t="s">
        <v>42</v>
      </c>
      <c r="AG47" s="5" t="s">
        <v>42</v>
      </c>
      <c r="AH47" s="5" t="s">
        <v>42</v>
      </c>
      <c r="AI47" s="5" t="s">
        <v>42</v>
      </c>
      <c r="AJ47" s="5" t="s">
        <v>42</v>
      </c>
      <c r="AK47" s="5" t="s">
        <v>42</v>
      </c>
      <c r="AL47" s="5" t="s">
        <v>42</v>
      </c>
      <c r="AM47" s="5" t="s">
        <v>42</v>
      </c>
      <c r="AN47" s="5" t="s">
        <v>42</v>
      </c>
      <c r="AO47" s="5" t="s">
        <v>42</v>
      </c>
      <c r="AP47" s="5" t="s">
        <v>43</v>
      </c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</row>
    <row r="48" spans="1:69" ht="15" x14ac:dyDescent="0.2">
      <c r="A48" s="4" t="s">
        <v>44</v>
      </c>
      <c r="B48" s="5">
        <f>SUM(freq!B2:B47)</f>
        <v>180</v>
      </c>
      <c r="C48" s="5">
        <f>SUM(freq!C2:C47)</f>
        <v>180</v>
      </c>
      <c r="D48" s="5">
        <f>SUM(freq!D2:D47)</f>
        <v>180</v>
      </c>
      <c r="E48" s="5">
        <f>SUM(freq!E2:E47)</f>
        <v>180</v>
      </c>
      <c r="F48" s="5">
        <f>SUM(freq!F2:F47)</f>
        <v>180</v>
      </c>
      <c r="G48" s="5">
        <f>SUM(freq!G2:G47)</f>
        <v>180</v>
      </c>
      <c r="H48" s="5">
        <f>SUM(freq!H2:H47)</f>
        <v>180</v>
      </c>
      <c r="I48" s="5">
        <f>SUM(freq!I2:I47)</f>
        <v>180</v>
      </c>
      <c r="J48" s="5">
        <f>SUM(freq!J2:J47)</f>
        <v>180</v>
      </c>
      <c r="K48" s="5">
        <f>SUM(freq!K2:K47)</f>
        <v>100</v>
      </c>
      <c r="L48" s="5">
        <f>SUM(freq!L2:L47)</f>
        <v>100</v>
      </c>
      <c r="M48" s="5">
        <f>SUM(freq!M2:M47)</f>
        <v>100</v>
      </c>
      <c r="N48" s="5">
        <f>SUM(freq!N2:N47)</f>
        <v>100</v>
      </c>
      <c r="O48" s="5">
        <f>SUM(B48:N48)</f>
        <v>2020</v>
      </c>
      <c r="P48" s="5" t="s">
        <v>42</v>
      </c>
      <c r="Q48" s="5" t="s">
        <v>42</v>
      </c>
      <c r="R48" s="5" t="s">
        <v>42</v>
      </c>
      <c r="S48" s="5" t="s">
        <v>42</v>
      </c>
      <c r="T48" s="5" t="s">
        <v>42</v>
      </c>
      <c r="U48" s="5" t="s">
        <v>42</v>
      </c>
      <c r="V48" s="5" t="s">
        <v>42</v>
      </c>
      <c r="W48" s="5" t="s">
        <v>42</v>
      </c>
      <c r="X48" s="5" t="s">
        <v>42</v>
      </c>
      <c r="Y48" s="5" t="s">
        <v>42</v>
      </c>
      <c r="Z48" s="5" t="s">
        <v>42</v>
      </c>
      <c r="AA48" s="5" t="s">
        <v>42</v>
      </c>
      <c r="AB48" s="5" t="s">
        <v>42</v>
      </c>
      <c r="AC48" s="5" t="s">
        <v>42</v>
      </c>
      <c r="AD48" s="5" t="s">
        <v>42</v>
      </c>
      <c r="AE48" s="5" t="s">
        <v>42</v>
      </c>
      <c r="AF48" s="5" t="s">
        <v>42</v>
      </c>
      <c r="AG48" s="5" t="s">
        <v>42</v>
      </c>
      <c r="AH48" s="5" t="s">
        <v>42</v>
      </c>
      <c r="AI48" s="5" t="s">
        <v>42</v>
      </c>
      <c r="AJ48" s="5" t="s">
        <v>42</v>
      </c>
      <c r="AK48" s="5" t="s">
        <v>42</v>
      </c>
      <c r="AL48" s="5" t="s">
        <v>42</v>
      </c>
      <c r="AM48" s="5" t="s">
        <v>42</v>
      </c>
      <c r="AN48" s="5" t="s">
        <v>42</v>
      </c>
      <c r="AO48" s="5" t="s">
        <v>42</v>
      </c>
      <c r="AP48" s="5" t="s">
        <v>42</v>
      </c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</row>
    <row r="49" spans="1:69" ht="15" x14ac:dyDescent="0.2">
      <c r="A49" s="4" t="s">
        <v>45</v>
      </c>
      <c r="B49" s="6">
        <f>freq!B48/B48</f>
        <v>9.7222222222222214</v>
      </c>
      <c r="C49" s="6">
        <f>freq!C48/C48</f>
        <v>9.9611111111111104</v>
      </c>
      <c r="D49" s="6">
        <f>freq!D48/D48</f>
        <v>10.255555555555556</v>
      </c>
      <c r="E49" s="6">
        <f>freq!E48/E48</f>
        <v>10.116666666666667</v>
      </c>
      <c r="F49" s="6">
        <f>freq!F48/F48</f>
        <v>10.044444444444444</v>
      </c>
      <c r="G49" s="6">
        <f>freq!G48/G48</f>
        <v>9.7555555555555564</v>
      </c>
      <c r="H49" s="6">
        <f>freq!H48/H48</f>
        <v>10.055555555555555</v>
      </c>
      <c r="I49" s="6">
        <f>freq!I48/I48</f>
        <v>9.905555555555555</v>
      </c>
      <c r="J49" s="6">
        <f>freq!J48/J48</f>
        <v>10.105555555555556</v>
      </c>
      <c r="K49" s="6">
        <f>freq!K48/K48</f>
        <v>9.99</v>
      </c>
      <c r="L49" s="6">
        <f>freq!L48/L48</f>
        <v>10.47</v>
      </c>
      <c r="M49" s="6">
        <f>freq!M48/M48</f>
        <v>9.82</v>
      </c>
      <c r="N49" s="6">
        <f>freq!N48/N48</f>
        <v>9.9</v>
      </c>
      <c r="O49" s="6">
        <f>freq!O48/O48</f>
        <v>10.001980198019801</v>
      </c>
      <c r="P49" s="5" t="s">
        <v>42</v>
      </c>
      <c r="Q49" s="5" t="s">
        <v>42</v>
      </c>
      <c r="R49" s="5" t="s">
        <v>42</v>
      </c>
      <c r="S49" s="5" t="s">
        <v>42</v>
      </c>
      <c r="T49" s="5" t="s">
        <v>42</v>
      </c>
      <c r="U49" s="5" t="s">
        <v>42</v>
      </c>
      <c r="V49" s="5" t="s">
        <v>42</v>
      </c>
      <c r="W49" s="5" t="s">
        <v>42</v>
      </c>
      <c r="X49" s="5" t="s">
        <v>42</v>
      </c>
      <c r="Y49" s="5" t="s">
        <v>42</v>
      </c>
      <c r="Z49" s="5" t="s">
        <v>42</v>
      </c>
      <c r="AA49" s="5" t="s">
        <v>42</v>
      </c>
      <c r="AB49" s="5" t="s">
        <v>42</v>
      </c>
      <c r="AC49" s="5" t="s">
        <v>42</v>
      </c>
      <c r="AD49" s="5" t="s">
        <v>42</v>
      </c>
      <c r="AE49" s="5" t="s">
        <v>42</v>
      </c>
      <c r="AF49" s="5" t="s">
        <v>42</v>
      </c>
      <c r="AG49" s="5" t="s">
        <v>42</v>
      </c>
      <c r="AH49" s="5" t="s">
        <v>42</v>
      </c>
      <c r="AI49" s="5" t="s">
        <v>42</v>
      </c>
      <c r="AJ49" s="5" t="s">
        <v>42</v>
      </c>
      <c r="AK49" s="5" t="s">
        <v>42</v>
      </c>
      <c r="AL49" s="5" t="s">
        <v>42</v>
      </c>
      <c r="AM49" s="5" t="s">
        <v>42</v>
      </c>
      <c r="AN49" s="5" t="s">
        <v>42</v>
      </c>
      <c r="AO49" s="5" t="s">
        <v>42</v>
      </c>
      <c r="AP49" s="5" t="s">
        <v>42</v>
      </c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</row>
    <row r="50" spans="1:69" ht="15" x14ac:dyDescent="0.2">
      <c r="A50" s="4" t="s">
        <v>46</v>
      </c>
      <c r="B50" s="6">
        <f>SQRT((freq!B49-B49^2*B48)/(B48-1))</f>
        <v>3.0195925500336149</v>
      </c>
      <c r="C50" s="6">
        <f>SQRT((freq!C49-C49^2*C48)/(C48-1))</f>
        <v>3.1523049807237857</v>
      </c>
      <c r="D50" s="6">
        <f>SQRT((freq!D49-D49^2*D48)/(D48-1))</f>
        <v>2.8873103647075617</v>
      </c>
      <c r="E50" s="6">
        <f>SQRT((freq!E49-E49^2*E48)/(E48-1))</f>
        <v>2.8584384532575524</v>
      </c>
      <c r="F50" s="6">
        <f>SQRT((freq!F49-F49^2*F48)/(F48-1))</f>
        <v>3.1654952258421285</v>
      </c>
      <c r="G50" s="6">
        <f>SQRT((freq!G49-G49^2*G48)/(G48-1))</f>
        <v>2.9400380460089486</v>
      </c>
      <c r="H50" s="6">
        <f>SQRT((freq!H49-H49^2*H48)/(H48-1))</f>
        <v>2.9096683798493643</v>
      </c>
      <c r="I50" s="6">
        <f>SQRT((freq!I49-I49^2*I48)/(I48-1))</f>
        <v>3.2932930357383494</v>
      </c>
      <c r="J50" s="6">
        <f>SQRT((freq!J49-J49^2*J48)/(J48-1))</f>
        <v>2.9398005143096775</v>
      </c>
      <c r="K50" s="6">
        <f>SQRT((freq!K49-K49^2*K48)/(K48-1))</f>
        <v>2.7725020607328092</v>
      </c>
      <c r="L50" s="6">
        <f>SQRT((freq!L49-L49^2*L48)/(L48-1))</f>
        <v>2.8935839857913686</v>
      </c>
      <c r="M50" s="6">
        <f>SQRT((freq!M49-M49^2*M48)/(M48-1))</f>
        <v>2.9520751133308716</v>
      </c>
      <c r="N50" s="6">
        <f>SQRT((freq!N49-N49^2*N48)/(N48-1))</f>
        <v>2.9593201512468634</v>
      </c>
      <c r="O50" s="6">
        <f>SQRT((freq!O49-O49^2*O48)/(O48-1))</f>
        <v>2.9941326211691179</v>
      </c>
      <c r="P50" s="5" t="s">
        <v>42</v>
      </c>
      <c r="Q50" s="5" t="s">
        <v>42</v>
      </c>
      <c r="R50" s="5" t="s">
        <v>42</v>
      </c>
      <c r="S50" s="5" t="s">
        <v>42</v>
      </c>
      <c r="T50" s="5" t="s">
        <v>42</v>
      </c>
      <c r="U50" s="5" t="s">
        <v>42</v>
      </c>
      <c r="V50" s="5" t="s">
        <v>42</v>
      </c>
      <c r="W50" s="5" t="s">
        <v>42</v>
      </c>
      <c r="X50" s="5" t="s">
        <v>42</v>
      </c>
      <c r="Y50" s="5" t="s">
        <v>42</v>
      </c>
      <c r="Z50" s="5" t="s">
        <v>42</v>
      </c>
      <c r="AA50" s="5" t="s">
        <v>42</v>
      </c>
      <c r="AB50" s="5" t="s">
        <v>42</v>
      </c>
      <c r="AC50" s="5" t="s">
        <v>42</v>
      </c>
      <c r="AD50" s="5" t="s">
        <v>42</v>
      </c>
      <c r="AE50" s="5" t="s">
        <v>42</v>
      </c>
      <c r="AF50" s="5" t="s">
        <v>42</v>
      </c>
      <c r="AG50" s="5" t="s">
        <v>42</v>
      </c>
      <c r="AH50" s="5" t="s">
        <v>42</v>
      </c>
      <c r="AI50" s="5" t="s">
        <v>42</v>
      </c>
      <c r="AJ50" s="5" t="s">
        <v>42</v>
      </c>
      <c r="AK50" s="5" t="s">
        <v>42</v>
      </c>
      <c r="AL50" s="5" t="s">
        <v>42</v>
      </c>
      <c r="AM50" s="5" t="s">
        <v>42</v>
      </c>
      <c r="AN50" s="5" t="s">
        <v>42</v>
      </c>
      <c r="AO50" s="5" t="s">
        <v>42</v>
      </c>
      <c r="AP50" s="5" t="s">
        <v>42</v>
      </c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</row>
    <row r="51" spans="1:69" ht="15" x14ac:dyDescent="0.2">
      <c r="A51" s="4" t="s">
        <v>47</v>
      </c>
      <c r="B51" s="5">
        <f t="shared" ref="B51:O51" si="25">0.3-ABS(10-ROUND(B49,2))</f>
        <v>2.0000000000000628E-2</v>
      </c>
      <c r="C51" s="5">
        <f t="shared" si="25"/>
        <v>0.26000000000000084</v>
      </c>
      <c r="D51" s="5">
        <f t="shared" si="25"/>
        <v>4.0000000000000202E-2</v>
      </c>
      <c r="E51" s="5">
        <f t="shared" si="25"/>
        <v>0.18000000000000077</v>
      </c>
      <c r="F51" s="5">
        <f t="shared" si="25"/>
        <v>0.26000000000000084</v>
      </c>
      <c r="G51" s="5">
        <f t="shared" si="25"/>
        <v>5.9999999999999776E-2</v>
      </c>
      <c r="H51" s="5">
        <f t="shared" si="25"/>
        <v>0.23999999999999949</v>
      </c>
      <c r="I51" s="5">
        <f t="shared" si="25"/>
        <v>0.21000000000000013</v>
      </c>
      <c r="J51" s="5">
        <f t="shared" si="25"/>
        <v>0.19000000000000056</v>
      </c>
      <c r="K51" s="5">
        <f t="shared" si="25"/>
        <v>0.2900000000000002</v>
      </c>
      <c r="L51" s="5">
        <f t="shared" si="25"/>
        <v>-0.17000000000000065</v>
      </c>
      <c r="M51" s="5">
        <f t="shared" si="25"/>
        <v>0.12000000000000027</v>
      </c>
      <c r="N51" s="5">
        <f t="shared" si="25"/>
        <v>0.20000000000000034</v>
      </c>
      <c r="O51" s="5">
        <f t="shared" si="25"/>
        <v>0.3</v>
      </c>
      <c r="P51" s="5" t="s">
        <v>42</v>
      </c>
      <c r="Q51" s="5" t="s">
        <v>42</v>
      </c>
      <c r="R51" s="5" t="s">
        <v>42</v>
      </c>
      <c r="S51" s="5" t="s">
        <v>42</v>
      </c>
      <c r="T51" s="5" t="s">
        <v>42</v>
      </c>
      <c r="U51" s="5" t="s">
        <v>42</v>
      </c>
      <c r="V51" s="5" t="s">
        <v>42</v>
      </c>
      <c r="W51" s="5" t="s">
        <v>42</v>
      </c>
      <c r="X51" s="5" t="s">
        <v>42</v>
      </c>
      <c r="Y51" s="5" t="s">
        <v>42</v>
      </c>
      <c r="Z51" s="5" t="s">
        <v>42</v>
      </c>
      <c r="AA51" s="5" t="s">
        <v>42</v>
      </c>
      <c r="AB51" s="5" t="s">
        <v>42</v>
      </c>
      <c r="AC51" s="5" t="s">
        <v>42</v>
      </c>
      <c r="AD51" s="5" t="s">
        <v>42</v>
      </c>
      <c r="AE51" s="5" t="s">
        <v>42</v>
      </c>
      <c r="AF51" s="5" t="s">
        <v>42</v>
      </c>
      <c r="AG51" s="5" t="s">
        <v>42</v>
      </c>
      <c r="AH51" s="5" t="s">
        <v>42</v>
      </c>
      <c r="AI51" s="5" t="s">
        <v>42</v>
      </c>
      <c r="AJ51" s="5" t="s">
        <v>42</v>
      </c>
      <c r="AK51" s="5" t="s">
        <v>42</v>
      </c>
      <c r="AL51" s="5" t="s">
        <v>42</v>
      </c>
      <c r="AM51" s="5" t="s">
        <v>42</v>
      </c>
      <c r="AN51" s="5" t="s">
        <v>42</v>
      </c>
      <c r="AO51" s="5" t="s">
        <v>42</v>
      </c>
      <c r="AP51" s="5" t="s">
        <v>42</v>
      </c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</row>
    <row r="52" spans="1:69" ht="15" x14ac:dyDescent="0.2">
      <c r="A52" s="4" t="s">
        <v>48</v>
      </c>
      <c r="B52" s="24">
        <f>0.3-ABS(3-ROUND(B50,2))</f>
        <v>0.27999999999999997</v>
      </c>
      <c r="C52" s="5">
        <f t="shared" ref="C52:O52" si="26">0.3-ABS(3-ROUND(C50,2))</f>
        <v>0.15000000000000008</v>
      </c>
      <c r="D52" s="5">
        <f t="shared" si="26"/>
        <v>0.19000000000000011</v>
      </c>
      <c r="E52" s="5">
        <f t="shared" si="26"/>
        <v>0.15999999999999986</v>
      </c>
      <c r="F52" s="5">
        <f t="shared" si="26"/>
        <v>0.13000000000000006</v>
      </c>
      <c r="G52" s="5">
        <f t="shared" si="26"/>
        <v>0.23999999999999994</v>
      </c>
      <c r="H52" s="5">
        <f t="shared" si="26"/>
        <v>0.21000000000000013</v>
      </c>
      <c r="I52" s="5">
        <f t="shared" si="26"/>
        <v>9.9999999999999534E-3</v>
      </c>
      <c r="J52" s="5">
        <f t="shared" si="26"/>
        <v>0.23999999999999994</v>
      </c>
      <c r="K52" s="5">
        <f t="shared" si="26"/>
        <v>7.0000000000000007E-2</v>
      </c>
      <c r="L52" s="5">
        <f t="shared" si="26"/>
        <v>0.19000000000000011</v>
      </c>
      <c r="M52" s="5">
        <f t="shared" si="26"/>
        <v>0.25000000000000017</v>
      </c>
      <c r="N52" s="5">
        <f t="shared" si="26"/>
        <v>0.25999999999999995</v>
      </c>
      <c r="O52" s="5">
        <f t="shared" si="26"/>
        <v>0.2900000000000002</v>
      </c>
      <c r="P52" s="5" t="s">
        <v>42</v>
      </c>
      <c r="Q52" s="5" t="s">
        <v>42</v>
      </c>
      <c r="R52" s="5" t="s">
        <v>42</v>
      </c>
      <c r="S52" s="5" t="s">
        <v>42</v>
      </c>
      <c r="T52" s="5" t="s">
        <v>42</v>
      </c>
      <c r="U52" s="5" t="s">
        <v>42</v>
      </c>
      <c r="V52" s="5" t="s">
        <v>42</v>
      </c>
      <c r="W52" s="5" t="s">
        <v>42</v>
      </c>
      <c r="X52" s="5" t="s">
        <v>42</v>
      </c>
      <c r="Y52" s="5" t="s">
        <v>42</v>
      </c>
      <c r="Z52" s="5" t="s">
        <v>42</v>
      </c>
      <c r="AA52" s="5" t="s">
        <v>42</v>
      </c>
      <c r="AB52" s="5" t="s">
        <v>42</v>
      </c>
      <c r="AC52" s="5" t="s">
        <v>42</v>
      </c>
      <c r="AD52" s="5" t="s">
        <v>42</v>
      </c>
      <c r="AE52" s="5" t="s">
        <v>42</v>
      </c>
      <c r="AF52" s="5" t="s">
        <v>42</v>
      </c>
      <c r="AG52" s="5" t="s">
        <v>42</v>
      </c>
      <c r="AH52" s="5" t="s">
        <v>42</v>
      </c>
      <c r="AI52" s="5" t="s">
        <v>42</v>
      </c>
      <c r="AJ52" s="5" t="s">
        <v>42</v>
      </c>
      <c r="AK52" s="5" t="s">
        <v>42</v>
      </c>
      <c r="AL52" s="5" t="s">
        <v>42</v>
      </c>
      <c r="AM52" s="5" t="s">
        <v>42</v>
      </c>
      <c r="AN52" s="5" t="s">
        <v>42</v>
      </c>
      <c r="AO52" s="5" t="s">
        <v>42</v>
      </c>
      <c r="AP52" s="5" t="s">
        <v>42</v>
      </c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</row>
    <row r="53" spans="1:69" ht="30" x14ac:dyDescent="0.2">
      <c r="A53" s="4" t="s">
        <v>49</v>
      </c>
      <c r="B53" s="5">
        <f t="shared" ref="B53:O53" si="27">0.6-ABS(10-ROUND(B49,2))</f>
        <v>0.32000000000000062</v>
      </c>
      <c r="C53" s="5">
        <f t="shared" si="27"/>
        <v>0.56000000000000083</v>
      </c>
      <c r="D53" s="5">
        <f t="shared" si="27"/>
        <v>0.34000000000000019</v>
      </c>
      <c r="E53" s="5">
        <f t="shared" si="27"/>
        <v>0.48000000000000076</v>
      </c>
      <c r="F53" s="5">
        <f t="shared" si="27"/>
        <v>0.56000000000000083</v>
      </c>
      <c r="G53" s="5">
        <f t="shared" si="27"/>
        <v>0.35999999999999976</v>
      </c>
      <c r="H53" s="5">
        <f t="shared" si="27"/>
        <v>0.53999999999999948</v>
      </c>
      <c r="I53" s="5">
        <f t="shared" si="27"/>
        <v>0.51000000000000012</v>
      </c>
      <c r="J53" s="5">
        <f t="shared" si="27"/>
        <v>0.49000000000000055</v>
      </c>
      <c r="K53" s="5">
        <f t="shared" si="27"/>
        <v>0.59000000000000019</v>
      </c>
      <c r="L53" s="5">
        <f t="shared" si="27"/>
        <v>0.12999999999999934</v>
      </c>
      <c r="M53" s="5">
        <f t="shared" si="27"/>
        <v>0.42000000000000026</v>
      </c>
      <c r="N53" s="5">
        <f t="shared" si="27"/>
        <v>0.50000000000000033</v>
      </c>
      <c r="O53" s="5">
        <f t="shared" si="27"/>
        <v>0.6</v>
      </c>
      <c r="P53" s="5" t="s">
        <v>42</v>
      </c>
      <c r="Q53" s="5" t="s">
        <v>42</v>
      </c>
      <c r="R53" s="5" t="s">
        <v>42</v>
      </c>
      <c r="S53" s="5" t="s">
        <v>42</v>
      </c>
      <c r="T53" s="5" t="s">
        <v>42</v>
      </c>
      <c r="U53" s="5" t="s">
        <v>42</v>
      </c>
      <c r="V53" s="5" t="s">
        <v>42</v>
      </c>
      <c r="W53" s="5" t="s">
        <v>42</v>
      </c>
      <c r="X53" s="5" t="s">
        <v>42</v>
      </c>
      <c r="Y53" s="5" t="s">
        <v>42</v>
      </c>
      <c r="Z53" s="5" t="s">
        <v>42</v>
      </c>
      <c r="AA53" s="5" t="s">
        <v>42</v>
      </c>
      <c r="AB53" s="5" t="s">
        <v>42</v>
      </c>
      <c r="AC53" s="5" t="s">
        <v>42</v>
      </c>
      <c r="AD53" s="5" t="s">
        <v>42</v>
      </c>
      <c r="AE53" s="5" t="s">
        <v>42</v>
      </c>
      <c r="AF53" s="5" t="s">
        <v>42</v>
      </c>
      <c r="AG53" s="5" t="s">
        <v>42</v>
      </c>
      <c r="AH53" s="5" t="s">
        <v>42</v>
      </c>
      <c r="AI53" s="5" t="s">
        <v>42</v>
      </c>
      <c r="AJ53" s="5" t="s">
        <v>42</v>
      </c>
      <c r="AK53" s="5" t="s">
        <v>42</v>
      </c>
      <c r="AL53" s="5" t="s">
        <v>42</v>
      </c>
      <c r="AM53" s="5" t="s">
        <v>42</v>
      </c>
      <c r="AN53" s="5" t="s">
        <v>42</v>
      </c>
      <c r="AO53" s="5" t="s">
        <v>42</v>
      </c>
      <c r="AP53" s="5" t="s">
        <v>42</v>
      </c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</row>
    <row r="54" spans="1:69" ht="30" x14ac:dyDescent="0.2">
      <c r="A54" s="4" t="s">
        <v>50</v>
      </c>
      <c r="B54" s="5">
        <f t="shared" ref="B54:O54" si="28">0.3-ABS(3-ROUND(B50,2))</f>
        <v>0.27999999999999997</v>
      </c>
      <c r="C54" s="5">
        <f t="shared" si="28"/>
        <v>0.15000000000000008</v>
      </c>
      <c r="D54" s="5">
        <f t="shared" si="28"/>
        <v>0.19000000000000011</v>
      </c>
      <c r="E54" s="5">
        <f t="shared" si="28"/>
        <v>0.15999999999999986</v>
      </c>
      <c r="F54" s="5">
        <f t="shared" si="28"/>
        <v>0.13000000000000006</v>
      </c>
      <c r="G54" s="5">
        <f t="shared" si="28"/>
        <v>0.23999999999999994</v>
      </c>
      <c r="H54" s="5">
        <f t="shared" si="28"/>
        <v>0.21000000000000013</v>
      </c>
      <c r="I54" s="5">
        <f t="shared" si="28"/>
        <v>9.9999999999999534E-3</v>
      </c>
      <c r="J54" s="5">
        <f t="shared" si="28"/>
        <v>0.23999999999999994</v>
      </c>
      <c r="K54" s="5">
        <f t="shared" si="28"/>
        <v>7.0000000000000007E-2</v>
      </c>
      <c r="L54" s="5">
        <f t="shared" si="28"/>
        <v>0.19000000000000011</v>
      </c>
      <c r="M54" s="5">
        <f t="shared" si="28"/>
        <v>0.25000000000000017</v>
      </c>
      <c r="N54" s="5">
        <f t="shared" si="28"/>
        <v>0.25999999999999995</v>
      </c>
      <c r="O54" s="5">
        <f t="shared" si="28"/>
        <v>0.2900000000000002</v>
      </c>
      <c r="P54" s="5" t="s">
        <v>42</v>
      </c>
      <c r="Q54" s="5" t="s">
        <v>42</v>
      </c>
      <c r="R54" s="5" t="s">
        <v>42</v>
      </c>
      <c r="S54" s="5" t="s">
        <v>42</v>
      </c>
      <c r="T54" s="5" t="s">
        <v>42</v>
      </c>
      <c r="U54" s="5" t="s">
        <v>42</v>
      </c>
      <c r="V54" s="5" t="s">
        <v>42</v>
      </c>
      <c r="W54" s="5" t="s">
        <v>42</v>
      </c>
      <c r="X54" s="5" t="s">
        <v>42</v>
      </c>
      <c r="Y54" s="5" t="s">
        <v>42</v>
      </c>
      <c r="Z54" s="5" t="s">
        <v>42</v>
      </c>
      <c r="AA54" s="5" t="s">
        <v>42</v>
      </c>
      <c r="AB54" s="5" t="s">
        <v>42</v>
      </c>
      <c r="AC54" s="5" t="s">
        <v>42</v>
      </c>
      <c r="AD54" s="5" t="s">
        <v>42</v>
      </c>
      <c r="AE54" s="5" t="s">
        <v>42</v>
      </c>
      <c r="AF54" s="5" t="s">
        <v>42</v>
      </c>
      <c r="AG54" s="5" t="s">
        <v>42</v>
      </c>
      <c r="AH54" s="5" t="s">
        <v>42</v>
      </c>
      <c r="AI54" s="5" t="s">
        <v>42</v>
      </c>
      <c r="AJ54" s="5" t="s">
        <v>42</v>
      </c>
      <c r="AK54" s="5" t="s">
        <v>42</v>
      </c>
      <c r="AL54" s="5" t="s">
        <v>42</v>
      </c>
      <c r="AM54" s="5" t="s">
        <v>42</v>
      </c>
      <c r="AN54" s="5" t="s">
        <v>42</v>
      </c>
      <c r="AO54" s="5" t="s">
        <v>42</v>
      </c>
      <c r="AP54" s="5" t="s">
        <v>42</v>
      </c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</row>
    <row r="55" spans="1:69" ht="30" x14ac:dyDescent="0.2">
      <c r="A55" s="4" t="s">
        <v>51</v>
      </c>
      <c r="B55" s="5">
        <f t="shared" ref="B55:O55" si="29">0.9-ABS(10-ROUND(B49,2))</f>
        <v>0.62000000000000066</v>
      </c>
      <c r="C55" s="5">
        <f t="shared" si="29"/>
        <v>0.86000000000000087</v>
      </c>
      <c r="D55" s="5">
        <f t="shared" si="29"/>
        <v>0.64000000000000024</v>
      </c>
      <c r="E55" s="5">
        <f t="shared" si="29"/>
        <v>0.7800000000000008</v>
      </c>
      <c r="F55" s="5">
        <f t="shared" si="29"/>
        <v>0.86000000000000087</v>
      </c>
      <c r="G55" s="5">
        <f t="shared" si="29"/>
        <v>0.65999999999999981</v>
      </c>
      <c r="H55" s="5">
        <f t="shared" si="29"/>
        <v>0.83999999999999952</v>
      </c>
      <c r="I55" s="5">
        <f t="shared" si="29"/>
        <v>0.81000000000000016</v>
      </c>
      <c r="J55" s="5">
        <f t="shared" si="29"/>
        <v>0.79000000000000059</v>
      </c>
      <c r="K55" s="5">
        <f t="shared" si="29"/>
        <v>0.89000000000000024</v>
      </c>
      <c r="L55" s="5">
        <f t="shared" si="29"/>
        <v>0.42999999999999938</v>
      </c>
      <c r="M55" s="5">
        <f t="shared" si="29"/>
        <v>0.72000000000000031</v>
      </c>
      <c r="N55" s="5">
        <f t="shared" si="29"/>
        <v>0.80000000000000038</v>
      </c>
      <c r="O55" s="5">
        <f t="shared" si="29"/>
        <v>0.9</v>
      </c>
      <c r="P55" s="5" t="s">
        <v>42</v>
      </c>
      <c r="Q55" s="5" t="s">
        <v>42</v>
      </c>
      <c r="R55" s="5" t="s">
        <v>42</v>
      </c>
      <c r="S55" s="5" t="s">
        <v>42</v>
      </c>
      <c r="T55" s="5" t="s">
        <v>42</v>
      </c>
      <c r="U55" s="5" t="s">
        <v>42</v>
      </c>
      <c r="V55" s="5" t="s">
        <v>42</v>
      </c>
      <c r="W55" s="5" t="s">
        <v>42</v>
      </c>
      <c r="X55" s="5" t="s">
        <v>42</v>
      </c>
      <c r="Y55" s="5" t="s">
        <v>42</v>
      </c>
      <c r="Z55" s="5" t="s">
        <v>42</v>
      </c>
      <c r="AA55" s="5" t="s">
        <v>42</v>
      </c>
      <c r="AB55" s="5" t="s">
        <v>42</v>
      </c>
      <c r="AC55" s="5" t="s">
        <v>42</v>
      </c>
      <c r="AD55" s="5" t="s">
        <v>42</v>
      </c>
      <c r="AE55" s="5" t="s">
        <v>42</v>
      </c>
      <c r="AF55" s="5" t="s">
        <v>42</v>
      </c>
      <c r="AG55" s="5" t="s">
        <v>42</v>
      </c>
      <c r="AH55" s="5" t="s">
        <v>42</v>
      </c>
      <c r="AI55" s="5" t="s">
        <v>42</v>
      </c>
      <c r="AJ55" s="5" t="s">
        <v>42</v>
      </c>
      <c r="AK55" s="5" t="s">
        <v>42</v>
      </c>
      <c r="AL55" s="5" t="s">
        <v>42</v>
      </c>
      <c r="AM55" s="5" t="s">
        <v>42</v>
      </c>
      <c r="AN55" s="5" t="s">
        <v>42</v>
      </c>
      <c r="AO55" s="5" t="s">
        <v>42</v>
      </c>
      <c r="AP55" s="5" t="s">
        <v>42</v>
      </c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</row>
    <row r="56" spans="1:69" ht="30" x14ac:dyDescent="0.2">
      <c r="A56" s="4" t="s">
        <v>52</v>
      </c>
      <c r="B56" s="5">
        <f t="shared" ref="B56:O56" si="30">0.45-ABS(3-ROUND(B50,2))</f>
        <v>0.43</v>
      </c>
      <c r="C56" s="5">
        <f t="shared" si="30"/>
        <v>0.3000000000000001</v>
      </c>
      <c r="D56" s="5">
        <f t="shared" si="30"/>
        <v>0.34000000000000014</v>
      </c>
      <c r="E56" s="5">
        <f t="shared" si="30"/>
        <v>0.30999999999999989</v>
      </c>
      <c r="F56" s="5">
        <f t="shared" si="30"/>
        <v>0.28000000000000008</v>
      </c>
      <c r="G56" s="5">
        <f t="shared" si="30"/>
        <v>0.38999999999999996</v>
      </c>
      <c r="H56" s="5">
        <f t="shared" si="30"/>
        <v>0.36000000000000015</v>
      </c>
      <c r="I56" s="5">
        <f t="shared" si="30"/>
        <v>0.15999999999999998</v>
      </c>
      <c r="J56" s="5">
        <f t="shared" si="30"/>
        <v>0.38999999999999996</v>
      </c>
      <c r="K56" s="5">
        <f t="shared" si="30"/>
        <v>0.22000000000000003</v>
      </c>
      <c r="L56" s="5">
        <f t="shared" si="30"/>
        <v>0.34000000000000014</v>
      </c>
      <c r="M56" s="5">
        <f t="shared" si="30"/>
        <v>0.40000000000000019</v>
      </c>
      <c r="N56" s="5">
        <f t="shared" si="30"/>
        <v>0.41</v>
      </c>
      <c r="O56" s="5">
        <f t="shared" si="30"/>
        <v>0.44000000000000022</v>
      </c>
      <c r="P56" s="5" t="s">
        <v>42</v>
      </c>
      <c r="Q56" s="5" t="s">
        <v>42</v>
      </c>
      <c r="R56" s="5" t="s">
        <v>42</v>
      </c>
      <c r="S56" s="5" t="s">
        <v>42</v>
      </c>
      <c r="T56" s="5" t="s">
        <v>42</v>
      </c>
      <c r="U56" s="5" t="s">
        <v>42</v>
      </c>
      <c r="V56" s="5" t="s">
        <v>42</v>
      </c>
      <c r="W56" s="5" t="s">
        <v>42</v>
      </c>
      <c r="X56" s="5" t="s">
        <v>42</v>
      </c>
      <c r="Y56" s="5" t="s">
        <v>42</v>
      </c>
      <c r="Z56" s="5" t="s">
        <v>42</v>
      </c>
      <c r="AA56" s="5" t="s">
        <v>42</v>
      </c>
      <c r="AB56" s="5" t="s">
        <v>42</v>
      </c>
      <c r="AC56" s="5" t="s">
        <v>42</v>
      </c>
      <c r="AD56" s="5" t="s">
        <v>42</v>
      </c>
      <c r="AE56" s="5" t="s">
        <v>42</v>
      </c>
      <c r="AF56" s="5" t="s">
        <v>42</v>
      </c>
      <c r="AG56" s="5" t="s">
        <v>42</v>
      </c>
      <c r="AH56" s="5" t="s">
        <v>42</v>
      </c>
      <c r="AI56" s="5" t="s">
        <v>42</v>
      </c>
      <c r="AJ56" s="5" t="s">
        <v>42</v>
      </c>
      <c r="AK56" s="5" t="s">
        <v>42</v>
      </c>
      <c r="AL56" s="5" t="s">
        <v>42</v>
      </c>
      <c r="AM56" s="5" t="s">
        <v>42</v>
      </c>
      <c r="AN56" s="5" t="s">
        <v>42</v>
      </c>
      <c r="AO56" s="5" t="s">
        <v>42</v>
      </c>
      <c r="AP56" s="5" t="s">
        <v>42</v>
      </c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</row>
    <row r="57" spans="1:69" ht="15" x14ac:dyDescent="0.2">
      <c r="A57" s="4" t="s">
        <v>53</v>
      </c>
      <c r="B57" s="5">
        <f>SUM(freq!B2:B47)</f>
        <v>180</v>
      </c>
      <c r="C57" s="5">
        <f>SUM(freq!C2:C47)</f>
        <v>180</v>
      </c>
      <c r="D57" s="5">
        <f>SUM(freq!D2:D47)</f>
        <v>180</v>
      </c>
      <c r="E57" s="5">
        <f>SUM(freq!E2:E47)</f>
        <v>180</v>
      </c>
      <c r="F57" s="5">
        <f>SUM(freq!F2:F47)</f>
        <v>180</v>
      </c>
      <c r="G57" s="5">
        <f>SUM(freq!G2:G47)</f>
        <v>180</v>
      </c>
      <c r="H57" s="5">
        <f>SUM(freq!H2:H47)</f>
        <v>180</v>
      </c>
      <c r="I57" s="5">
        <f>SUM(freq!I2:I47)</f>
        <v>180</v>
      </c>
      <c r="J57" s="5">
        <f>SUM(freq!J2:J47)</f>
        <v>180</v>
      </c>
      <c r="K57" s="5">
        <f>SUM(freq!K2:K47)</f>
        <v>100</v>
      </c>
      <c r="L57" s="5">
        <f>SUM(freq!L2:L47)</f>
        <v>100</v>
      </c>
      <c r="M57" s="5">
        <f>SUM(freq!M2:M47)</f>
        <v>100</v>
      </c>
      <c r="N57" s="5">
        <f>SUM(freq!N2:N47)</f>
        <v>100</v>
      </c>
      <c r="O57" s="5" t="s">
        <v>42</v>
      </c>
      <c r="P57" s="5" t="s">
        <v>42</v>
      </c>
      <c r="Q57" s="5" t="s">
        <v>42</v>
      </c>
      <c r="R57" s="5" t="s">
        <v>42</v>
      </c>
      <c r="S57" s="5" t="s">
        <v>42</v>
      </c>
      <c r="T57" s="5" t="s">
        <v>42</v>
      </c>
      <c r="U57" s="5" t="s">
        <v>42</v>
      </c>
      <c r="V57" s="5" t="s">
        <v>42</v>
      </c>
      <c r="W57" s="5" t="s">
        <v>42</v>
      </c>
      <c r="X57" s="5" t="s">
        <v>42</v>
      </c>
      <c r="Y57" s="5" t="s">
        <v>42</v>
      </c>
      <c r="Z57" s="5" t="s">
        <v>42</v>
      </c>
      <c r="AA57" s="5" t="s">
        <v>42</v>
      </c>
      <c r="AB57" s="5" t="s">
        <v>42</v>
      </c>
      <c r="AC57" s="5" t="s">
        <v>42</v>
      </c>
      <c r="AD57" s="5" t="s">
        <v>42</v>
      </c>
      <c r="AE57" s="5" t="s">
        <v>42</v>
      </c>
      <c r="AF57" s="5" t="s">
        <v>42</v>
      </c>
      <c r="AG57" s="5" t="s">
        <v>42</v>
      </c>
      <c r="AH57" s="5" t="s">
        <v>42</v>
      </c>
      <c r="AI57" s="5" t="s">
        <v>42</v>
      </c>
      <c r="AJ57" s="5" t="s">
        <v>42</v>
      </c>
      <c r="AK57" s="5" t="s">
        <v>42</v>
      </c>
      <c r="AL57" s="5" t="s">
        <v>42</v>
      </c>
      <c r="AM57" s="5" t="s">
        <v>42</v>
      </c>
      <c r="AN57" s="5" t="s">
        <v>42</v>
      </c>
      <c r="AO57" s="5" t="s">
        <v>42</v>
      </c>
      <c r="AP57" s="5" t="s">
        <v>42</v>
      </c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</row>
    <row r="58" spans="1:69" ht="15" x14ac:dyDescent="0.2">
      <c r="A58" s="4" t="s">
        <v>54</v>
      </c>
      <c r="B58" s="27">
        <f>freq!B48/B57</f>
        <v>9.7222222222222214</v>
      </c>
      <c r="C58" s="27">
        <f>freq!C48/C57</f>
        <v>9.9611111111111104</v>
      </c>
      <c r="D58" s="27">
        <f>freq!D48/D57</f>
        <v>10.255555555555556</v>
      </c>
      <c r="E58" s="27">
        <f>freq!E48/E57</f>
        <v>10.116666666666667</v>
      </c>
      <c r="F58" s="27">
        <f>freq!F48/F57</f>
        <v>10.044444444444444</v>
      </c>
      <c r="G58" s="27">
        <f>freq!G48/G57</f>
        <v>9.7555555555555564</v>
      </c>
      <c r="H58" s="27">
        <f>freq!H48/H57</f>
        <v>10.055555555555555</v>
      </c>
      <c r="I58" s="27">
        <f>freq!I48/I57</f>
        <v>9.905555555555555</v>
      </c>
      <c r="J58" s="27">
        <f>freq!J48/J57</f>
        <v>10.105555555555556</v>
      </c>
      <c r="K58" s="27">
        <f>freq!K48/K57</f>
        <v>9.99</v>
      </c>
      <c r="L58" s="27">
        <f>freq!L48/L57</f>
        <v>10.47</v>
      </c>
      <c r="M58" s="27">
        <f>freq!M48/M57</f>
        <v>9.82</v>
      </c>
      <c r="N58" s="27">
        <f>freq!N48/N57</f>
        <v>9.9</v>
      </c>
      <c r="O58" s="5" t="s">
        <v>42</v>
      </c>
      <c r="P58" s="5" t="s">
        <v>42</v>
      </c>
      <c r="Q58" s="5" t="s">
        <v>42</v>
      </c>
      <c r="R58" s="5" t="s">
        <v>42</v>
      </c>
      <c r="S58" s="5" t="s">
        <v>42</v>
      </c>
      <c r="T58" s="5" t="s">
        <v>42</v>
      </c>
      <c r="U58" s="5" t="s">
        <v>42</v>
      </c>
      <c r="V58" s="5" t="s">
        <v>42</v>
      </c>
      <c r="W58" s="5" t="s">
        <v>42</v>
      </c>
      <c r="X58" s="5" t="s">
        <v>42</v>
      </c>
      <c r="Y58" s="5" t="s">
        <v>42</v>
      </c>
      <c r="Z58" s="5" t="s">
        <v>42</v>
      </c>
      <c r="AA58" s="5" t="s">
        <v>42</v>
      </c>
      <c r="AB58" s="5" t="s">
        <v>42</v>
      </c>
      <c r="AC58" s="5" t="s">
        <v>42</v>
      </c>
      <c r="AD58" s="5" t="s">
        <v>42</v>
      </c>
      <c r="AE58" s="5" t="s">
        <v>42</v>
      </c>
      <c r="AF58" s="5" t="s">
        <v>42</v>
      </c>
      <c r="AG58" s="5" t="s">
        <v>42</v>
      </c>
      <c r="AH58" s="5" t="s">
        <v>42</v>
      </c>
      <c r="AI58" s="5" t="s">
        <v>42</v>
      </c>
      <c r="AJ58" s="5" t="s">
        <v>42</v>
      </c>
      <c r="AK58" s="5" t="s">
        <v>42</v>
      </c>
      <c r="AL58" s="5" t="s">
        <v>42</v>
      </c>
      <c r="AM58" s="5" t="s">
        <v>42</v>
      </c>
      <c r="AN58" s="5" t="s">
        <v>42</v>
      </c>
      <c r="AO58" s="5" t="s">
        <v>42</v>
      </c>
      <c r="AP58" s="5" t="s">
        <v>42</v>
      </c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</row>
    <row r="59" spans="1:69" ht="15" x14ac:dyDescent="0.2">
      <c r="A59" s="4" t="s">
        <v>55</v>
      </c>
      <c r="B59" s="27">
        <f>SQRT((freq!B49-B58^2*B57)/(B57-1))</f>
        <v>3.0195925500336149</v>
      </c>
      <c r="C59" s="27">
        <f>SQRT((freq!C49-C58^2*C57)/(C57-1))</f>
        <v>3.1523049807237857</v>
      </c>
      <c r="D59" s="27">
        <f>SQRT((freq!D49-D58^2*D57)/(D57-1))</f>
        <v>2.8873103647075617</v>
      </c>
      <c r="E59" s="27">
        <f>SQRT((freq!E49-E58^2*E57)/(E57-1))</f>
        <v>2.8584384532575524</v>
      </c>
      <c r="F59" s="27">
        <f>SQRT((freq!F49-F58^2*F57)/(F57-1))</f>
        <v>3.1654952258421285</v>
      </c>
      <c r="G59" s="27">
        <f>SQRT((freq!G49-G58^2*G57)/(G57-1))</f>
        <v>2.9400380460089486</v>
      </c>
      <c r="H59" s="27">
        <f>SQRT((freq!H49-H58^2*H57)/(H57-1))</f>
        <v>2.9096683798493643</v>
      </c>
      <c r="I59" s="27">
        <f>SQRT((freq!I49-I58^2*I57)/(I57-1))</f>
        <v>3.2932930357383494</v>
      </c>
      <c r="J59" s="27">
        <f>SQRT((freq!J49-J58^2*J57)/(J57-1))</f>
        <v>2.9398005143096775</v>
      </c>
      <c r="K59" s="27">
        <f>SQRT((freq!K49-K58^2*K57)/(K57-1))</f>
        <v>2.7725020607328092</v>
      </c>
      <c r="L59" s="27">
        <f>SQRT((freq!L49-L58^2*L57)/(L57-1))</f>
        <v>2.8935839857913686</v>
      </c>
      <c r="M59" s="27">
        <f>SQRT((freq!M49-M58^2*M57)/(M57-1))</f>
        <v>2.9520751133308716</v>
      </c>
      <c r="N59" s="27">
        <f>SQRT((freq!N49-N58^2*N57)/(N57-1))</f>
        <v>2.9593201512468634</v>
      </c>
      <c r="O59" s="5" t="s">
        <v>42</v>
      </c>
      <c r="P59" s="5" t="s">
        <v>42</v>
      </c>
      <c r="Q59" s="5" t="s">
        <v>42</v>
      </c>
      <c r="R59" s="5" t="s">
        <v>42</v>
      </c>
      <c r="S59" s="5" t="s">
        <v>42</v>
      </c>
      <c r="T59" s="5" t="s">
        <v>42</v>
      </c>
      <c r="U59" s="5" t="s">
        <v>42</v>
      </c>
      <c r="V59" s="5" t="s">
        <v>42</v>
      </c>
      <c r="W59" s="5" t="s">
        <v>42</v>
      </c>
      <c r="X59" s="5" t="s">
        <v>42</v>
      </c>
      <c r="Y59" s="5" t="s">
        <v>42</v>
      </c>
      <c r="Z59" s="5" t="s">
        <v>42</v>
      </c>
      <c r="AA59" s="5" t="s">
        <v>42</v>
      </c>
      <c r="AB59" s="5" t="s">
        <v>42</v>
      </c>
      <c r="AC59" s="5" t="s">
        <v>42</v>
      </c>
      <c r="AD59" s="5" t="s">
        <v>42</v>
      </c>
      <c r="AE59" s="5" t="s">
        <v>42</v>
      </c>
      <c r="AF59" s="5" t="s">
        <v>42</v>
      </c>
      <c r="AG59" s="5" t="s">
        <v>42</v>
      </c>
      <c r="AH59" s="5" t="s">
        <v>42</v>
      </c>
      <c r="AI59" s="5" t="s">
        <v>42</v>
      </c>
      <c r="AJ59" s="5" t="s">
        <v>42</v>
      </c>
      <c r="AK59" s="5" t="s">
        <v>42</v>
      </c>
      <c r="AL59" s="5" t="s">
        <v>42</v>
      </c>
      <c r="AM59" s="5" t="s">
        <v>42</v>
      </c>
      <c r="AN59" s="5" t="s">
        <v>42</v>
      </c>
      <c r="AO59" s="5" t="s">
        <v>42</v>
      </c>
      <c r="AP59" s="5" t="s">
        <v>42</v>
      </c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</row>
    <row r="60" spans="1:69" ht="15" x14ac:dyDescent="0.2">
      <c r="A60" s="4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</row>
    <row r="61" spans="1:69" ht="15" x14ac:dyDescent="0.2">
      <c r="A61" s="4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</row>
    <row r="62" spans="1:69" ht="15" x14ac:dyDescent="0.2">
      <c r="A62" s="4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</row>
    <row r="63" spans="1:69" ht="15" x14ac:dyDescent="0.2">
      <c r="A63" s="4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</row>
    <row r="64" spans="1:69" ht="15" x14ac:dyDescent="0.2">
      <c r="A64" s="4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</row>
    <row r="65" spans="1:69" ht="15" x14ac:dyDescent="0.2">
      <c r="A65" s="4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</row>
    <row r="66" spans="1:69" ht="15" x14ac:dyDescent="0.2">
      <c r="A66" s="4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</row>
    <row r="67" spans="1:69" ht="15" x14ac:dyDescent="0.2">
      <c r="A67" s="4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</row>
    <row r="68" spans="1:69" ht="15" x14ac:dyDescent="0.2">
      <c r="A68" s="4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</row>
    <row r="69" spans="1:69" ht="15" x14ac:dyDescent="0.2">
      <c r="A69" s="4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</row>
    <row r="70" spans="1:69" ht="15" x14ac:dyDescent="0.2">
      <c r="A70" s="4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</row>
    <row r="71" spans="1:69" ht="15" x14ac:dyDescent="0.2">
      <c r="A71" s="4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</row>
    <row r="72" spans="1:69" ht="15" x14ac:dyDescent="0.2">
      <c r="A72" s="4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</row>
    <row r="73" spans="1:69" ht="15" x14ac:dyDescent="0.2">
      <c r="A73" s="4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</row>
    <row r="74" spans="1:69" ht="15" x14ac:dyDescent="0.2">
      <c r="A74" s="4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</row>
    <row r="75" spans="1:69" ht="15" x14ac:dyDescent="0.2">
      <c r="A75" s="4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</row>
    <row r="76" spans="1:69" ht="15" x14ac:dyDescent="0.2">
      <c r="A76" s="4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</row>
    <row r="77" spans="1:69" ht="15" x14ac:dyDescent="0.2">
      <c r="A77" s="4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</row>
  </sheetData>
  <conditionalFormatting sqref="B70:O70">
    <cfRule type="cellIs" dxfId="29" priority="31" operator="between">
      <formula>9.5</formula>
      <formula>10.5</formula>
    </cfRule>
  </conditionalFormatting>
  <conditionalFormatting sqref="B71:O71">
    <cfRule type="cellIs" dxfId="28" priority="30" operator="between">
      <formula>2.5</formula>
      <formula>3.5</formula>
    </cfRule>
  </conditionalFormatting>
  <conditionalFormatting sqref="P60:AA68">
    <cfRule type="cellIs" dxfId="27" priority="17" operator="lessThan">
      <formula>-1</formula>
    </cfRule>
    <cfRule type="cellIs" dxfId="26" priority="28" operator="greaterThan">
      <formula>0</formula>
    </cfRule>
    <cfRule type="cellIs" dxfId="25" priority="29" operator="lessThan">
      <formula>0</formula>
    </cfRule>
  </conditionalFormatting>
  <conditionalFormatting sqref="AC2:AO47">
    <cfRule type="cellIs" dxfId="24" priority="22" operator="lessThan">
      <formula>0</formula>
    </cfRule>
  </conditionalFormatting>
  <conditionalFormatting sqref="B49:O49">
    <cfRule type="cellIs" dxfId="21" priority="13" operator="between">
      <formula>9.7</formula>
      <formula>10.3</formula>
    </cfRule>
  </conditionalFormatting>
  <conditionalFormatting sqref="B50:O50">
    <cfRule type="cellIs" dxfId="20" priority="12" operator="between">
      <formula>2.7</formula>
      <formula>3.3</formula>
    </cfRule>
  </conditionalFormatting>
  <conditionalFormatting sqref="P2:U47">
    <cfRule type="cellIs" dxfId="23" priority="2" operator="lessThan">
      <formula>0</formula>
    </cfRule>
  </conditionalFormatting>
  <conditionalFormatting sqref="V2:AA47">
    <cfRule type="cellIs" dxfId="22" priority="3" operator="greaterThan">
      <formula>0</formula>
    </cfRule>
  </conditionalFormatting>
  <conditionalFormatting sqref="B2:N47">
    <cfRule type="cellIs" dxfId="19" priority="14" operator="equal">
      <formula>14</formula>
    </cfRule>
    <cfRule type="cellIs" dxfId="18" priority="15" operator="equal">
      <formula>18</formula>
    </cfRule>
    <cfRule type="cellIs" dxfId="17" priority="16" operator="equal">
      <formula>17</formula>
    </cfRule>
    <cfRule type="cellIs" dxfId="16" priority="18" operator="equal">
      <formula>12</formula>
    </cfRule>
    <cfRule type="cellIs" dxfId="15" priority="19" operator="equal">
      <formula>11</formula>
    </cfRule>
    <cfRule type="cellIs" dxfId="14" priority="20" operator="equal">
      <formula>9</formula>
    </cfRule>
    <cfRule type="cellIs" dxfId="13" priority="21" operator="equal">
      <formula>8</formula>
    </cfRule>
    <cfRule type="cellIs" dxfId="12" priority="23" operator="equal">
      <formula>6</formula>
    </cfRule>
    <cfRule type="cellIs" dxfId="11" priority="24" operator="equal">
      <formula>5</formula>
    </cfRule>
    <cfRule type="cellIs" dxfId="10" priority="25" operator="equal">
      <formula>15</formula>
    </cfRule>
    <cfRule type="cellIs" dxfId="9" priority="26" operator="equal">
      <formula>3</formula>
    </cfRule>
    <cfRule type="cellIs" dxfId="8" priority="27" operator="equal">
      <formula>2</formula>
    </cfRule>
    <cfRule type="cellIs" dxfId="7" priority="32" operator="equal">
      <formula>19</formula>
    </cfRule>
    <cfRule type="cellIs" dxfId="6" priority="33" operator="equal">
      <formula>1</formula>
    </cfRule>
    <cfRule type="cellIs" dxfId="5" priority="34" operator="equal">
      <formula>16</formula>
    </cfRule>
    <cfRule type="cellIs" dxfId="4" priority="35" operator="equal">
      <formula>13</formula>
    </cfRule>
    <cfRule type="cellIs" dxfId="3" priority="36" operator="equal">
      <formula>4</formula>
    </cfRule>
    <cfRule type="cellIs" dxfId="2" priority="37" operator="equal">
      <formula>7</formula>
    </cfRule>
    <cfRule type="cellIs" dxfId="1" priority="38" operator="equal">
      <formula>10</formula>
    </cfRule>
  </conditionalFormatting>
  <pageMargins left="0.05" right="0.05" top="0.5" bottom="0.5" header="0" footer="0"/>
  <pageSetup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D2B0726-A1CB-4664-97A9-C04BC802EB6E}">
            <xm:f>NOT(freq!B2=".")</xm:f>
            <x14:dxf>
              <font>
                <b/>
                <i val="0"/>
              </font>
            </x14:dxf>
          </x14:cfRule>
          <xm:sqref>B2:N47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C2FCC-1E61-423B-9990-919BA8316DE6}">
  <dimension ref="A1:AR20"/>
  <sheetViews>
    <sheetView topLeftCell="B1" workbookViewId="0">
      <selection activeCell="Q20" sqref="Q20"/>
    </sheetView>
  </sheetViews>
  <sheetFormatPr defaultRowHeight="15" x14ac:dyDescent="0.25"/>
  <cols>
    <col min="1" max="1" width="9.140625" style="15"/>
    <col min="2" max="14" width="4.7109375" style="15" customWidth="1"/>
    <col min="15" max="16" width="9.140625" style="8"/>
    <col min="17" max="29" width="4.5703125" style="8" customWidth="1"/>
    <col min="30" max="31" width="9.140625" style="8"/>
    <col min="32" max="44" width="4.85546875" style="8" customWidth="1"/>
    <col min="45" max="16384" width="9.140625" style="8"/>
  </cols>
  <sheetData>
    <row r="1" spans="1:44" x14ac:dyDescent="0.25">
      <c r="B1" s="16" t="s">
        <v>101</v>
      </c>
      <c r="C1" s="16" t="s">
        <v>100</v>
      </c>
      <c r="D1" s="16" t="s">
        <v>99</v>
      </c>
      <c r="E1" s="16" t="s">
        <v>98</v>
      </c>
      <c r="F1" s="16" t="s">
        <v>97</v>
      </c>
      <c r="G1" s="16" t="s">
        <v>96</v>
      </c>
      <c r="H1" s="16" t="s">
        <v>95</v>
      </c>
      <c r="I1" s="16" t="s">
        <v>94</v>
      </c>
      <c r="J1" s="16" t="s">
        <v>93</v>
      </c>
      <c r="K1" s="16" t="s">
        <v>92</v>
      </c>
      <c r="L1" s="16" t="s">
        <v>91</v>
      </c>
      <c r="M1" s="16" t="s">
        <v>90</v>
      </c>
      <c r="N1" s="16" t="s">
        <v>89</v>
      </c>
      <c r="P1" s="15"/>
      <c r="Q1" s="16" t="s">
        <v>101</v>
      </c>
      <c r="R1" s="16" t="s">
        <v>100</v>
      </c>
      <c r="S1" s="16" t="s">
        <v>99</v>
      </c>
      <c r="T1" s="16" t="s">
        <v>98</v>
      </c>
      <c r="U1" s="16" t="s">
        <v>97</v>
      </c>
      <c r="V1" s="16" t="s">
        <v>96</v>
      </c>
      <c r="W1" s="16" t="s">
        <v>95</v>
      </c>
      <c r="X1" s="16" t="s">
        <v>94</v>
      </c>
      <c r="Y1" s="16" t="s">
        <v>93</v>
      </c>
      <c r="Z1" s="16" t="s">
        <v>92</v>
      </c>
      <c r="AA1" s="16" t="s">
        <v>91</v>
      </c>
      <c r="AB1" s="16" t="s">
        <v>90</v>
      </c>
      <c r="AC1" s="16"/>
      <c r="AE1" s="15"/>
      <c r="AF1" s="16" t="s">
        <v>101</v>
      </c>
      <c r="AG1" s="16" t="s">
        <v>100</v>
      </c>
      <c r="AH1" s="16" t="s">
        <v>99</v>
      </c>
      <c r="AI1" s="16" t="s">
        <v>98</v>
      </c>
      <c r="AJ1" s="16" t="s">
        <v>97</v>
      </c>
      <c r="AK1" s="16" t="s">
        <v>96</v>
      </c>
      <c r="AL1" s="16" t="s">
        <v>95</v>
      </c>
      <c r="AM1" s="16" t="s">
        <v>94</v>
      </c>
      <c r="AN1" s="16" t="s">
        <v>93</v>
      </c>
      <c r="AO1" s="16" t="s">
        <v>92</v>
      </c>
      <c r="AP1" s="16" t="s">
        <v>91</v>
      </c>
      <c r="AQ1" s="16" t="s">
        <v>90</v>
      </c>
      <c r="AR1" s="16" t="s">
        <v>89</v>
      </c>
    </row>
    <row r="2" spans="1:44" x14ac:dyDescent="0.25">
      <c r="A2" s="15">
        <v>1</v>
      </c>
      <c r="B2" s="15">
        <f>COUNTIF(handsmoothed!B$2:B$47,$A2)</f>
        <v>2</v>
      </c>
      <c r="C2" s="15">
        <f>COUNTIF(handsmoothed!C$2:C$47,$A2)</f>
        <v>3</v>
      </c>
      <c r="D2" s="15">
        <f>COUNTIF(handsmoothed!D$2:D$47,$A2)</f>
        <v>4</v>
      </c>
      <c r="E2" s="15">
        <f>COUNTIF(handsmoothed!E$2:E$47,$A2)</f>
        <v>4</v>
      </c>
      <c r="F2" s="15">
        <f>COUNTIF(handsmoothed!F$2:F$47,$A2)</f>
        <v>4</v>
      </c>
      <c r="G2" s="15">
        <f>COUNTIF(handsmoothed!G$2:G$47,$A2)</f>
        <v>4</v>
      </c>
      <c r="H2" s="15">
        <f>COUNTIF(handsmoothed!H$2:H$47,$A2)</f>
        <v>4</v>
      </c>
      <c r="I2" s="15">
        <f>COUNTIF(handsmoothed!I$2:I$47,$A2)</f>
        <v>4</v>
      </c>
      <c r="J2" s="15">
        <f>COUNTIF(handsmoothed!J$2:J$47,$A2)</f>
        <v>3</v>
      </c>
      <c r="K2" s="15">
        <f>COUNTIF(handsmoothed!K$2:K$47,$A2)</f>
        <v>3</v>
      </c>
      <c r="L2" s="15">
        <f>COUNTIF(handsmoothed!L$2:L$47,$A2)</f>
        <v>3</v>
      </c>
      <c r="M2" s="15">
        <f>COUNTIF(handsmoothed!M$2:M$47,$A2)</f>
        <v>3</v>
      </c>
      <c r="N2" s="15">
        <f>COUNTIF(handsmoothed!N$2:N$47,$A2)</f>
        <v>2</v>
      </c>
      <c r="P2" s="15">
        <v>1</v>
      </c>
      <c r="Q2" s="15">
        <f t="shared" ref="Q2:Q20" si="0">B2-C2</f>
        <v>-1</v>
      </c>
      <c r="R2" s="15">
        <f t="shared" ref="R2:R20" si="1">C2-D2</f>
        <v>-1</v>
      </c>
      <c r="S2" s="15">
        <f t="shared" ref="S2:S20" si="2">D2-E2</f>
        <v>0</v>
      </c>
      <c r="T2" s="15">
        <f t="shared" ref="T2:T20" si="3">E2-F2</f>
        <v>0</v>
      </c>
      <c r="U2" s="15">
        <f t="shared" ref="U2:U20" si="4">F2-G2</f>
        <v>0</v>
      </c>
      <c r="V2" s="15">
        <f t="shared" ref="V2:V20" si="5">G2-H2</f>
        <v>0</v>
      </c>
      <c r="W2" s="15">
        <f t="shared" ref="W2:W20" si="6">H2-I2</f>
        <v>0</v>
      </c>
      <c r="X2" s="15">
        <f t="shared" ref="X2:X20" si="7">I2-J2</f>
        <v>1</v>
      </c>
      <c r="Y2" s="15">
        <f t="shared" ref="Y2:Y20" si="8">J2-K2</f>
        <v>0</v>
      </c>
      <c r="Z2" s="15">
        <f t="shared" ref="Z2:Z20" si="9">K2-L2</f>
        <v>0</v>
      </c>
      <c r="AA2" s="15">
        <f t="shared" ref="AA2:AA20" si="10">L2-M2</f>
        <v>0</v>
      </c>
      <c r="AB2" s="15">
        <f t="shared" ref="AB2:AB20" si="11">M2-N2</f>
        <v>1</v>
      </c>
      <c r="AC2" s="15"/>
      <c r="AE2" s="15">
        <v>1</v>
      </c>
      <c r="AF2" s="15">
        <f t="shared" ref="AF2:AF19" si="12">B3-B2</f>
        <v>0</v>
      </c>
      <c r="AG2" s="15">
        <f t="shared" ref="AG2:AG19" si="13">C3-C2</f>
        <v>-1</v>
      </c>
      <c r="AH2" s="15">
        <f t="shared" ref="AH2:AH19" si="14">D3-D2</f>
        <v>-2</v>
      </c>
      <c r="AI2" s="15">
        <f t="shared" ref="AI2:AI19" si="15">E3-E2</f>
        <v>-2</v>
      </c>
      <c r="AJ2" s="15">
        <f t="shared" ref="AJ2:AJ19" si="16">F3-F2</f>
        <v>-2</v>
      </c>
      <c r="AK2" s="15">
        <f t="shared" ref="AK2:AK19" si="17">G3-G2</f>
        <v>-2</v>
      </c>
      <c r="AL2" s="15">
        <f t="shared" ref="AL2:AL19" si="18">H3-H2</f>
        <v>-2</v>
      </c>
      <c r="AM2" s="15">
        <f t="shared" ref="AM2:AM19" si="19">I3-I2</f>
        <v>-2</v>
      </c>
      <c r="AN2" s="15">
        <f t="shared" ref="AN2:AN19" si="20">J3-J2</f>
        <v>-1</v>
      </c>
      <c r="AO2" s="15">
        <f t="shared" ref="AO2:AO19" si="21">K3-K2</f>
        <v>-1</v>
      </c>
      <c r="AP2" s="15">
        <f t="shared" ref="AP2:AP19" si="22">L3-L2</f>
        <v>-1</v>
      </c>
      <c r="AQ2" s="15">
        <f t="shared" ref="AQ2:AQ19" si="23">M3-M2</f>
        <v>-1</v>
      </c>
      <c r="AR2" s="15">
        <f t="shared" ref="AR2:AR19" si="24">N3-N2</f>
        <v>0</v>
      </c>
    </row>
    <row r="3" spans="1:44" x14ac:dyDescent="0.25">
      <c r="A3" s="15">
        <v>2</v>
      </c>
      <c r="B3" s="15">
        <f>COUNTIF(handsmoothed!B$2:B$47,$A3)</f>
        <v>2</v>
      </c>
      <c r="C3" s="15">
        <f>COUNTIF(handsmoothed!C$2:C$47,$A3)</f>
        <v>2</v>
      </c>
      <c r="D3" s="15">
        <f>COUNTIF(handsmoothed!D$2:D$47,$A3)</f>
        <v>2</v>
      </c>
      <c r="E3" s="15">
        <f>COUNTIF(handsmoothed!E$2:E$47,$A3)</f>
        <v>2</v>
      </c>
      <c r="F3" s="15">
        <f>COUNTIF(handsmoothed!F$2:F$47,$A3)</f>
        <v>2</v>
      </c>
      <c r="G3" s="15">
        <f>COUNTIF(handsmoothed!G$2:G$47,$A3)</f>
        <v>2</v>
      </c>
      <c r="H3" s="15">
        <f>COUNTIF(handsmoothed!H$2:H$47,$A3)</f>
        <v>2</v>
      </c>
      <c r="I3" s="15">
        <f>COUNTIF(handsmoothed!I$2:I$47,$A3)</f>
        <v>2</v>
      </c>
      <c r="J3" s="15">
        <f>COUNTIF(handsmoothed!J$2:J$47,$A3)</f>
        <v>2</v>
      </c>
      <c r="K3" s="15">
        <f>COUNTIF(handsmoothed!K$2:K$47,$A3)</f>
        <v>2</v>
      </c>
      <c r="L3" s="15">
        <f>COUNTIF(handsmoothed!L$2:L$47,$A3)</f>
        <v>2</v>
      </c>
      <c r="M3" s="15">
        <f>COUNTIF(handsmoothed!M$2:M$47,$A3)</f>
        <v>2</v>
      </c>
      <c r="N3" s="15">
        <f>COUNTIF(handsmoothed!N$2:N$47,$A3)</f>
        <v>2</v>
      </c>
      <c r="P3" s="15">
        <v>2</v>
      </c>
      <c r="Q3" s="15">
        <f t="shared" si="0"/>
        <v>0</v>
      </c>
      <c r="R3" s="15">
        <f t="shared" si="1"/>
        <v>0</v>
      </c>
      <c r="S3" s="15">
        <f t="shared" si="2"/>
        <v>0</v>
      </c>
      <c r="T3" s="15">
        <f t="shared" si="3"/>
        <v>0</v>
      </c>
      <c r="U3" s="15">
        <f t="shared" si="4"/>
        <v>0</v>
      </c>
      <c r="V3" s="15">
        <f t="shared" si="5"/>
        <v>0</v>
      </c>
      <c r="W3" s="15">
        <f t="shared" si="6"/>
        <v>0</v>
      </c>
      <c r="X3" s="15">
        <f t="shared" si="7"/>
        <v>0</v>
      </c>
      <c r="Y3" s="15">
        <f t="shared" si="8"/>
        <v>0</v>
      </c>
      <c r="Z3" s="15">
        <f t="shared" si="9"/>
        <v>0</v>
      </c>
      <c r="AA3" s="15">
        <f t="shared" si="10"/>
        <v>0</v>
      </c>
      <c r="AB3" s="15">
        <f t="shared" si="11"/>
        <v>0</v>
      </c>
      <c r="AC3" s="15"/>
      <c r="AE3" s="15">
        <v>2</v>
      </c>
      <c r="AF3" s="15">
        <f t="shared" si="12"/>
        <v>0</v>
      </c>
      <c r="AG3" s="15">
        <f t="shared" si="13"/>
        <v>1</v>
      </c>
      <c r="AH3" s="15">
        <f t="shared" si="14"/>
        <v>1</v>
      </c>
      <c r="AI3" s="15">
        <f t="shared" si="15"/>
        <v>1</v>
      </c>
      <c r="AJ3" s="15">
        <f t="shared" si="16"/>
        <v>1</v>
      </c>
      <c r="AK3" s="15">
        <f t="shared" si="17"/>
        <v>1</v>
      </c>
      <c r="AL3" s="15">
        <f t="shared" si="18"/>
        <v>1</v>
      </c>
      <c r="AM3" s="15">
        <f t="shared" si="19"/>
        <v>1</v>
      </c>
      <c r="AN3" s="15">
        <f t="shared" si="20"/>
        <v>1</v>
      </c>
      <c r="AO3" s="15">
        <f t="shared" si="21"/>
        <v>1</v>
      </c>
      <c r="AP3" s="15">
        <f t="shared" si="22"/>
        <v>1</v>
      </c>
      <c r="AQ3" s="15">
        <f t="shared" si="23"/>
        <v>1</v>
      </c>
      <c r="AR3" s="15">
        <f t="shared" si="24"/>
        <v>1</v>
      </c>
    </row>
    <row r="4" spans="1:44" x14ac:dyDescent="0.25">
      <c r="A4" s="15">
        <v>3</v>
      </c>
      <c r="B4" s="15">
        <f>COUNTIF(handsmoothed!B$2:B$47,$A4)</f>
        <v>2</v>
      </c>
      <c r="C4" s="15">
        <f>COUNTIF(handsmoothed!C$2:C$47,$A4)</f>
        <v>3</v>
      </c>
      <c r="D4" s="15">
        <f>COUNTIF(handsmoothed!D$2:D$47,$A4)</f>
        <v>3</v>
      </c>
      <c r="E4" s="15">
        <f>COUNTIF(handsmoothed!E$2:E$47,$A4)</f>
        <v>3</v>
      </c>
      <c r="F4" s="15">
        <f>COUNTIF(handsmoothed!F$2:F$47,$A4)</f>
        <v>3</v>
      </c>
      <c r="G4" s="15">
        <f>COUNTIF(handsmoothed!G$2:G$47,$A4)</f>
        <v>3</v>
      </c>
      <c r="H4" s="15">
        <f>COUNTIF(handsmoothed!H$2:H$47,$A4)</f>
        <v>3</v>
      </c>
      <c r="I4" s="15">
        <f>COUNTIF(handsmoothed!I$2:I$47,$A4)</f>
        <v>3</v>
      </c>
      <c r="J4" s="15">
        <f>COUNTIF(handsmoothed!J$2:J$47,$A4)</f>
        <v>3</v>
      </c>
      <c r="K4" s="15">
        <f>COUNTIF(handsmoothed!K$2:K$47,$A4)</f>
        <v>3</v>
      </c>
      <c r="L4" s="15">
        <f>COUNTIF(handsmoothed!L$2:L$47,$A4)</f>
        <v>3</v>
      </c>
      <c r="M4" s="15">
        <f>COUNTIF(handsmoothed!M$2:M$47,$A4)</f>
        <v>3</v>
      </c>
      <c r="N4" s="15">
        <f>COUNTIF(handsmoothed!N$2:N$47,$A4)</f>
        <v>3</v>
      </c>
      <c r="P4" s="15">
        <v>3</v>
      </c>
      <c r="Q4" s="15">
        <f t="shared" si="0"/>
        <v>-1</v>
      </c>
      <c r="R4" s="15">
        <f t="shared" si="1"/>
        <v>0</v>
      </c>
      <c r="S4" s="15">
        <f t="shared" si="2"/>
        <v>0</v>
      </c>
      <c r="T4" s="15">
        <f t="shared" si="3"/>
        <v>0</v>
      </c>
      <c r="U4" s="15">
        <f t="shared" si="4"/>
        <v>0</v>
      </c>
      <c r="V4" s="15">
        <f t="shared" si="5"/>
        <v>0</v>
      </c>
      <c r="W4" s="15">
        <f t="shared" si="6"/>
        <v>0</v>
      </c>
      <c r="X4" s="15">
        <f t="shared" si="7"/>
        <v>0</v>
      </c>
      <c r="Y4" s="15">
        <f t="shared" si="8"/>
        <v>0</v>
      </c>
      <c r="Z4" s="15">
        <f t="shared" si="9"/>
        <v>0</v>
      </c>
      <c r="AA4" s="15">
        <f t="shared" si="10"/>
        <v>0</v>
      </c>
      <c r="AB4" s="15">
        <f t="shared" si="11"/>
        <v>0</v>
      </c>
      <c r="AC4" s="15"/>
      <c r="AE4" s="15">
        <v>3</v>
      </c>
      <c r="AF4" s="15">
        <f t="shared" si="12"/>
        <v>1</v>
      </c>
      <c r="AG4" s="15">
        <f t="shared" si="13"/>
        <v>0</v>
      </c>
      <c r="AH4" s="15">
        <f t="shared" si="14"/>
        <v>0</v>
      </c>
      <c r="AI4" s="15">
        <f t="shared" si="15"/>
        <v>0</v>
      </c>
      <c r="AJ4" s="15">
        <f t="shared" si="16"/>
        <v>0</v>
      </c>
      <c r="AK4" s="15">
        <f t="shared" si="17"/>
        <v>0</v>
      </c>
      <c r="AL4" s="15">
        <f t="shared" si="18"/>
        <v>0</v>
      </c>
      <c r="AM4" s="15">
        <f t="shared" si="19"/>
        <v>0</v>
      </c>
      <c r="AN4" s="15">
        <f t="shared" si="20"/>
        <v>1</v>
      </c>
      <c r="AO4" s="15">
        <f t="shared" si="21"/>
        <v>1</v>
      </c>
      <c r="AP4" s="15">
        <f t="shared" si="22"/>
        <v>1</v>
      </c>
      <c r="AQ4" s="15">
        <f t="shared" si="23"/>
        <v>0</v>
      </c>
      <c r="AR4" s="15">
        <f t="shared" si="24"/>
        <v>0</v>
      </c>
    </row>
    <row r="5" spans="1:44" x14ac:dyDescent="0.25">
      <c r="A5" s="15">
        <v>4</v>
      </c>
      <c r="B5" s="15">
        <f>COUNTIF(handsmoothed!B$2:B$47,$A5)</f>
        <v>3</v>
      </c>
      <c r="C5" s="15">
        <f>COUNTIF(handsmoothed!C$2:C$47,$A5)</f>
        <v>3</v>
      </c>
      <c r="D5" s="15">
        <f>COUNTIF(handsmoothed!D$2:D$47,$A5)</f>
        <v>3</v>
      </c>
      <c r="E5" s="15">
        <f>COUNTIF(handsmoothed!E$2:E$47,$A5)</f>
        <v>3</v>
      </c>
      <c r="F5" s="15">
        <f>COUNTIF(handsmoothed!F$2:F$47,$A5)</f>
        <v>3</v>
      </c>
      <c r="G5" s="15">
        <f>COUNTIF(handsmoothed!G$2:G$47,$A5)</f>
        <v>3</v>
      </c>
      <c r="H5" s="15">
        <f>COUNTIF(handsmoothed!H$2:H$47,$A5)</f>
        <v>3</v>
      </c>
      <c r="I5" s="15">
        <f>COUNTIF(handsmoothed!I$2:I$47,$A5)</f>
        <v>3</v>
      </c>
      <c r="J5" s="15">
        <f>COUNTIF(handsmoothed!J$2:J$47,$A5)</f>
        <v>4</v>
      </c>
      <c r="K5" s="15">
        <f>COUNTIF(handsmoothed!K$2:K$47,$A5)</f>
        <v>4</v>
      </c>
      <c r="L5" s="15">
        <f>COUNTIF(handsmoothed!L$2:L$47,$A5)</f>
        <v>4</v>
      </c>
      <c r="M5" s="15">
        <f>COUNTIF(handsmoothed!M$2:M$47,$A5)</f>
        <v>3</v>
      </c>
      <c r="N5" s="15">
        <f>COUNTIF(handsmoothed!N$2:N$47,$A5)</f>
        <v>3</v>
      </c>
      <c r="P5" s="15">
        <v>4</v>
      </c>
      <c r="Q5" s="15">
        <f t="shared" si="0"/>
        <v>0</v>
      </c>
      <c r="R5" s="15">
        <f t="shared" si="1"/>
        <v>0</v>
      </c>
      <c r="S5" s="15">
        <f t="shared" si="2"/>
        <v>0</v>
      </c>
      <c r="T5" s="15">
        <f t="shared" si="3"/>
        <v>0</v>
      </c>
      <c r="U5" s="15">
        <f t="shared" si="4"/>
        <v>0</v>
      </c>
      <c r="V5" s="15">
        <f t="shared" si="5"/>
        <v>0</v>
      </c>
      <c r="W5" s="15">
        <f t="shared" si="6"/>
        <v>0</v>
      </c>
      <c r="X5" s="15">
        <f t="shared" si="7"/>
        <v>-1</v>
      </c>
      <c r="Y5" s="15">
        <f t="shared" si="8"/>
        <v>0</v>
      </c>
      <c r="Z5" s="15">
        <f t="shared" si="9"/>
        <v>0</v>
      </c>
      <c r="AA5" s="15">
        <f t="shared" si="10"/>
        <v>1</v>
      </c>
      <c r="AB5" s="15">
        <f t="shared" si="11"/>
        <v>0</v>
      </c>
      <c r="AC5" s="15"/>
      <c r="AE5" s="15">
        <v>4</v>
      </c>
      <c r="AF5" s="15">
        <f t="shared" si="12"/>
        <v>0</v>
      </c>
      <c r="AG5" s="15">
        <f t="shared" si="13"/>
        <v>-1</v>
      </c>
      <c r="AH5" s="15">
        <f t="shared" si="14"/>
        <v>-1</v>
      </c>
      <c r="AI5" s="15">
        <f t="shared" si="15"/>
        <v>0</v>
      </c>
      <c r="AJ5" s="15">
        <f t="shared" si="16"/>
        <v>0</v>
      </c>
      <c r="AK5" s="15">
        <f t="shared" si="17"/>
        <v>0</v>
      </c>
      <c r="AL5" s="15">
        <f t="shared" si="18"/>
        <v>1</v>
      </c>
      <c r="AM5" s="15">
        <f t="shared" si="19"/>
        <v>1</v>
      </c>
      <c r="AN5" s="15">
        <f t="shared" si="20"/>
        <v>-1</v>
      </c>
      <c r="AO5" s="15">
        <f t="shared" si="21"/>
        <v>-1</v>
      </c>
      <c r="AP5" s="15">
        <f t="shared" si="22"/>
        <v>-1</v>
      </c>
      <c r="AQ5" s="15">
        <f t="shared" si="23"/>
        <v>-1</v>
      </c>
      <c r="AR5" s="15">
        <f t="shared" si="24"/>
        <v>-1</v>
      </c>
    </row>
    <row r="6" spans="1:44" x14ac:dyDescent="0.25">
      <c r="A6" s="15">
        <v>5</v>
      </c>
      <c r="B6" s="15">
        <f>COUNTIF(handsmoothed!B$2:B$47,$A6)</f>
        <v>3</v>
      </c>
      <c r="C6" s="15">
        <f>COUNTIF(handsmoothed!C$2:C$47,$A6)</f>
        <v>2</v>
      </c>
      <c r="D6" s="15">
        <f>COUNTIF(handsmoothed!D$2:D$47,$A6)</f>
        <v>2</v>
      </c>
      <c r="E6" s="15">
        <f>COUNTIF(handsmoothed!E$2:E$47,$A6)</f>
        <v>3</v>
      </c>
      <c r="F6" s="15">
        <f>COUNTIF(handsmoothed!F$2:F$47,$A6)</f>
        <v>3</v>
      </c>
      <c r="G6" s="15">
        <f>COUNTIF(handsmoothed!G$2:G$47,$A6)</f>
        <v>3</v>
      </c>
      <c r="H6" s="15">
        <f>COUNTIF(handsmoothed!H$2:H$47,$A6)</f>
        <v>4</v>
      </c>
      <c r="I6" s="15">
        <f>COUNTIF(handsmoothed!I$2:I$47,$A6)</f>
        <v>4</v>
      </c>
      <c r="J6" s="15">
        <f>COUNTIF(handsmoothed!J$2:J$47,$A6)</f>
        <v>3</v>
      </c>
      <c r="K6" s="15">
        <f>COUNTIF(handsmoothed!K$2:K$47,$A6)</f>
        <v>3</v>
      </c>
      <c r="L6" s="15">
        <f>COUNTIF(handsmoothed!L$2:L$47,$A6)</f>
        <v>3</v>
      </c>
      <c r="M6" s="15">
        <f>COUNTIF(handsmoothed!M$2:M$47,$A6)</f>
        <v>2</v>
      </c>
      <c r="N6" s="15">
        <f>COUNTIF(handsmoothed!N$2:N$47,$A6)</f>
        <v>2</v>
      </c>
      <c r="P6" s="15">
        <v>5</v>
      </c>
      <c r="Q6" s="15">
        <f t="shared" si="0"/>
        <v>1</v>
      </c>
      <c r="R6" s="15">
        <f t="shared" si="1"/>
        <v>0</v>
      </c>
      <c r="S6" s="15">
        <f t="shared" si="2"/>
        <v>-1</v>
      </c>
      <c r="T6" s="15">
        <f t="shared" si="3"/>
        <v>0</v>
      </c>
      <c r="U6" s="15">
        <f t="shared" si="4"/>
        <v>0</v>
      </c>
      <c r="V6" s="15">
        <f t="shared" si="5"/>
        <v>-1</v>
      </c>
      <c r="W6" s="15">
        <f t="shared" si="6"/>
        <v>0</v>
      </c>
      <c r="X6" s="15">
        <f t="shared" si="7"/>
        <v>1</v>
      </c>
      <c r="Y6" s="15">
        <f t="shared" si="8"/>
        <v>0</v>
      </c>
      <c r="Z6" s="15">
        <f t="shared" si="9"/>
        <v>0</v>
      </c>
      <c r="AA6" s="15">
        <f t="shared" si="10"/>
        <v>1</v>
      </c>
      <c r="AB6" s="15">
        <f t="shared" si="11"/>
        <v>0</v>
      </c>
      <c r="AC6" s="15"/>
      <c r="AE6" s="15">
        <v>5</v>
      </c>
      <c r="AF6" s="15">
        <f t="shared" si="12"/>
        <v>-1</v>
      </c>
      <c r="AG6" s="15">
        <f t="shared" si="13"/>
        <v>0</v>
      </c>
      <c r="AH6" s="15">
        <f t="shared" si="14"/>
        <v>0</v>
      </c>
      <c r="AI6" s="15">
        <f t="shared" si="15"/>
        <v>-1</v>
      </c>
      <c r="AJ6" s="15">
        <f t="shared" si="16"/>
        <v>0</v>
      </c>
      <c r="AK6" s="15">
        <f t="shared" si="17"/>
        <v>1</v>
      </c>
      <c r="AL6" s="15">
        <f t="shared" si="18"/>
        <v>-1</v>
      </c>
      <c r="AM6" s="15">
        <f t="shared" si="19"/>
        <v>-1</v>
      </c>
      <c r="AN6" s="15">
        <f t="shared" si="20"/>
        <v>0</v>
      </c>
      <c r="AO6" s="15">
        <f t="shared" si="21"/>
        <v>0</v>
      </c>
      <c r="AP6" s="15">
        <f t="shared" si="22"/>
        <v>0</v>
      </c>
      <c r="AQ6" s="15">
        <f t="shared" si="23"/>
        <v>1</v>
      </c>
      <c r="AR6" s="15">
        <f t="shared" si="24"/>
        <v>1</v>
      </c>
    </row>
    <row r="7" spans="1:44" x14ac:dyDescent="0.25">
      <c r="A7" s="15">
        <v>6</v>
      </c>
      <c r="B7" s="15">
        <f>COUNTIF(handsmoothed!B$2:B$47,$A7)</f>
        <v>2</v>
      </c>
      <c r="C7" s="15">
        <f>COUNTIF(handsmoothed!C$2:C$47,$A7)</f>
        <v>2</v>
      </c>
      <c r="D7" s="15">
        <f>COUNTIF(handsmoothed!D$2:D$47,$A7)</f>
        <v>2</v>
      </c>
      <c r="E7" s="15">
        <f>COUNTIF(handsmoothed!E$2:E$47,$A7)</f>
        <v>2</v>
      </c>
      <c r="F7" s="15">
        <f>COUNTIF(handsmoothed!F$2:F$47,$A7)</f>
        <v>3</v>
      </c>
      <c r="G7" s="15">
        <f>COUNTIF(handsmoothed!G$2:G$47,$A7)</f>
        <v>4</v>
      </c>
      <c r="H7" s="15">
        <f>COUNTIF(handsmoothed!H$2:H$47,$A7)</f>
        <v>3</v>
      </c>
      <c r="I7" s="15">
        <f>COUNTIF(handsmoothed!I$2:I$47,$A7)</f>
        <v>3</v>
      </c>
      <c r="J7" s="15">
        <f>COUNTIF(handsmoothed!J$2:J$47,$A7)</f>
        <v>3</v>
      </c>
      <c r="K7" s="15">
        <f>COUNTIF(handsmoothed!K$2:K$47,$A7)</f>
        <v>3</v>
      </c>
      <c r="L7" s="15">
        <f>COUNTIF(handsmoothed!L$2:L$47,$A7)</f>
        <v>3</v>
      </c>
      <c r="M7" s="15">
        <f>COUNTIF(handsmoothed!M$2:M$47,$A7)</f>
        <v>3</v>
      </c>
      <c r="N7" s="15">
        <f>COUNTIF(handsmoothed!N$2:N$47,$A7)</f>
        <v>3</v>
      </c>
      <c r="P7" s="15">
        <v>6</v>
      </c>
      <c r="Q7" s="15">
        <f t="shared" si="0"/>
        <v>0</v>
      </c>
      <c r="R7" s="15">
        <f t="shared" si="1"/>
        <v>0</v>
      </c>
      <c r="S7" s="15">
        <f t="shared" si="2"/>
        <v>0</v>
      </c>
      <c r="T7" s="15">
        <f t="shared" si="3"/>
        <v>-1</v>
      </c>
      <c r="U7" s="15">
        <f t="shared" si="4"/>
        <v>-1</v>
      </c>
      <c r="V7" s="15">
        <f t="shared" si="5"/>
        <v>1</v>
      </c>
      <c r="W7" s="15">
        <f t="shared" si="6"/>
        <v>0</v>
      </c>
      <c r="X7" s="15">
        <f t="shared" si="7"/>
        <v>0</v>
      </c>
      <c r="Y7" s="15">
        <f t="shared" si="8"/>
        <v>0</v>
      </c>
      <c r="Z7" s="15">
        <f t="shared" si="9"/>
        <v>0</v>
      </c>
      <c r="AA7" s="15">
        <f t="shared" si="10"/>
        <v>0</v>
      </c>
      <c r="AB7" s="15">
        <f t="shared" si="11"/>
        <v>0</v>
      </c>
      <c r="AC7" s="15"/>
      <c r="AE7" s="15">
        <v>6</v>
      </c>
      <c r="AF7" s="15">
        <f t="shared" si="12"/>
        <v>0</v>
      </c>
      <c r="AG7" s="15">
        <f t="shared" si="13"/>
        <v>0</v>
      </c>
      <c r="AH7" s="15">
        <f t="shared" si="14"/>
        <v>1</v>
      </c>
      <c r="AI7" s="15">
        <f t="shared" si="15"/>
        <v>1</v>
      </c>
      <c r="AJ7" s="15">
        <f t="shared" si="16"/>
        <v>0</v>
      </c>
      <c r="AK7" s="15">
        <f t="shared" si="17"/>
        <v>-1</v>
      </c>
      <c r="AL7" s="15">
        <f t="shared" si="18"/>
        <v>1</v>
      </c>
      <c r="AM7" s="15">
        <f t="shared" si="19"/>
        <v>1</v>
      </c>
      <c r="AN7" s="15">
        <f t="shared" si="20"/>
        <v>1</v>
      </c>
      <c r="AO7" s="15">
        <f t="shared" si="21"/>
        <v>1</v>
      </c>
      <c r="AP7" s="15">
        <f t="shared" si="22"/>
        <v>0</v>
      </c>
      <c r="AQ7" s="15">
        <f t="shared" si="23"/>
        <v>1</v>
      </c>
      <c r="AR7" s="15">
        <f t="shared" si="24"/>
        <v>1</v>
      </c>
    </row>
    <row r="8" spans="1:44" x14ac:dyDescent="0.25">
      <c r="A8" s="15">
        <v>7</v>
      </c>
      <c r="B8" s="15">
        <f>COUNTIF(handsmoothed!B$2:B$47,$A8)</f>
        <v>2</v>
      </c>
      <c r="C8" s="15">
        <f>COUNTIF(handsmoothed!C$2:C$47,$A8)</f>
        <v>2</v>
      </c>
      <c r="D8" s="15">
        <f>COUNTIF(handsmoothed!D$2:D$47,$A8)</f>
        <v>3</v>
      </c>
      <c r="E8" s="15">
        <f>COUNTIF(handsmoothed!E$2:E$47,$A8)</f>
        <v>3</v>
      </c>
      <c r="F8" s="15">
        <f>COUNTIF(handsmoothed!F$2:F$47,$A8)</f>
        <v>3</v>
      </c>
      <c r="G8" s="15">
        <f>COUNTIF(handsmoothed!G$2:G$47,$A8)</f>
        <v>3</v>
      </c>
      <c r="H8" s="15">
        <f>COUNTIF(handsmoothed!H$2:H$47,$A8)</f>
        <v>4</v>
      </c>
      <c r="I8" s="15">
        <f>COUNTIF(handsmoothed!I$2:I$47,$A8)</f>
        <v>4</v>
      </c>
      <c r="J8" s="15">
        <f>COUNTIF(handsmoothed!J$2:J$47,$A8)</f>
        <v>4</v>
      </c>
      <c r="K8" s="15">
        <f>COUNTIF(handsmoothed!K$2:K$47,$A8)</f>
        <v>4</v>
      </c>
      <c r="L8" s="15">
        <f>COUNTIF(handsmoothed!L$2:L$47,$A8)</f>
        <v>3</v>
      </c>
      <c r="M8" s="15">
        <f>COUNTIF(handsmoothed!M$2:M$47,$A8)</f>
        <v>4</v>
      </c>
      <c r="N8" s="15">
        <f>COUNTIF(handsmoothed!N$2:N$47,$A8)</f>
        <v>4</v>
      </c>
      <c r="P8" s="15">
        <v>7</v>
      </c>
      <c r="Q8" s="15">
        <f t="shared" si="0"/>
        <v>0</v>
      </c>
      <c r="R8" s="15">
        <f t="shared" si="1"/>
        <v>-1</v>
      </c>
      <c r="S8" s="15">
        <f t="shared" si="2"/>
        <v>0</v>
      </c>
      <c r="T8" s="15">
        <f t="shared" si="3"/>
        <v>0</v>
      </c>
      <c r="U8" s="15">
        <f t="shared" si="4"/>
        <v>0</v>
      </c>
      <c r="V8" s="15">
        <f t="shared" si="5"/>
        <v>-1</v>
      </c>
      <c r="W8" s="15">
        <f t="shared" si="6"/>
        <v>0</v>
      </c>
      <c r="X8" s="15">
        <f t="shared" si="7"/>
        <v>0</v>
      </c>
      <c r="Y8" s="15">
        <f t="shared" si="8"/>
        <v>0</v>
      </c>
      <c r="Z8" s="15">
        <f t="shared" si="9"/>
        <v>1</v>
      </c>
      <c r="AA8" s="15">
        <f t="shared" si="10"/>
        <v>-1</v>
      </c>
      <c r="AB8" s="15">
        <f t="shared" si="11"/>
        <v>0</v>
      </c>
      <c r="AC8" s="15"/>
      <c r="AE8" s="15">
        <v>7</v>
      </c>
      <c r="AF8" s="15">
        <f t="shared" si="12"/>
        <v>0</v>
      </c>
      <c r="AG8" s="15">
        <f t="shared" si="13"/>
        <v>1</v>
      </c>
      <c r="AH8" s="15">
        <f t="shared" si="14"/>
        <v>0</v>
      </c>
      <c r="AI8" s="15">
        <f t="shared" si="15"/>
        <v>0</v>
      </c>
      <c r="AJ8" s="15">
        <f t="shared" si="16"/>
        <v>0</v>
      </c>
      <c r="AK8" s="15">
        <f t="shared" si="17"/>
        <v>0</v>
      </c>
      <c r="AL8" s="15">
        <f t="shared" si="18"/>
        <v>-1</v>
      </c>
      <c r="AM8" s="15">
        <f t="shared" si="19"/>
        <v>-1</v>
      </c>
      <c r="AN8" s="15">
        <f t="shared" si="20"/>
        <v>-1</v>
      </c>
      <c r="AO8" s="15">
        <f t="shared" si="21"/>
        <v>-1</v>
      </c>
      <c r="AP8" s="15">
        <f t="shared" si="22"/>
        <v>0</v>
      </c>
      <c r="AQ8" s="15">
        <f t="shared" si="23"/>
        <v>0</v>
      </c>
      <c r="AR8" s="15">
        <f t="shared" si="24"/>
        <v>0</v>
      </c>
    </row>
    <row r="9" spans="1:44" x14ac:dyDescent="0.25">
      <c r="A9" s="15">
        <v>8</v>
      </c>
      <c r="B9" s="15">
        <f>COUNTIF(handsmoothed!B$2:B$47,$A9)</f>
        <v>2</v>
      </c>
      <c r="C9" s="15">
        <f>COUNTIF(handsmoothed!C$2:C$47,$A9)</f>
        <v>3</v>
      </c>
      <c r="D9" s="15">
        <f>COUNTIF(handsmoothed!D$2:D$47,$A9)</f>
        <v>3</v>
      </c>
      <c r="E9" s="15">
        <f>COUNTIF(handsmoothed!E$2:E$47,$A9)</f>
        <v>3</v>
      </c>
      <c r="F9" s="15">
        <f>COUNTIF(handsmoothed!F$2:F$47,$A9)</f>
        <v>3</v>
      </c>
      <c r="G9" s="15">
        <f>COUNTIF(handsmoothed!G$2:G$47,$A9)</f>
        <v>3</v>
      </c>
      <c r="H9" s="15">
        <f>COUNTIF(handsmoothed!H$2:H$47,$A9)</f>
        <v>3</v>
      </c>
      <c r="I9" s="15">
        <f>COUNTIF(handsmoothed!I$2:I$47,$A9)</f>
        <v>3</v>
      </c>
      <c r="J9" s="15">
        <f>COUNTIF(handsmoothed!J$2:J$47,$A9)</f>
        <v>3</v>
      </c>
      <c r="K9" s="15">
        <f>COUNTIF(handsmoothed!K$2:K$47,$A9)</f>
        <v>3</v>
      </c>
      <c r="L9" s="15">
        <f>COUNTIF(handsmoothed!L$2:L$47,$A9)</f>
        <v>3</v>
      </c>
      <c r="M9" s="15">
        <f>COUNTIF(handsmoothed!M$2:M$47,$A9)</f>
        <v>4</v>
      </c>
      <c r="N9" s="15">
        <f>COUNTIF(handsmoothed!N$2:N$47,$A9)</f>
        <v>4</v>
      </c>
      <c r="P9" s="15">
        <v>8</v>
      </c>
      <c r="Q9" s="15">
        <f t="shared" si="0"/>
        <v>-1</v>
      </c>
      <c r="R9" s="15">
        <f t="shared" si="1"/>
        <v>0</v>
      </c>
      <c r="S9" s="15">
        <f t="shared" si="2"/>
        <v>0</v>
      </c>
      <c r="T9" s="15">
        <f t="shared" si="3"/>
        <v>0</v>
      </c>
      <c r="U9" s="15">
        <f t="shared" si="4"/>
        <v>0</v>
      </c>
      <c r="V9" s="15">
        <f t="shared" si="5"/>
        <v>0</v>
      </c>
      <c r="W9" s="15">
        <f t="shared" si="6"/>
        <v>0</v>
      </c>
      <c r="X9" s="15">
        <f t="shared" si="7"/>
        <v>0</v>
      </c>
      <c r="Y9" s="15">
        <f t="shared" si="8"/>
        <v>0</v>
      </c>
      <c r="Z9" s="15">
        <f t="shared" si="9"/>
        <v>0</v>
      </c>
      <c r="AA9" s="15">
        <f t="shared" si="10"/>
        <v>-1</v>
      </c>
      <c r="AB9" s="15">
        <f t="shared" si="11"/>
        <v>0</v>
      </c>
      <c r="AC9" s="15"/>
      <c r="AE9" s="15">
        <v>8</v>
      </c>
      <c r="AF9" s="15">
        <f t="shared" si="12"/>
        <v>1</v>
      </c>
      <c r="AG9" s="15">
        <f t="shared" si="13"/>
        <v>0</v>
      </c>
      <c r="AH9" s="15">
        <f t="shared" si="14"/>
        <v>0</v>
      </c>
      <c r="AI9" s="15">
        <f t="shared" si="15"/>
        <v>0</v>
      </c>
      <c r="AJ9" s="15">
        <f t="shared" si="16"/>
        <v>0</v>
      </c>
      <c r="AK9" s="15">
        <f t="shared" si="17"/>
        <v>0</v>
      </c>
      <c r="AL9" s="15">
        <f t="shared" si="18"/>
        <v>-1</v>
      </c>
      <c r="AM9" s="15">
        <f t="shared" si="19"/>
        <v>-1</v>
      </c>
      <c r="AN9" s="15">
        <f t="shared" si="20"/>
        <v>0</v>
      </c>
      <c r="AO9" s="15">
        <f t="shared" si="21"/>
        <v>0</v>
      </c>
      <c r="AP9" s="15">
        <f t="shared" si="22"/>
        <v>0</v>
      </c>
      <c r="AQ9" s="15">
        <f t="shared" si="23"/>
        <v>-1</v>
      </c>
      <c r="AR9" s="15">
        <f t="shared" si="24"/>
        <v>-1</v>
      </c>
    </row>
    <row r="10" spans="1:44" x14ac:dyDescent="0.25">
      <c r="A10" s="15">
        <v>9</v>
      </c>
      <c r="B10" s="15">
        <f>COUNTIF(handsmoothed!B$2:B$47,$A10)</f>
        <v>3</v>
      </c>
      <c r="C10" s="15">
        <f>COUNTIF(handsmoothed!C$2:C$47,$A10)</f>
        <v>3</v>
      </c>
      <c r="D10" s="15">
        <f>COUNTIF(handsmoothed!D$2:D$47,$A10)</f>
        <v>3</v>
      </c>
      <c r="E10" s="15">
        <f>COUNTIF(handsmoothed!E$2:E$47,$A10)</f>
        <v>3</v>
      </c>
      <c r="F10" s="15">
        <f>COUNTIF(handsmoothed!F$2:F$47,$A10)</f>
        <v>3</v>
      </c>
      <c r="G10" s="15">
        <f>COUNTIF(handsmoothed!G$2:G$47,$A10)</f>
        <v>3</v>
      </c>
      <c r="H10" s="15">
        <f>COUNTIF(handsmoothed!H$2:H$47,$A10)</f>
        <v>2</v>
      </c>
      <c r="I10" s="15">
        <f>COUNTIF(handsmoothed!I$2:I$47,$A10)</f>
        <v>2</v>
      </c>
      <c r="J10" s="15">
        <f>COUNTIF(handsmoothed!J$2:J$47,$A10)</f>
        <v>3</v>
      </c>
      <c r="K10" s="15">
        <f>COUNTIF(handsmoothed!K$2:K$47,$A10)</f>
        <v>3</v>
      </c>
      <c r="L10" s="15">
        <f>COUNTIF(handsmoothed!L$2:L$47,$A10)</f>
        <v>3</v>
      </c>
      <c r="M10" s="15">
        <f>COUNTIF(handsmoothed!M$2:M$47,$A10)</f>
        <v>3</v>
      </c>
      <c r="N10" s="15">
        <f>COUNTIF(handsmoothed!N$2:N$47,$A10)</f>
        <v>3</v>
      </c>
      <c r="P10" s="15">
        <v>9</v>
      </c>
      <c r="Q10" s="15">
        <f t="shared" si="0"/>
        <v>0</v>
      </c>
      <c r="R10" s="15">
        <f t="shared" si="1"/>
        <v>0</v>
      </c>
      <c r="S10" s="15">
        <f t="shared" si="2"/>
        <v>0</v>
      </c>
      <c r="T10" s="15">
        <f t="shared" si="3"/>
        <v>0</v>
      </c>
      <c r="U10" s="15">
        <f t="shared" si="4"/>
        <v>0</v>
      </c>
      <c r="V10" s="15">
        <f t="shared" si="5"/>
        <v>1</v>
      </c>
      <c r="W10" s="15">
        <f t="shared" si="6"/>
        <v>0</v>
      </c>
      <c r="X10" s="15">
        <f t="shared" si="7"/>
        <v>-1</v>
      </c>
      <c r="Y10" s="15">
        <f t="shared" si="8"/>
        <v>0</v>
      </c>
      <c r="Z10" s="15">
        <f t="shared" si="9"/>
        <v>0</v>
      </c>
      <c r="AA10" s="15">
        <f t="shared" si="10"/>
        <v>0</v>
      </c>
      <c r="AB10" s="15">
        <f t="shared" si="11"/>
        <v>0</v>
      </c>
      <c r="AC10" s="15"/>
      <c r="AE10" s="15">
        <v>9</v>
      </c>
      <c r="AF10" s="15">
        <f t="shared" si="12"/>
        <v>0</v>
      </c>
      <c r="AG10" s="15">
        <f t="shared" si="13"/>
        <v>0</v>
      </c>
      <c r="AH10" s="15">
        <f t="shared" si="14"/>
        <v>0</v>
      </c>
      <c r="AI10" s="15">
        <f t="shared" si="15"/>
        <v>0</v>
      </c>
      <c r="AJ10" s="15">
        <f t="shared" si="16"/>
        <v>0</v>
      </c>
      <c r="AK10" s="15">
        <f t="shared" si="17"/>
        <v>0</v>
      </c>
      <c r="AL10" s="15">
        <f t="shared" si="18"/>
        <v>1</v>
      </c>
      <c r="AM10" s="15">
        <f t="shared" si="19"/>
        <v>1</v>
      </c>
      <c r="AN10" s="15">
        <f t="shared" si="20"/>
        <v>0</v>
      </c>
      <c r="AO10" s="15">
        <f t="shared" si="21"/>
        <v>0</v>
      </c>
      <c r="AP10" s="15">
        <f t="shared" si="22"/>
        <v>0</v>
      </c>
      <c r="AQ10" s="15">
        <f t="shared" si="23"/>
        <v>0</v>
      </c>
      <c r="AR10" s="15">
        <f t="shared" si="24"/>
        <v>0</v>
      </c>
    </row>
    <row r="11" spans="1:44" x14ac:dyDescent="0.25">
      <c r="A11" s="15">
        <v>10</v>
      </c>
      <c r="B11" s="15">
        <f>COUNTIF(handsmoothed!B$2:B$47,$A11)</f>
        <v>3</v>
      </c>
      <c r="C11" s="15">
        <f>COUNTIF(handsmoothed!C$2:C$47,$A11)</f>
        <v>3</v>
      </c>
      <c r="D11" s="15">
        <f>COUNTIF(handsmoothed!D$2:D$47,$A11)</f>
        <v>3</v>
      </c>
      <c r="E11" s="15">
        <f>COUNTIF(handsmoothed!E$2:E$47,$A11)</f>
        <v>3</v>
      </c>
      <c r="F11" s="15">
        <f>COUNTIF(handsmoothed!F$2:F$47,$A11)</f>
        <v>3</v>
      </c>
      <c r="G11" s="15">
        <f>COUNTIF(handsmoothed!G$2:G$47,$A11)</f>
        <v>3</v>
      </c>
      <c r="H11" s="15">
        <f>COUNTIF(handsmoothed!H$2:H$47,$A11)</f>
        <v>3</v>
      </c>
      <c r="I11" s="15">
        <f>COUNTIF(handsmoothed!I$2:I$47,$A11)</f>
        <v>3</v>
      </c>
      <c r="J11" s="15">
        <f>COUNTIF(handsmoothed!J$2:J$47,$A11)</f>
        <v>3</v>
      </c>
      <c r="K11" s="15">
        <f>COUNTIF(handsmoothed!K$2:K$47,$A11)</f>
        <v>3</v>
      </c>
      <c r="L11" s="15">
        <f>COUNTIF(handsmoothed!L$2:L$47,$A11)</f>
        <v>3</v>
      </c>
      <c r="M11" s="15">
        <f>COUNTIF(handsmoothed!M$2:M$47,$A11)</f>
        <v>3</v>
      </c>
      <c r="N11" s="15">
        <f>COUNTIF(handsmoothed!N$2:N$47,$A11)</f>
        <v>3</v>
      </c>
      <c r="P11" s="15">
        <v>10</v>
      </c>
      <c r="Q11" s="15">
        <f t="shared" si="0"/>
        <v>0</v>
      </c>
      <c r="R11" s="15">
        <f t="shared" si="1"/>
        <v>0</v>
      </c>
      <c r="S11" s="15">
        <f t="shared" si="2"/>
        <v>0</v>
      </c>
      <c r="T11" s="15">
        <f t="shared" si="3"/>
        <v>0</v>
      </c>
      <c r="U11" s="15">
        <f t="shared" si="4"/>
        <v>0</v>
      </c>
      <c r="V11" s="15">
        <f t="shared" si="5"/>
        <v>0</v>
      </c>
      <c r="W11" s="15">
        <f t="shared" si="6"/>
        <v>0</v>
      </c>
      <c r="X11" s="15">
        <f t="shared" si="7"/>
        <v>0</v>
      </c>
      <c r="Y11" s="15">
        <f t="shared" si="8"/>
        <v>0</v>
      </c>
      <c r="Z11" s="15">
        <f t="shared" si="9"/>
        <v>0</v>
      </c>
      <c r="AA11" s="15">
        <f t="shared" si="10"/>
        <v>0</v>
      </c>
      <c r="AB11" s="15">
        <f t="shared" si="11"/>
        <v>0</v>
      </c>
      <c r="AC11" s="15"/>
      <c r="AE11" s="15">
        <v>10</v>
      </c>
      <c r="AF11" s="15">
        <f t="shared" si="12"/>
        <v>-1</v>
      </c>
      <c r="AG11" s="15">
        <f t="shared" si="13"/>
        <v>-1</v>
      </c>
      <c r="AH11" s="15">
        <f t="shared" si="14"/>
        <v>-1</v>
      </c>
      <c r="AI11" s="15">
        <f t="shared" si="15"/>
        <v>-1</v>
      </c>
      <c r="AJ11" s="15">
        <f t="shared" si="16"/>
        <v>-1</v>
      </c>
      <c r="AK11" s="15">
        <f t="shared" si="17"/>
        <v>-1</v>
      </c>
      <c r="AL11" s="15">
        <f t="shared" si="18"/>
        <v>0</v>
      </c>
      <c r="AM11" s="15">
        <f t="shared" si="19"/>
        <v>0</v>
      </c>
      <c r="AN11" s="15">
        <f t="shared" si="20"/>
        <v>-1</v>
      </c>
      <c r="AO11" s="15">
        <f t="shared" si="21"/>
        <v>-1</v>
      </c>
      <c r="AP11" s="15">
        <f t="shared" si="22"/>
        <v>0</v>
      </c>
      <c r="AQ11" s="15">
        <f t="shared" si="23"/>
        <v>-1</v>
      </c>
      <c r="AR11" s="15">
        <f t="shared" si="24"/>
        <v>-1</v>
      </c>
    </row>
    <row r="12" spans="1:44" x14ac:dyDescent="0.25">
      <c r="A12" s="15">
        <v>11</v>
      </c>
      <c r="B12" s="15">
        <f>COUNTIF(handsmoothed!B$2:B$47,$A12)</f>
        <v>2</v>
      </c>
      <c r="C12" s="15">
        <f>COUNTIF(handsmoothed!C$2:C$47,$A12)</f>
        <v>2</v>
      </c>
      <c r="D12" s="15">
        <f>COUNTIF(handsmoothed!D$2:D$47,$A12)</f>
        <v>2</v>
      </c>
      <c r="E12" s="15">
        <f>COUNTIF(handsmoothed!E$2:E$47,$A12)</f>
        <v>2</v>
      </c>
      <c r="F12" s="15">
        <f>COUNTIF(handsmoothed!F$2:F$47,$A12)</f>
        <v>2</v>
      </c>
      <c r="G12" s="15">
        <f>COUNTIF(handsmoothed!G$2:G$47,$A12)</f>
        <v>2</v>
      </c>
      <c r="H12" s="15">
        <f>COUNTIF(handsmoothed!H$2:H$47,$A12)</f>
        <v>3</v>
      </c>
      <c r="I12" s="15">
        <f>COUNTIF(handsmoothed!I$2:I$47,$A12)</f>
        <v>3</v>
      </c>
      <c r="J12" s="15">
        <f>COUNTIF(handsmoothed!J$2:J$47,$A12)</f>
        <v>2</v>
      </c>
      <c r="K12" s="15">
        <f>COUNTIF(handsmoothed!K$2:K$47,$A12)</f>
        <v>2</v>
      </c>
      <c r="L12" s="15">
        <f>COUNTIF(handsmoothed!L$2:L$47,$A12)</f>
        <v>3</v>
      </c>
      <c r="M12" s="15">
        <f>COUNTIF(handsmoothed!M$2:M$47,$A12)</f>
        <v>2</v>
      </c>
      <c r="N12" s="15">
        <f>COUNTIF(handsmoothed!N$2:N$47,$A12)</f>
        <v>2</v>
      </c>
      <c r="P12" s="15">
        <v>11</v>
      </c>
      <c r="Q12" s="15">
        <f t="shared" si="0"/>
        <v>0</v>
      </c>
      <c r="R12" s="15">
        <f t="shared" si="1"/>
        <v>0</v>
      </c>
      <c r="S12" s="15">
        <f t="shared" si="2"/>
        <v>0</v>
      </c>
      <c r="T12" s="15">
        <f t="shared" si="3"/>
        <v>0</v>
      </c>
      <c r="U12" s="15">
        <f t="shared" si="4"/>
        <v>0</v>
      </c>
      <c r="V12" s="15">
        <f t="shared" si="5"/>
        <v>-1</v>
      </c>
      <c r="W12" s="15">
        <f t="shared" si="6"/>
        <v>0</v>
      </c>
      <c r="X12" s="15">
        <f t="shared" si="7"/>
        <v>1</v>
      </c>
      <c r="Y12" s="15">
        <f t="shared" si="8"/>
        <v>0</v>
      </c>
      <c r="Z12" s="15">
        <f t="shared" si="9"/>
        <v>-1</v>
      </c>
      <c r="AA12" s="15">
        <f t="shared" si="10"/>
        <v>1</v>
      </c>
      <c r="AB12" s="15">
        <f t="shared" si="11"/>
        <v>0</v>
      </c>
      <c r="AC12" s="15"/>
      <c r="AE12" s="15">
        <v>11</v>
      </c>
      <c r="AF12" s="15">
        <f t="shared" si="12"/>
        <v>0</v>
      </c>
      <c r="AG12" s="15">
        <f t="shared" si="13"/>
        <v>0</v>
      </c>
      <c r="AH12" s="15">
        <f t="shared" si="14"/>
        <v>0</v>
      </c>
      <c r="AI12" s="15">
        <f t="shared" si="15"/>
        <v>0</v>
      </c>
      <c r="AJ12" s="15">
        <f t="shared" si="16"/>
        <v>0</v>
      </c>
      <c r="AK12" s="15">
        <f t="shared" si="17"/>
        <v>0</v>
      </c>
      <c r="AL12" s="15">
        <f t="shared" si="18"/>
        <v>-1</v>
      </c>
      <c r="AM12" s="15">
        <f t="shared" si="19"/>
        <v>-1</v>
      </c>
      <c r="AN12" s="15">
        <f t="shared" si="20"/>
        <v>1</v>
      </c>
      <c r="AO12" s="15">
        <f t="shared" si="21"/>
        <v>1</v>
      </c>
      <c r="AP12" s="15">
        <f t="shared" si="22"/>
        <v>0</v>
      </c>
      <c r="AQ12" s="15">
        <f t="shared" si="23"/>
        <v>1</v>
      </c>
      <c r="AR12" s="15">
        <f t="shared" si="24"/>
        <v>0</v>
      </c>
    </row>
    <row r="13" spans="1:44" x14ac:dyDescent="0.25">
      <c r="A13" s="15">
        <v>12</v>
      </c>
      <c r="B13" s="15">
        <f>COUNTIF(handsmoothed!B$2:B$47,$A13)</f>
        <v>2</v>
      </c>
      <c r="C13" s="15">
        <f>COUNTIF(handsmoothed!C$2:C$47,$A13)</f>
        <v>2</v>
      </c>
      <c r="D13" s="15">
        <f>COUNTIF(handsmoothed!D$2:D$47,$A13)</f>
        <v>2</v>
      </c>
      <c r="E13" s="15">
        <f>COUNTIF(handsmoothed!E$2:E$47,$A13)</f>
        <v>2</v>
      </c>
      <c r="F13" s="15">
        <f>COUNTIF(handsmoothed!F$2:F$47,$A13)</f>
        <v>2</v>
      </c>
      <c r="G13" s="15">
        <f>COUNTIF(handsmoothed!G$2:G$47,$A13)</f>
        <v>2</v>
      </c>
      <c r="H13" s="15">
        <f>COUNTIF(handsmoothed!H$2:H$47,$A13)</f>
        <v>2</v>
      </c>
      <c r="I13" s="15">
        <f>COUNTIF(handsmoothed!I$2:I$47,$A13)</f>
        <v>2</v>
      </c>
      <c r="J13" s="15">
        <f>COUNTIF(handsmoothed!J$2:J$47,$A13)</f>
        <v>3</v>
      </c>
      <c r="K13" s="15">
        <f>COUNTIF(handsmoothed!K$2:K$47,$A13)</f>
        <v>3</v>
      </c>
      <c r="L13" s="15">
        <f>COUNTIF(handsmoothed!L$2:L$47,$A13)</f>
        <v>3</v>
      </c>
      <c r="M13" s="15">
        <f>COUNTIF(handsmoothed!M$2:M$47,$A13)</f>
        <v>3</v>
      </c>
      <c r="N13" s="15">
        <f>COUNTIF(handsmoothed!N$2:N$47,$A13)</f>
        <v>2</v>
      </c>
      <c r="P13" s="15">
        <v>12</v>
      </c>
      <c r="Q13" s="15">
        <f t="shared" si="0"/>
        <v>0</v>
      </c>
      <c r="R13" s="15">
        <f t="shared" si="1"/>
        <v>0</v>
      </c>
      <c r="S13" s="15">
        <f t="shared" si="2"/>
        <v>0</v>
      </c>
      <c r="T13" s="15">
        <f t="shared" si="3"/>
        <v>0</v>
      </c>
      <c r="U13" s="15">
        <f t="shared" si="4"/>
        <v>0</v>
      </c>
      <c r="V13" s="15">
        <f t="shared" si="5"/>
        <v>0</v>
      </c>
      <c r="W13" s="15">
        <f t="shared" si="6"/>
        <v>0</v>
      </c>
      <c r="X13" s="15">
        <f t="shared" si="7"/>
        <v>-1</v>
      </c>
      <c r="Y13" s="15">
        <f t="shared" si="8"/>
        <v>0</v>
      </c>
      <c r="Z13" s="15">
        <f t="shared" si="9"/>
        <v>0</v>
      </c>
      <c r="AA13" s="15">
        <f t="shared" si="10"/>
        <v>0</v>
      </c>
      <c r="AB13" s="15">
        <f t="shared" si="11"/>
        <v>1</v>
      </c>
      <c r="AC13" s="15"/>
      <c r="AE13" s="15">
        <v>12</v>
      </c>
      <c r="AF13" s="15">
        <f t="shared" si="12"/>
        <v>0</v>
      </c>
      <c r="AG13" s="15">
        <f t="shared" si="13"/>
        <v>0</v>
      </c>
      <c r="AH13" s="15">
        <f t="shared" si="14"/>
        <v>0</v>
      </c>
      <c r="AI13" s="15">
        <f t="shared" si="15"/>
        <v>0</v>
      </c>
      <c r="AJ13" s="15">
        <f t="shared" si="16"/>
        <v>0</v>
      </c>
      <c r="AK13" s="15">
        <f t="shared" si="17"/>
        <v>0</v>
      </c>
      <c r="AL13" s="15">
        <f t="shared" si="18"/>
        <v>0</v>
      </c>
      <c r="AM13" s="15">
        <f t="shared" si="19"/>
        <v>0</v>
      </c>
      <c r="AN13" s="15">
        <f t="shared" si="20"/>
        <v>-1</v>
      </c>
      <c r="AO13" s="15">
        <f t="shared" si="21"/>
        <v>-1</v>
      </c>
      <c r="AP13" s="15">
        <f t="shared" si="22"/>
        <v>-1</v>
      </c>
      <c r="AQ13" s="15">
        <f t="shared" si="23"/>
        <v>-1</v>
      </c>
      <c r="AR13" s="15">
        <f t="shared" si="24"/>
        <v>0</v>
      </c>
    </row>
    <row r="14" spans="1:44" x14ac:dyDescent="0.25">
      <c r="A14" s="15">
        <v>13</v>
      </c>
      <c r="B14" s="15">
        <f>COUNTIF(handsmoothed!B$2:B$47,$A14)</f>
        <v>2</v>
      </c>
      <c r="C14" s="15">
        <f>COUNTIF(handsmoothed!C$2:C$47,$A14)</f>
        <v>2</v>
      </c>
      <c r="D14" s="15">
        <f>COUNTIF(handsmoothed!D$2:D$47,$A14)</f>
        <v>2</v>
      </c>
      <c r="E14" s="15">
        <f>COUNTIF(handsmoothed!E$2:E$47,$A14)</f>
        <v>2</v>
      </c>
      <c r="F14" s="15">
        <f>COUNTIF(handsmoothed!F$2:F$47,$A14)</f>
        <v>2</v>
      </c>
      <c r="G14" s="15">
        <f>COUNTIF(handsmoothed!G$2:G$47,$A14)</f>
        <v>2</v>
      </c>
      <c r="H14" s="15">
        <f>COUNTIF(handsmoothed!H$2:H$47,$A14)</f>
        <v>2</v>
      </c>
      <c r="I14" s="15">
        <f>COUNTIF(handsmoothed!I$2:I$47,$A14)</f>
        <v>2</v>
      </c>
      <c r="J14" s="15">
        <f>COUNTIF(handsmoothed!J$2:J$47,$A14)</f>
        <v>2</v>
      </c>
      <c r="K14" s="15">
        <f>COUNTIF(handsmoothed!K$2:K$47,$A14)</f>
        <v>2</v>
      </c>
      <c r="L14" s="15">
        <f>COUNTIF(handsmoothed!L$2:L$47,$A14)</f>
        <v>2</v>
      </c>
      <c r="M14" s="15">
        <f>COUNTIF(handsmoothed!M$2:M$47,$A14)</f>
        <v>2</v>
      </c>
      <c r="N14" s="15">
        <f>COUNTIF(handsmoothed!N$2:N$47,$A14)</f>
        <v>2</v>
      </c>
      <c r="P14" s="15">
        <v>13</v>
      </c>
      <c r="Q14" s="15">
        <f t="shared" si="0"/>
        <v>0</v>
      </c>
      <c r="R14" s="15">
        <f t="shared" si="1"/>
        <v>0</v>
      </c>
      <c r="S14" s="15">
        <f t="shared" si="2"/>
        <v>0</v>
      </c>
      <c r="T14" s="15">
        <f t="shared" si="3"/>
        <v>0</v>
      </c>
      <c r="U14" s="15">
        <f t="shared" si="4"/>
        <v>0</v>
      </c>
      <c r="V14" s="15">
        <f t="shared" si="5"/>
        <v>0</v>
      </c>
      <c r="W14" s="15">
        <f t="shared" si="6"/>
        <v>0</v>
      </c>
      <c r="X14" s="15">
        <f t="shared" si="7"/>
        <v>0</v>
      </c>
      <c r="Y14" s="15">
        <f t="shared" si="8"/>
        <v>0</v>
      </c>
      <c r="Z14" s="15">
        <f t="shared" si="9"/>
        <v>0</v>
      </c>
      <c r="AA14" s="15">
        <f t="shared" si="10"/>
        <v>0</v>
      </c>
      <c r="AB14" s="15">
        <f t="shared" si="11"/>
        <v>0</v>
      </c>
      <c r="AC14" s="15"/>
      <c r="AE14" s="15">
        <v>13</v>
      </c>
      <c r="AF14" s="15">
        <f t="shared" si="12"/>
        <v>0</v>
      </c>
      <c r="AG14" s="15">
        <f t="shared" si="13"/>
        <v>0</v>
      </c>
      <c r="AH14" s="15">
        <f t="shared" si="14"/>
        <v>-1</v>
      </c>
      <c r="AI14" s="15">
        <f t="shared" si="15"/>
        <v>0</v>
      </c>
      <c r="AJ14" s="15">
        <f t="shared" si="16"/>
        <v>0</v>
      </c>
      <c r="AK14" s="15">
        <f t="shared" si="17"/>
        <v>0</v>
      </c>
      <c r="AL14" s="15">
        <f t="shared" si="18"/>
        <v>0</v>
      </c>
      <c r="AM14" s="15">
        <f t="shared" si="19"/>
        <v>0</v>
      </c>
      <c r="AN14" s="15">
        <f t="shared" si="20"/>
        <v>0</v>
      </c>
      <c r="AO14" s="15">
        <f t="shared" si="21"/>
        <v>0</v>
      </c>
      <c r="AP14" s="15">
        <f t="shared" si="22"/>
        <v>0</v>
      </c>
      <c r="AQ14" s="15">
        <f t="shared" si="23"/>
        <v>-1</v>
      </c>
      <c r="AR14" s="15">
        <f t="shared" si="24"/>
        <v>0</v>
      </c>
    </row>
    <row r="15" spans="1:44" x14ac:dyDescent="0.25">
      <c r="A15" s="15">
        <v>14</v>
      </c>
      <c r="B15" s="15">
        <f>COUNTIF(handsmoothed!B$2:B$47,$A15)</f>
        <v>2</v>
      </c>
      <c r="C15" s="15">
        <f>COUNTIF(handsmoothed!C$2:C$47,$A15)</f>
        <v>2</v>
      </c>
      <c r="D15" s="15">
        <f>COUNTIF(handsmoothed!D$2:D$47,$A15)</f>
        <v>1</v>
      </c>
      <c r="E15" s="15">
        <f>COUNTIF(handsmoothed!E$2:E$47,$A15)</f>
        <v>2</v>
      </c>
      <c r="F15" s="15">
        <f>COUNTIF(handsmoothed!F$2:F$47,$A15)</f>
        <v>2</v>
      </c>
      <c r="G15" s="15">
        <f>COUNTIF(handsmoothed!G$2:G$47,$A15)</f>
        <v>2</v>
      </c>
      <c r="H15" s="15">
        <f>COUNTIF(handsmoothed!H$2:H$47,$A15)</f>
        <v>2</v>
      </c>
      <c r="I15" s="15">
        <f>COUNTIF(handsmoothed!I$2:I$47,$A15)</f>
        <v>2</v>
      </c>
      <c r="J15" s="15">
        <f>COUNTIF(handsmoothed!J$2:J$47,$A15)</f>
        <v>2</v>
      </c>
      <c r="K15" s="15">
        <f>COUNTIF(handsmoothed!K$2:K$47,$A15)</f>
        <v>2</v>
      </c>
      <c r="L15" s="15">
        <f>COUNTIF(handsmoothed!L$2:L$47,$A15)</f>
        <v>2</v>
      </c>
      <c r="M15" s="15">
        <f>COUNTIF(handsmoothed!M$2:M$47,$A15)</f>
        <v>1</v>
      </c>
      <c r="N15" s="15">
        <f>COUNTIF(handsmoothed!N$2:N$47,$A15)</f>
        <v>2</v>
      </c>
      <c r="P15" s="15">
        <v>14</v>
      </c>
      <c r="Q15" s="15">
        <f t="shared" si="0"/>
        <v>0</v>
      </c>
      <c r="R15" s="15">
        <f t="shared" si="1"/>
        <v>1</v>
      </c>
      <c r="S15" s="15">
        <f t="shared" si="2"/>
        <v>-1</v>
      </c>
      <c r="T15" s="15">
        <f t="shared" si="3"/>
        <v>0</v>
      </c>
      <c r="U15" s="15">
        <f t="shared" si="4"/>
        <v>0</v>
      </c>
      <c r="V15" s="15">
        <f t="shared" si="5"/>
        <v>0</v>
      </c>
      <c r="W15" s="15">
        <f t="shared" si="6"/>
        <v>0</v>
      </c>
      <c r="X15" s="15">
        <f t="shared" si="7"/>
        <v>0</v>
      </c>
      <c r="Y15" s="15">
        <f t="shared" si="8"/>
        <v>0</v>
      </c>
      <c r="Z15" s="15">
        <f t="shared" si="9"/>
        <v>0</v>
      </c>
      <c r="AA15" s="15">
        <f t="shared" si="10"/>
        <v>1</v>
      </c>
      <c r="AB15" s="15">
        <f t="shared" si="11"/>
        <v>-1</v>
      </c>
      <c r="AC15" s="15"/>
      <c r="AE15" s="15">
        <v>14</v>
      </c>
      <c r="AF15" s="15">
        <f t="shared" si="12"/>
        <v>-1</v>
      </c>
      <c r="AG15" s="15">
        <f t="shared" si="13"/>
        <v>-1</v>
      </c>
      <c r="AH15" s="15">
        <f t="shared" si="14"/>
        <v>1</v>
      </c>
      <c r="AI15" s="15">
        <f t="shared" si="15"/>
        <v>0</v>
      </c>
      <c r="AJ15" s="15">
        <f t="shared" si="16"/>
        <v>0</v>
      </c>
      <c r="AK15" s="15">
        <f t="shared" si="17"/>
        <v>0</v>
      </c>
      <c r="AL15" s="15">
        <f t="shared" si="18"/>
        <v>-1</v>
      </c>
      <c r="AM15" s="15">
        <f t="shared" si="19"/>
        <v>-1</v>
      </c>
      <c r="AN15" s="15">
        <f t="shared" si="20"/>
        <v>-1</v>
      </c>
      <c r="AO15" s="15">
        <f t="shared" si="21"/>
        <v>-1</v>
      </c>
      <c r="AP15" s="15">
        <f t="shared" si="22"/>
        <v>-1</v>
      </c>
      <c r="AQ15" s="15">
        <f t="shared" si="23"/>
        <v>1</v>
      </c>
      <c r="AR15" s="15">
        <f t="shared" si="24"/>
        <v>0</v>
      </c>
    </row>
    <row r="16" spans="1:44" x14ac:dyDescent="0.25">
      <c r="A16" s="15">
        <v>15</v>
      </c>
      <c r="B16" s="15">
        <f>COUNTIF(handsmoothed!B$2:B$47,$A16)</f>
        <v>1</v>
      </c>
      <c r="C16" s="15">
        <f>COUNTIF(handsmoothed!C$2:C$47,$A16)</f>
        <v>1</v>
      </c>
      <c r="D16" s="15">
        <f>COUNTIF(handsmoothed!D$2:D$47,$A16)</f>
        <v>2</v>
      </c>
      <c r="E16" s="15">
        <f>COUNTIF(handsmoothed!E$2:E$47,$A16)</f>
        <v>2</v>
      </c>
      <c r="F16" s="15">
        <f>COUNTIF(handsmoothed!F$2:F$47,$A16)</f>
        <v>2</v>
      </c>
      <c r="G16" s="15">
        <f>COUNTIF(handsmoothed!G$2:G$47,$A16)</f>
        <v>2</v>
      </c>
      <c r="H16" s="15">
        <f>COUNTIF(handsmoothed!H$2:H$47,$A16)</f>
        <v>1</v>
      </c>
      <c r="I16" s="15">
        <f>COUNTIF(handsmoothed!I$2:I$47,$A16)</f>
        <v>1</v>
      </c>
      <c r="J16" s="15">
        <f>COUNTIF(handsmoothed!J$2:J$47,$A16)</f>
        <v>1</v>
      </c>
      <c r="K16" s="15">
        <f>COUNTIF(handsmoothed!K$2:K$47,$A16)</f>
        <v>1</v>
      </c>
      <c r="L16" s="15">
        <f>COUNTIF(handsmoothed!L$2:L$47,$A16)</f>
        <v>1</v>
      </c>
      <c r="M16" s="15">
        <f>COUNTIF(handsmoothed!M$2:M$47,$A16)</f>
        <v>2</v>
      </c>
      <c r="N16" s="15">
        <f>COUNTIF(handsmoothed!N$2:N$47,$A16)</f>
        <v>2</v>
      </c>
      <c r="P16" s="15">
        <v>15</v>
      </c>
      <c r="Q16" s="15">
        <f t="shared" si="0"/>
        <v>0</v>
      </c>
      <c r="R16" s="15">
        <f t="shared" si="1"/>
        <v>-1</v>
      </c>
      <c r="S16" s="15">
        <f t="shared" si="2"/>
        <v>0</v>
      </c>
      <c r="T16" s="15">
        <f t="shared" si="3"/>
        <v>0</v>
      </c>
      <c r="U16" s="15">
        <f t="shared" si="4"/>
        <v>0</v>
      </c>
      <c r="V16" s="15">
        <f t="shared" si="5"/>
        <v>1</v>
      </c>
      <c r="W16" s="15">
        <f t="shared" si="6"/>
        <v>0</v>
      </c>
      <c r="X16" s="15">
        <f t="shared" si="7"/>
        <v>0</v>
      </c>
      <c r="Y16" s="15">
        <f t="shared" si="8"/>
        <v>0</v>
      </c>
      <c r="Z16" s="15">
        <f t="shared" si="9"/>
        <v>0</v>
      </c>
      <c r="AA16" s="15">
        <f t="shared" si="10"/>
        <v>-1</v>
      </c>
      <c r="AB16" s="15">
        <f t="shared" si="11"/>
        <v>0</v>
      </c>
      <c r="AC16" s="15"/>
      <c r="AE16" s="15">
        <v>15</v>
      </c>
      <c r="AF16" s="15">
        <f t="shared" si="12"/>
        <v>1</v>
      </c>
      <c r="AG16" s="15">
        <f t="shared" si="13"/>
        <v>1</v>
      </c>
      <c r="AH16" s="15">
        <f t="shared" si="14"/>
        <v>0</v>
      </c>
      <c r="AI16" s="15">
        <f t="shared" si="15"/>
        <v>0</v>
      </c>
      <c r="AJ16" s="15">
        <f t="shared" si="16"/>
        <v>0</v>
      </c>
      <c r="AK16" s="15">
        <f t="shared" si="17"/>
        <v>0</v>
      </c>
      <c r="AL16" s="15">
        <f t="shared" si="18"/>
        <v>1</v>
      </c>
      <c r="AM16" s="15">
        <f t="shared" si="19"/>
        <v>1</v>
      </c>
      <c r="AN16" s="15">
        <f t="shared" si="20"/>
        <v>1</v>
      </c>
      <c r="AO16" s="15">
        <f t="shared" si="21"/>
        <v>1</v>
      </c>
      <c r="AP16" s="15">
        <f t="shared" si="22"/>
        <v>1</v>
      </c>
      <c r="AQ16" s="15">
        <f t="shared" si="23"/>
        <v>0</v>
      </c>
      <c r="AR16" s="15">
        <f t="shared" si="24"/>
        <v>0</v>
      </c>
    </row>
    <row r="17" spans="1:44" x14ac:dyDescent="0.25">
      <c r="A17" s="15">
        <v>16</v>
      </c>
      <c r="B17" s="15">
        <f>COUNTIF(handsmoothed!B$2:B$47,$A17)</f>
        <v>2</v>
      </c>
      <c r="C17" s="15">
        <f>COUNTIF(handsmoothed!C$2:C$47,$A17)</f>
        <v>2</v>
      </c>
      <c r="D17" s="15">
        <f>COUNTIF(handsmoothed!D$2:D$47,$A17)</f>
        <v>2</v>
      </c>
      <c r="E17" s="15">
        <f>COUNTIF(handsmoothed!E$2:E$47,$A17)</f>
        <v>2</v>
      </c>
      <c r="F17" s="15">
        <f>COUNTIF(handsmoothed!F$2:F$47,$A17)</f>
        <v>2</v>
      </c>
      <c r="G17" s="15">
        <f>COUNTIF(handsmoothed!G$2:G$47,$A17)</f>
        <v>2</v>
      </c>
      <c r="H17" s="15">
        <f>COUNTIF(handsmoothed!H$2:H$47,$A17)</f>
        <v>2</v>
      </c>
      <c r="I17" s="15">
        <f>COUNTIF(handsmoothed!I$2:I$47,$A17)</f>
        <v>2</v>
      </c>
      <c r="J17" s="15">
        <f>COUNTIF(handsmoothed!J$2:J$47,$A17)</f>
        <v>2</v>
      </c>
      <c r="K17" s="15">
        <f>COUNTIF(handsmoothed!K$2:K$47,$A17)</f>
        <v>2</v>
      </c>
      <c r="L17" s="15">
        <f>COUNTIF(handsmoothed!L$2:L$47,$A17)</f>
        <v>2</v>
      </c>
      <c r="M17" s="15">
        <f>COUNTIF(handsmoothed!M$2:M$47,$A17)</f>
        <v>2</v>
      </c>
      <c r="N17" s="15">
        <f>COUNTIF(handsmoothed!N$2:N$47,$A17)</f>
        <v>2</v>
      </c>
      <c r="P17" s="15">
        <v>16</v>
      </c>
      <c r="Q17" s="15">
        <f t="shared" si="0"/>
        <v>0</v>
      </c>
      <c r="R17" s="15">
        <f t="shared" si="1"/>
        <v>0</v>
      </c>
      <c r="S17" s="15">
        <f t="shared" si="2"/>
        <v>0</v>
      </c>
      <c r="T17" s="15">
        <f t="shared" si="3"/>
        <v>0</v>
      </c>
      <c r="U17" s="15">
        <f t="shared" si="4"/>
        <v>0</v>
      </c>
      <c r="V17" s="15">
        <f t="shared" si="5"/>
        <v>0</v>
      </c>
      <c r="W17" s="15">
        <f t="shared" si="6"/>
        <v>0</v>
      </c>
      <c r="X17" s="15">
        <f t="shared" si="7"/>
        <v>0</v>
      </c>
      <c r="Y17" s="15">
        <f t="shared" si="8"/>
        <v>0</v>
      </c>
      <c r="Z17" s="15">
        <f t="shared" si="9"/>
        <v>0</v>
      </c>
      <c r="AA17" s="15">
        <f t="shared" si="10"/>
        <v>0</v>
      </c>
      <c r="AB17" s="15">
        <f t="shared" si="11"/>
        <v>0</v>
      </c>
      <c r="AC17" s="15"/>
      <c r="AE17" s="15">
        <v>16</v>
      </c>
      <c r="AF17" s="15">
        <f t="shared" si="12"/>
        <v>0</v>
      </c>
      <c r="AG17" s="15">
        <f t="shared" si="13"/>
        <v>0</v>
      </c>
      <c r="AH17" s="15">
        <f t="shared" si="14"/>
        <v>0</v>
      </c>
      <c r="AI17" s="15">
        <f t="shared" si="15"/>
        <v>-1</v>
      </c>
      <c r="AJ17" s="15">
        <f t="shared" si="16"/>
        <v>-1</v>
      </c>
      <c r="AK17" s="15">
        <f t="shared" si="17"/>
        <v>-1</v>
      </c>
      <c r="AL17" s="15">
        <f t="shared" si="18"/>
        <v>-1</v>
      </c>
      <c r="AM17" s="15">
        <f t="shared" si="19"/>
        <v>-1</v>
      </c>
      <c r="AN17" s="15">
        <f t="shared" si="20"/>
        <v>-1</v>
      </c>
      <c r="AO17" s="15">
        <f t="shared" si="21"/>
        <v>-1</v>
      </c>
      <c r="AP17" s="15">
        <f t="shared" si="22"/>
        <v>-1</v>
      </c>
      <c r="AQ17" s="15">
        <f t="shared" si="23"/>
        <v>0</v>
      </c>
      <c r="AR17" s="15">
        <f t="shared" si="24"/>
        <v>0</v>
      </c>
    </row>
    <row r="18" spans="1:44" x14ac:dyDescent="0.25">
      <c r="A18" s="15">
        <v>17</v>
      </c>
      <c r="B18" s="15">
        <f>COUNTIF(handsmoothed!B$2:B$47,$A18)</f>
        <v>2</v>
      </c>
      <c r="C18" s="15">
        <f>COUNTIF(handsmoothed!C$2:C$47,$A18)</f>
        <v>2</v>
      </c>
      <c r="D18" s="15">
        <f>COUNTIF(handsmoothed!D$2:D$47,$A18)</f>
        <v>2</v>
      </c>
      <c r="E18" s="15">
        <f>COUNTIF(handsmoothed!E$2:E$47,$A18)</f>
        <v>1</v>
      </c>
      <c r="F18" s="15">
        <f>COUNTIF(handsmoothed!F$2:F$47,$A18)</f>
        <v>1</v>
      </c>
      <c r="G18" s="15">
        <f>COUNTIF(handsmoothed!G$2:G$47,$A18)</f>
        <v>1</v>
      </c>
      <c r="H18" s="15">
        <f>COUNTIF(handsmoothed!H$2:H$47,$A18)</f>
        <v>1</v>
      </c>
      <c r="I18" s="15">
        <f>COUNTIF(handsmoothed!I$2:I$47,$A18)</f>
        <v>1</v>
      </c>
      <c r="J18" s="15">
        <f>COUNTIF(handsmoothed!J$2:J$47,$A18)</f>
        <v>1</v>
      </c>
      <c r="K18" s="15">
        <f>COUNTIF(handsmoothed!K$2:K$47,$A18)</f>
        <v>1</v>
      </c>
      <c r="L18" s="15">
        <f>COUNTIF(handsmoothed!L$2:L$47,$A18)</f>
        <v>1</v>
      </c>
      <c r="M18" s="15">
        <f>COUNTIF(handsmoothed!M$2:M$47,$A18)</f>
        <v>2</v>
      </c>
      <c r="N18" s="15">
        <f>COUNTIF(handsmoothed!N$2:N$47,$A18)</f>
        <v>2</v>
      </c>
      <c r="P18" s="15">
        <v>17</v>
      </c>
      <c r="Q18" s="15">
        <f t="shared" si="0"/>
        <v>0</v>
      </c>
      <c r="R18" s="15">
        <f t="shared" si="1"/>
        <v>0</v>
      </c>
      <c r="S18" s="15">
        <f t="shared" si="2"/>
        <v>1</v>
      </c>
      <c r="T18" s="15">
        <f t="shared" si="3"/>
        <v>0</v>
      </c>
      <c r="U18" s="15">
        <f t="shared" si="4"/>
        <v>0</v>
      </c>
      <c r="V18" s="15">
        <f t="shared" si="5"/>
        <v>0</v>
      </c>
      <c r="W18" s="15">
        <f t="shared" si="6"/>
        <v>0</v>
      </c>
      <c r="X18" s="15">
        <f t="shared" si="7"/>
        <v>0</v>
      </c>
      <c r="Y18" s="15">
        <f t="shared" si="8"/>
        <v>0</v>
      </c>
      <c r="Z18" s="15">
        <f t="shared" si="9"/>
        <v>0</v>
      </c>
      <c r="AA18" s="15">
        <f t="shared" si="10"/>
        <v>-1</v>
      </c>
      <c r="AB18" s="15">
        <f t="shared" si="11"/>
        <v>0</v>
      </c>
      <c r="AC18" s="15"/>
      <c r="AE18" s="15">
        <v>17</v>
      </c>
      <c r="AF18" s="15">
        <f t="shared" si="12"/>
        <v>1</v>
      </c>
      <c r="AG18" s="15">
        <f t="shared" si="13"/>
        <v>1</v>
      </c>
      <c r="AH18" s="15">
        <f t="shared" si="14"/>
        <v>0</v>
      </c>
      <c r="AI18" s="15">
        <f t="shared" si="15"/>
        <v>1</v>
      </c>
      <c r="AJ18" s="15">
        <f t="shared" si="16"/>
        <v>1</v>
      </c>
      <c r="AK18" s="15">
        <f t="shared" si="17"/>
        <v>0</v>
      </c>
      <c r="AL18" s="15">
        <f t="shared" si="18"/>
        <v>0</v>
      </c>
      <c r="AM18" s="15">
        <f t="shared" si="19"/>
        <v>0</v>
      </c>
      <c r="AN18" s="15">
        <f t="shared" si="20"/>
        <v>0</v>
      </c>
      <c r="AO18" s="15">
        <f t="shared" si="21"/>
        <v>0</v>
      </c>
      <c r="AP18" s="15">
        <f t="shared" si="22"/>
        <v>0</v>
      </c>
      <c r="AQ18" s="15">
        <f t="shared" si="23"/>
        <v>-1</v>
      </c>
      <c r="AR18" s="15">
        <f t="shared" si="24"/>
        <v>0</v>
      </c>
    </row>
    <row r="19" spans="1:44" x14ac:dyDescent="0.25">
      <c r="A19" s="15">
        <v>18</v>
      </c>
      <c r="B19" s="15">
        <f>COUNTIF(handsmoothed!B$2:B$47,$A19)</f>
        <v>3</v>
      </c>
      <c r="C19" s="15">
        <f>COUNTIF(handsmoothed!C$2:C$47,$A19)</f>
        <v>3</v>
      </c>
      <c r="D19" s="15">
        <f>COUNTIF(handsmoothed!D$2:D$47,$A19)</f>
        <v>2</v>
      </c>
      <c r="E19" s="15">
        <f>COUNTIF(handsmoothed!E$2:E$47,$A19)</f>
        <v>2</v>
      </c>
      <c r="F19" s="15">
        <f>COUNTIF(handsmoothed!F$2:F$47,$A19)</f>
        <v>2</v>
      </c>
      <c r="G19" s="15">
        <f>COUNTIF(handsmoothed!G$2:G$47,$A19)</f>
        <v>1</v>
      </c>
      <c r="H19" s="15">
        <f>COUNTIF(handsmoothed!H$2:H$47,$A19)</f>
        <v>1</v>
      </c>
      <c r="I19" s="15">
        <f>COUNTIF(handsmoothed!I$2:I$47,$A19)</f>
        <v>1</v>
      </c>
      <c r="J19" s="15">
        <f>COUNTIF(handsmoothed!J$2:J$47,$A19)</f>
        <v>1</v>
      </c>
      <c r="K19" s="15">
        <f>COUNTIF(handsmoothed!K$2:K$47,$A19)</f>
        <v>1</v>
      </c>
      <c r="L19" s="15">
        <f>COUNTIF(handsmoothed!L$2:L$47,$A19)</f>
        <v>1</v>
      </c>
      <c r="M19" s="15">
        <f>COUNTIF(handsmoothed!M$2:M$47,$A19)</f>
        <v>1</v>
      </c>
      <c r="N19" s="15">
        <f>COUNTIF(handsmoothed!N$2:N$47,$A19)</f>
        <v>2</v>
      </c>
      <c r="P19" s="15">
        <v>18</v>
      </c>
      <c r="Q19" s="15">
        <f t="shared" si="0"/>
        <v>0</v>
      </c>
      <c r="R19" s="15">
        <f t="shared" si="1"/>
        <v>1</v>
      </c>
      <c r="S19" s="15">
        <f t="shared" si="2"/>
        <v>0</v>
      </c>
      <c r="T19" s="15">
        <f t="shared" si="3"/>
        <v>0</v>
      </c>
      <c r="U19" s="15">
        <f t="shared" si="4"/>
        <v>1</v>
      </c>
      <c r="V19" s="15">
        <f t="shared" si="5"/>
        <v>0</v>
      </c>
      <c r="W19" s="15">
        <f t="shared" si="6"/>
        <v>0</v>
      </c>
      <c r="X19" s="15">
        <f t="shared" si="7"/>
        <v>0</v>
      </c>
      <c r="Y19" s="15">
        <f t="shared" si="8"/>
        <v>0</v>
      </c>
      <c r="Z19" s="15">
        <f t="shared" si="9"/>
        <v>0</v>
      </c>
      <c r="AA19" s="15">
        <f t="shared" si="10"/>
        <v>0</v>
      </c>
      <c r="AB19" s="15">
        <f t="shared" si="11"/>
        <v>-1</v>
      </c>
      <c r="AC19" s="15"/>
      <c r="AE19" s="15">
        <v>18</v>
      </c>
      <c r="AF19" s="15">
        <f>B20-B19</f>
        <v>3</v>
      </c>
      <c r="AG19" s="15">
        <f t="shared" si="13"/>
        <v>1</v>
      </c>
      <c r="AH19" s="15">
        <f t="shared" si="14"/>
        <v>1</v>
      </c>
      <c r="AI19" s="15">
        <f t="shared" si="15"/>
        <v>0</v>
      </c>
      <c r="AJ19" s="15">
        <f t="shared" si="16"/>
        <v>-1</v>
      </c>
      <c r="AK19" s="15">
        <f t="shared" si="17"/>
        <v>0</v>
      </c>
      <c r="AL19" s="15">
        <f t="shared" si="18"/>
        <v>0</v>
      </c>
      <c r="AM19" s="15">
        <f t="shared" si="19"/>
        <v>0</v>
      </c>
      <c r="AN19" s="15">
        <f t="shared" si="20"/>
        <v>0</v>
      </c>
      <c r="AO19" s="15">
        <f t="shared" si="21"/>
        <v>0</v>
      </c>
      <c r="AP19" s="15">
        <f t="shared" si="22"/>
        <v>0</v>
      </c>
      <c r="AQ19" s="15">
        <f t="shared" si="23"/>
        <v>0</v>
      </c>
      <c r="AR19" s="15">
        <f t="shared" si="24"/>
        <v>-1</v>
      </c>
    </row>
    <row r="20" spans="1:44" x14ac:dyDescent="0.25">
      <c r="A20" s="15">
        <v>19</v>
      </c>
      <c r="B20" s="15">
        <f>COUNTIF(handsmoothed!B$2:B$47,$A20)</f>
        <v>6</v>
      </c>
      <c r="C20" s="15">
        <f>COUNTIF(handsmoothed!C$2:C$47,$A20)</f>
        <v>4</v>
      </c>
      <c r="D20" s="15">
        <f>COUNTIF(handsmoothed!D$2:D$47,$A20)</f>
        <v>3</v>
      </c>
      <c r="E20" s="15">
        <f>COUNTIF(handsmoothed!E$2:E$47,$A20)</f>
        <v>2</v>
      </c>
      <c r="F20" s="15">
        <f>COUNTIF(handsmoothed!F$2:F$47,$A20)</f>
        <v>1</v>
      </c>
      <c r="G20" s="15">
        <f>COUNTIF(handsmoothed!G$2:G$47,$A20)</f>
        <v>1</v>
      </c>
      <c r="H20" s="15">
        <f>COUNTIF(handsmoothed!H$2:H$47,$A20)</f>
        <v>1</v>
      </c>
      <c r="I20" s="15">
        <f>COUNTIF(handsmoothed!I$2:I$47,$A20)</f>
        <v>1</v>
      </c>
      <c r="J20" s="15">
        <f>COUNTIF(handsmoothed!J$2:J$47,$A20)</f>
        <v>1</v>
      </c>
      <c r="K20" s="15">
        <f>COUNTIF(handsmoothed!K$2:K$47,$A20)</f>
        <v>1</v>
      </c>
      <c r="L20" s="15">
        <f>COUNTIF(handsmoothed!L$2:L$47,$A20)</f>
        <v>1</v>
      </c>
      <c r="M20" s="15">
        <f>COUNTIF(handsmoothed!M$2:M$47,$A20)</f>
        <v>1</v>
      </c>
      <c r="N20" s="15">
        <f>COUNTIF(handsmoothed!N$2:N$47,$A20)</f>
        <v>1</v>
      </c>
      <c r="P20" s="15">
        <v>19</v>
      </c>
      <c r="Q20" s="15">
        <f t="shared" si="0"/>
        <v>2</v>
      </c>
      <c r="R20" s="15">
        <f t="shared" si="1"/>
        <v>1</v>
      </c>
      <c r="S20" s="15">
        <f t="shared" si="2"/>
        <v>1</v>
      </c>
      <c r="T20" s="15">
        <f t="shared" si="3"/>
        <v>1</v>
      </c>
      <c r="U20" s="15">
        <f t="shared" si="4"/>
        <v>0</v>
      </c>
      <c r="V20" s="15">
        <f t="shared" si="5"/>
        <v>0</v>
      </c>
      <c r="W20" s="15">
        <f t="shared" si="6"/>
        <v>0</v>
      </c>
      <c r="X20" s="15">
        <f t="shared" si="7"/>
        <v>0</v>
      </c>
      <c r="Y20" s="15">
        <f t="shared" si="8"/>
        <v>0</v>
      </c>
      <c r="Z20" s="15">
        <f t="shared" si="9"/>
        <v>0</v>
      </c>
      <c r="AA20" s="15">
        <f t="shared" si="10"/>
        <v>0</v>
      </c>
      <c r="AB20" s="15">
        <f t="shared" si="11"/>
        <v>0</v>
      </c>
      <c r="AC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</row>
  </sheetData>
  <conditionalFormatting sqref="B2:N20">
    <cfRule type="cellIs" dxfId="32" priority="3" operator="equal">
      <formula>0</formula>
    </cfRule>
  </conditionalFormatting>
  <conditionalFormatting sqref="Q2:AB20">
    <cfRule type="cellIs" dxfId="31" priority="2" operator="notBetween">
      <formula>-1</formula>
      <formula>1</formula>
    </cfRule>
  </conditionalFormatting>
  <conditionalFormatting sqref="AF2:AR19">
    <cfRule type="cellIs" dxfId="30" priority="1" operator="notBetween">
      <formula>-1</formula>
      <formula>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70"/>
  <sheetViews>
    <sheetView zoomScaleNormal="100" workbookViewId="0">
      <selection activeCell="G14" sqref="G14"/>
    </sheetView>
  </sheetViews>
  <sheetFormatPr defaultColWidth="8.7109375" defaultRowHeight="12" customHeight="1" x14ac:dyDescent="0.2"/>
  <cols>
    <col min="1" max="1" width="5.42578125" style="20" bestFit="1" customWidth="1"/>
    <col min="2" max="13" width="6.7109375" style="20" bestFit="1" customWidth="1"/>
    <col min="14" max="14" width="5.5703125" style="20" bestFit="1" customWidth="1"/>
    <col min="15" max="15" width="7" style="20" bestFit="1" customWidth="1"/>
    <col min="16" max="24" width="5" style="20" bestFit="1" customWidth="1"/>
    <col min="25" max="28" width="6" style="20" bestFit="1" customWidth="1"/>
    <col min="29" max="16384" width="8.7109375" style="20"/>
  </cols>
  <sheetData>
    <row r="1" spans="1:28" ht="12.75" x14ac:dyDescent="0.2">
      <c r="A1" s="18" t="s">
        <v>0</v>
      </c>
      <c r="B1" s="19" t="s">
        <v>101</v>
      </c>
      <c r="C1" s="19" t="s">
        <v>100</v>
      </c>
      <c r="D1" s="19" t="s">
        <v>99</v>
      </c>
      <c r="E1" s="19" t="s">
        <v>98</v>
      </c>
      <c r="F1" s="19" t="s">
        <v>97</v>
      </c>
      <c r="G1" s="19" t="s">
        <v>96</v>
      </c>
      <c r="H1" s="19" t="s">
        <v>95</v>
      </c>
      <c r="I1" s="19" t="s">
        <v>94</v>
      </c>
      <c r="J1" s="19" t="s">
        <v>93</v>
      </c>
      <c r="K1" s="19" t="s">
        <v>92</v>
      </c>
      <c r="L1" s="19" t="s">
        <v>91</v>
      </c>
      <c r="M1" s="19" t="s">
        <v>90</v>
      </c>
      <c r="N1" s="19" t="s">
        <v>89</v>
      </c>
      <c r="O1" s="20" t="s">
        <v>56</v>
      </c>
      <c r="P1" s="20" t="s">
        <v>57</v>
      </c>
      <c r="Q1" s="20" t="s">
        <v>58</v>
      </c>
      <c r="R1" s="20" t="s">
        <v>59</v>
      </c>
      <c r="S1" s="20" t="s">
        <v>60</v>
      </c>
      <c r="T1" s="20" t="s">
        <v>61</v>
      </c>
      <c r="U1" s="20" t="s">
        <v>62</v>
      </c>
      <c r="V1" s="20" t="s">
        <v>63</v>
      </c>
      <c r="W1" s="20" t="s">
        <v>64</v>
      </c>
      <c r="X1" s="20" t="s">
        <v>65</v>
      </c>
      <c r="Y1" s="20" t="s">
        <v>66</v>
      </c>
      <c r="Z1" s="20" t="s">
        <v>67</v>
      </c>
      <c r="AA1" s="20" t="s">
        <v>68</v>
      </c>
      <c r="AB1" s="20" t="s">
        <v>69</v>
      </c>
    </row>
    <row r="2" spans="1:28" ht="12.75" x14ac:dyDescent="0.2">
      <c r="A2" s="21">
        <v>0</v>
      </c>
      <c r="B2" s="22" t="s">
        <v>70</v>
      </c>
      <c r="C2" s="22" t="s">
        <v>70</v>
      </c>
      <c r="D2" s="22" t="s">
        <v>70</v>
      </c>
      <c r="E2" s="22" t="s">
        <v>70</v>
      </c>
      <c r="F2" s="22">
        <v>1</v>
      </c>
      <c r="G2" s="22" t="s">
        <v>70</v>
      </c>
      <c r="H2" s="22" t="s">
        <v>70</v>
      </c>
      <c r="I2" s="22" t="s">
        <v>70</v>
      </c>
      <c r="J2" s="22" t="s">
        <v>70</v>
      </c>
      <c r="K2" s="22" t="s">
        <v>70</v>
      </c>
      <c r="L2" s="22" t="s">
        <v>70</v>
      </c>
      <c r="M2" s="22" t="s">
        <v>70</v>
      </c>
      <c r="N2" s="22" t="s">
        <v>70</v>
      </c>
      <c r="O2" s="20" t="s">
        <v>42</v>
      </c>
      <c r="P2" s="20">
        <f>handsmoothed!B2^2</f>
        <v>1</v>
      </c>
      <c r="Q2" s="20">
        <f>handsmoothed!C2^2</f>
        <v>1</v>
      </c>
      <c r="R2" s="20">
        <f>handsmoothed!D2^2</f>
        <v>1</v>
      </c>
      <c r="S2" s="20">
        <f>handsmoothed!E2^2</f>
        <v>1</v>
      </c>
      <c r="T2" s="20">
        <f>handsmoothed!F2^2</f>
        <v>1</v>
      </c>
      <c r="U2" s="20">
        <f>handsmoothed!G2^2</f>
        <v>1</v>
      </c>
      <c r="V2" s="20">
        <f>handsmoothed!H2^2</f>
        <v>1</v>
      </c>
      <c r="W2" s="20">
        <f>handsmoothed!I2^2</f>
        <v>1</v>
      </c>
      <c r="X2" s="20">
        <f>handsmoothed!J2^2</f>
        <v>1</v>
      </c>
      <c r="Y2" s="20">
        <f>handsmoothed!K2^2</f>
        <v>1</v>
      </c>
      <c r="Z2" s="20">
        <f>handsmoothed!L2^2</f>
        <v>1</v>
      </c>
      <c r="AA2" s="20">
        <f>handsmoothed!M2^2</f>
        <v>1</v>
      </c>
      <c r="AB2" s="20">
        <f>handsmoothed!N2^2</f>
        <v>1</v>
      </c>
    </row>
    <row r="3" spans="1:28" ht="12.75" x14ac:dyDescent="0.2">
      <c r="A3" s="20">
        <v>1</v>
      </c>
      <c r="B3" s="22" t="s">
        <v>70</v>
      </c>
      <c r="C3" s="22" t="s">
        <v>70</v>
      </c>
      <c r="D3" s="22" t="s">
        <v>70</v>
      </c>
      <c r="E3" s="22" t="s">
        <v>70</v>
      </c>
      <c r="F3" s="22" t="s">
        <v>70</v>
      </c>
      <c r="G3" s="22" t="s">
        <v>70</v>
      </c>
      <c r="H3" s="22" t="s">
        <v>70</v>
      </c>
      <c r="I3" s="22" t="s">
        <v>70</v>
      </c>
      <c r="J3" s="22" t="s">
        <v>70</v>
      </c>
      <c r="K3" s="22" t="s">
        <v>70</v>
      </c>
      <c r="L3" s="22" t="s">
        <v>70</v>
      </c>
      <c r="M3" s="22" t="s">
        <v>70</v>
      </c>
      <c r="N3" s="22" t="s">
        <v>70</v>
      </c>
      <c r="O3" s="20" t="s">
        <v>42</v>
      </c>
      <c r="P3" s="20">
        <f>handsmoothed!B3^2</f>
        <v>1</v>
      </c>
      <c r="Q3" s="20">
        <f>handsmoothed!C3^2</f>
        <v>1</v>
      </c>
      <c r="R3" s="20">
        <f>handsmoothed!D3^2</f>
        <v>1</v>
      </c>
      <c r="S3" s="20">
        <f>handsmoothed!E3^2</f>
        <v>1</v>
      </c>
      <c r="T3" s="20">
        <f>handsmoothed!F3^2</f>
        <v>1</v>
      </c>
      <c r="U3" s="20">
        <f>handsmoothed!G3^2</f>
        <v>1</v>
      </c>
      <c r="V3" s="20">
        <f>handsmoothed!H3^2</f>
        <v>1</v>
      </c>
      <c r="W3" s="20">
        <f>handsmoothed!I3^2</f>
        <v>1</v>
      </c>
      <c r="X3" s="20">
        <f>handsmoothed!J3^2</f>
        <v>1</v>
      </c>
      <c r="Y3" s="20">
        <f>handsmoothed!K3^2</f>
        <v>1</v>
      </c>
      <c r="Z3" s="20">
        <f>handsmoothed!L3^2</f>
        <v>1</v>
      </c>
      <c r="AA3" s="20">
        <f>handsmoothed!M3^2</f>
        <v>1</v>
      </c>
      <c r="AB3" s="20">
        <f>handsmoothed!N3^2</f>
        <v>1</v>
      </c>
    </row>
    <row r="4" spans="1:28" ht="12.75" x14ac:dyDescent="0.2">
      <c r="A4" s="21">
        <v>2</v>
      </c>
      <c r="B4" s="22" t="s">
        <v>70</v>
      </c>
      <c r="C4" s="22" t="s">
        <v>70</v>
      </c>
      <c r="D4" s="22" t="s">
        <v>70</v>
      </c>
      <c r="E4" s="22" t="s">
        <v>70</v>
      </c>
      <c r="F4" s="22" t="s">
        <v>70</v>
      </c>
      <c r="G4" s="22" t="s">
        <v>70</v>
      </c>
      <c r="H4" s="22" t="s">
        <v>70</v>
      </c>
      <c r="I4" s="22" t="s">
        <v>70</v>
      </c>
      <c r="J4" s="22" t="s">
        <v>70</v>
      </c>
      <c r="K4" s="22" t="s">
        <v>70</v>
      </c>
      <c r="L4" s="22" t="s">
        <v>70</v>
      </c>
      <c r="M4" s="22" t="s">
        <v>70</v>
      </c>
      <c r="N4" s="22" t="s">
        <v>70</v>
      </c>
      <c r="O4" s="20" t="s">
        <v>42</v>
      </c>
      <c r="P4" s="20">
        <f>handsmoothed!B4^2</f>
        <v>4</v>
      </c>
      <c r="Q4" s="20">
        <f>handsmoothed!C4^2</f>
        <v>1</v>
      </c>
      <c r="R4" s="20">
        <f>handsmoothed!D4^2</f>
        <v>1</v>
      </c>
      <c r="S4" s="20">
        <f>handsmoothed!E4^2</f>
        <v>1</v>
      </c>
      <c r="T4" s="20">
        <f>handsmoothed!F4^2</f>
        <v>1</v>
      </c>
      <c r="U4" s="20">
        <f>handsmoothed!G4^2</f>
        <v>1</v>
      </c>
      <c r="V4" s="20">
        <f>handsmoothed!H4^2</f>
        <v>1</v>
      </c>
      <c r="W4" s="20">
        <f>handsmoothed!I4^2</f>
        <v>1</v>
      </c>
      <c r="X4" s="20">
        <f>handsmoothed!J4^2</f>
        <v>1</v>
      </c>
      <c r="Y4" s="20">
        <f>handsmoothed!K4^2</f>
        <v>1</v>
      </c>
      <c r="Z4" s="20">
        <f>handsmoothed!L4^2</f>
        <v>1</v>
      </c>
      <c r="AA4" s="20">
        <f>handsmoothed!M4^2</f>
        <v>1</v>
      </c>
      <c r="AB4" s="20">
        <f>handsmoothed!N4^2</f>
        <v>4</v>
      </c>
    </row>
    <row r="5" spans="1:28" ht="12.75" x14ac:dyDescent="0.2">
      <c r="A5" s="21">
        <v>3</v>
      </c>
      <c r="B5" s="22" t="s">
        <v>70</v>
      </c>
      <c r="C5" s="22" t="s">
        <v>70</v>
      </c>
      <c r="D5" s="22" t="s">
        <v>70</v>
      </c>
      <c r="E5" s="22" t="s">
        <v>70</v>
      </c>
      <c r="F5" s="22" t="s">
        <v>70</v>
      </c>
      <c r="G5" s="22" t="s">
        <v>70</v>
      </c>
      <c r="H5" s="22" t="s">
        <v>70</v>
      </c>
      <c r="I5" s="22" t="s">
        <v>70</v>
      </c>
      <c r="J5" s="22" t="s">
        <v>70</v>
      </c>
      <c r="K5" s="22" t="s">
        <v>70</v>
      </c>
      <c r="L5" s="22" t="s">
        <v>70</v>
      </c>
      <c r="M5" s="22" t="s">
        <v>70</v>
      </c>
      <c r="N5" s="22" t="s">
        <v>70</v>
      </c>
      <c r="O5" s="20" t="s">
        <v>42</v>
      </c>
      <c r="P5" s="20">
        <f>handsmoothed!B5^2</f>
        <v>4</v>
      </c>
      <c r="Q5" s="20">
        <f>handsmoothed!C5^2</f>
        <v>4</v>
      </c>
      <c r="R5" s="20">
        <f>handsmoothed!D5^2</f>
        <v>1</v>
      </c>
      <c r="S5" s="20">
        <f>handsmoothed!E5^2</f>
        <v>1</v>
      </c>
      <c r="T5" s="20">
        <f>handsmoothed!F5^2</f>
        <v>1</v>
      </c>
      <c r="U5" s="20">
        <f>handsmoothed!G5^2</f>
        <v>1</v>
      </c>
      <c r="V5" s="20">
        <f>handsmoothed!H5^2</f>
        <v>1</v>
      </c>
      <c r="W5" s="20">
        <f>handsmoothed!I5^2</f>
        <v>1</v>
      </c>
      <c r="X5" s="20">
        <f>handsmoothed!J5^2</f>
        <v>4</v>
      </c>
      <c r="Y5" s="20">
        <f>handsmoothed!K5^2</f>
        <v>4</v>
      </c>
      <c r="Z5" s="20">
        <f>handsmoothed!L5^2</f>
        <v>4</v>
      </c>
      <c r="AA5" s="20">
        <f>handsmoothed!M5^2</f>
        <v>4</v>
      </c>
      <c r="AB5" s="20">
        <f>handsmoothed!N5^2</f>
        <v>4</v>
      </c>
    </row>
    <row r="6" spans="1:28" ht="12.75" x14ac:dyDescent="0.2">
      <c r="A6" s="21">
        <v>4</v>
      </c>
      <c r="B6" s="22" t="s">
        <v>70</v>
      </c>
      <c r="C6" s="22" t="s">
        <v>70</v>
      </c>
      <c r="D6" s="22" t="s">
        <v>70</v>
      </c>
      <c r="E6" s="22">
        <v>1</v>
      </c>
      <c r="F6" s="22">
        <v>1</v>
      </c>
      <c r="G6" s="22" t="s">
        <v>70</v>
      </c>
      <c r="H6" s="22" t="s">
        <v>70</v>
      </c>
      <c r="I6" s="22">
        <v>1</v>
      </c>
      <c r="J6" s="22" t="s">
        <v>70</v>
      </c>
      <c r="K6" s="22" t="s">
        <v>70</v>
      </c>
      <c r="L6" s="22" t="s">
        <v>70</v>
      </c>
      <c r="M6" s="22" t="s">
        <v>70</v>
      </c>
      <c r="N6" s="22" t="s">
        <v>70</v>
      </c>
      <c r="O6" s="20" t="s">
        <v>42</v>
      </c>
      <c r="P6" s="20">
        <f>handsmoothed!B6^2</f>
        <v>9</v>
      </c>
      <c r="Q6" s="20">
        <f>handsmoothed!C6^2</f>
        <v>4</v>
      </c>
      <c r="R6" s="20">
        <f>handsmoothed!D6^2</f>
        <v>4</v>
      </c>
      <c r="S6" s="20">
        <f>handsmoothed!E6^2</f>
        <v>4</v>
      </c>
      <c r="T6" s="20">
        <f>handsmoothed!F6^2</f>
        <v>4</v>
      </c>
      <c r="U6" s="20">
        <f>handsmoothed!G6^2</f>
        <v>4</v>
      </c>
      <c r="V6" s="20">
        <f>handsmoothed!H6^2</f>
        <v>4</v>
      </c>
      <c r="W6" s="20">
        <f>handsmoothed!I6^2</f>
        <v>4</v>
      </c>
      <c r="X6" s="20">
        <f>handsmoothed!J6^2</f>
        <v>4</v>
      </c>
      <c r="Y6" s="20">
        <f>handsmoothed!K6^2</f>
        <v>4</v>
      </c>
      <c r="Z6" s="20">
        <f>handsmoothed!L6^2</f>
        <v>4</v>
      </c>
      <c r="AA6" s="20">
        <f>handsmoothed!M6^2</f>
        <v>4</v>
      </c>
      <c r="AB6" s="20">
        <f>handsmoothed!N6^2</f>
        <v>9</v>
      </c>
    </row>
    <row r="7" spans="1:28" ht="12.75" x14ac:dyDescent="0.2">
      <c r="A7" s="21">
        <v>5</v>
      </c>
      <c r="B7" s="22" t="s">
        <v>70</v>
      </c>
      <c r="C7" s="22" t="s">
        <v>70</v>
      </c>
      <c r="D7" s="22" t="s">
        <v>70</v>
      </c>
      <c r="E7" s="22" t="s">
        <v>70</v>
      </c>
      <c r="F7" s="22" t="s">
        <v>70</v>
      </c>
      <c r="G7" s="22" t="s">
        <v>70</v>
      </c>
      <c r="H7" s="22" t="s">
        <v>70</v>
      </c>
      <c r="I7" s="22">
        <v>1</v>
      </c>
      <c r="J7" s="22" t="s">
        <v>70</v>
      </c>
      <c r="K7" s="22" t="s">
        <v>70</v>
      </c>
      <c r="L7" s="22" t="s">
        <v>70</v>
      </c>
      <c r="M7" s="22" t="s">
        <v>70</v>
      </c>
      <c r="N7" s="22" t="s">
        <v>70</v>
      </c>
      <c r="O7" s="20" t="s">
        <v>42</v>
      </c>
      <c r="P7" s="20">
        <f>handsmoothed!B7^2</f>
        <v>9</v>
      </c>
      <c r="Q7" s="20">
        <f>handsmoothed!C7^2</f>
        <v>9</v>
      </c>
      <c r="R7" s="20">
        <f>handsmoothed!D7^2</f>
        <v>4</v>
      </c>
      <c r="S7" s="20">
        <f>handsmoothed!E7^2</f>
        <v>4</v>
      </c>
      <c r="T7" s="20">
        <f>handsmoothed!F7^2</f>
        <v>4</v>
      </c>
      <c r="U7" s="20">
        <f>handsmoothed!G7^2</f>
        <v>4</v>
      </c>
      <c r="V7" s="20">
        <f>handsmoothed!H7^2</f>
        <v>4</v>
      </c>
      <c r="W7" s="20">
        <f>handsmoothed!I7^2</f>
        <v>4</v>
      </c>
      <c r="X7" s="20">
        <f>handsmoothed!J7^2</f>
        <v>9</v>
      </c>
      <c r="Y7" s="20">
        <f>handsmoothed!K7^2</f>
        <v>9</v>
      </c>
      <c r="Z7" s="20">
        <f>handsmoothed!L7^2</f>
        <v>9</v>
      </c>
      <c r="AA7" s="20">
        <f>handsmoothed!M7^2</f>
        <v>9</v>
      </c>
      <c r="AB7" s="20">
        <f>handsmoothed!N7^2</f>
        <v>9</v>
      </c>
    </row>
    <row r="8" spans="1:28" ht="12.75" x14ac:dyDescent="0.2">
      <c r="A8" s="21">
        <v>6</v>
      </c>
      <c r="B8" s="22" t="s">
        <v>70</v>
      </c>
      <c r="C8" s="22" t="s">
        <v>70</v>
      </c>
      <c r="D8" s="22" t="s">
        <v>70</v>
      </c>
      <c r="E8" s="22" t="s">
        <v>70</v>
      </c>
      <c r="F8" s="22" t="s">
        <v>70</v>
      </c>
      <c r="G8" s="22" t="s">
        <v>70</v>
      </c>
      <c r="H8" s="22" t="s">
        <v>70</v>
      </c>
      <c r="I8" s="22" t="s">
        <v>70</v>
      </c>
      <c r="J8" s="22" t="s">
        <v>70</v>
      </c>
      <c r="K8" s="22" t="s">
        <v>70</v>
      </c>
      <c r="L8" s="22" t="s">
        <v>70</v>
      </c>
      <c r="M8" s="22" t="s">
        <v>70</v>
      </c>
      <c r="N8" s="22" t="s">
        <v>70</v>
      </c>
      <c r="O8" s="20" t="s">
        <v>42</v>
      </c>
      <c r="P8" s="20">
        <f>handsmoothed!B8^2</f>
        <v>16</v>
      </c>
      <c r="Q8" s="20">
        <f>handsmoothed!C8^2</f>
        <v>9</v>
      </c>
      <c r="R8" s="20">
        <f>handsmoothed!D8^2</f>
        <v>9</v>
      </c>
      <c r="S8" s="20">
        <f>handsmoothed!E8^2</f>
        <v>9</v>
      </c>
      <c r="T8" s="20">
        <f>handsmoothed!F8^2</f>
        <v>9</v>
      </c>
      <c r="U8" s="20">
        <f>handsmoothed!G8^2</f>
        <v>9</v>
      </c>
      <c r="V8" s="20">
        <f>handsmoothed!H8^2</f>
        <v>9</v>
      </c>
      <c r="W8" s="20">
        <f>handsmoothed!I8^2</f>
        <v>9</v>
      </c>
      <c r="X8" s="20">
        <f>handsmoothed!J8^2</f>
        <v>9</v>
      </c>
      <c r="Y8" s="20">
        <f>handsmoothed!K8^2</f>
        <v>9</v>
      </c>
      <c r="Z8" s="20">
        <f>handsmoothed!L8^2</f>
        <v>9</v>
      </c>
      <c r="AA8" s="20">
        <f>handsmoothed!M8^2</f>
        <v>9</v>
      </c>
      <c r="AB8" s="20">
        <f>handsmoothed!N8^2</f>
        <v>9</v>
      </c>
    </row>
    <row r="9" spans="1:28" ht="12.75" x14ac:dyDescent="0.2">
      <c r="A9" s="21">
        <v>7</v>
      </c>
      <c r="B9" s="22" t="s">
        <v>70</v>
      </c>
      <c r="C9" s="22">
        <v>1</v>
      </c>
      <c r="D9" s="22" t="s">
        <v>70</v>
      </c>
      <c r="E9" s="22" t="s">
        <v>70</v>
      </c>
      <c r="F9" s="22">
        <v>1</v>
      </c>
      <c r="G9" s="22">
        <v>2</v>
      </c>
      <c r="H9" s="22">
        <v>1</v>
      </c>
      <c r="I9" s="22">
        <v>1</v>
      </c>
      <c r="J9" s="22">
        <v>2</v>
      </c>
      <c r="K9" s="22" t="s">
        <v>70</v>
      </c>
      <c r="L9" s="22" t="s">
        <v>70</v>
      </c>
      <c r="M9" s="22" t="s">
        <v>70</v>
      </c>
      <c r="N9" s="22" t="s">
        <v>70</v>
      </c>
      <c r="O9" s="20" t="s">
        <v>42</v>
      </c>
      <c r="P9" s="20">
        <f>handsmoothed!B9^2</f>
        <v>16</v>
      </c>
      <c r="Q9" s="20">
        <f>handsmoothed!C9^2</f>
        <v>9</v>
      </c>
      <c r="R9" s="20">
        <f>handsmoothed!D9^2</f>
        <v>9</v>
      </c>
      <c r="S9" s="20">
        <f>handsmoothed!E9^2</f>
        <v>9</v>
      </c>
      <c r="T9" s="20">
        <f>handsmoothed!F9^2</f>
        <v>9</v>
      </c>
      <c r="U9" s="20">
        <f>handsmoothed!G9^2</f>
        <v>9</v>
      </c>
      <c r="V9" s="20">
        <f>handsmoothed!H9^2</f>
        <v>9</v>
      </c>
      <c r="W9" s="20">
        <f>handsmoothed!I9^2</f>
        <v>9</v>
      </c>
      <c r="X9" s="20">
        <f>handsmoothed!J9^2</f>
        <v>9</v>
      </c>
      <c r="Y9" s="20">
        <f>handsmoothed!K9^2</f>
        <v>9</v>
      </c>
      <c r="Z9" s="20">
        <f>handsmoothed!L9^2</f>
        <v>9</v>
      </c>
      <c r="AA9" s="20">
        <f>handsmoothed!M9^2</f>
        <v>9</v>
      </c>
      <c r="AB9" s="20">
        <f>handsmoothed!N9^2</f>
        <v>16</v>
      </c>
    </row>
    <row r="10" spans="1:28" ht="12.75" x14ac:dyDescent="0.2">
      <c r="A10" s="21">
        <v>8</v>
      </c>
      <c r="B10" s="22" t="s">
        <v>70</v>
      </c>
      <c r="C10" s="22" t="s">
        <v>70</v>
      </c>
      <c r="D10" s="22" t="s">
        <v>70</v>
      </c>
      <c r="E10" s="22">
        <v>1</v>
      </c>
      <c r="F10" s="22">
        <v>1</v>
      </c>
      <c r="G10" s="22">
        <v>1</v>
      </c>
      <c r="H10" s="22" t="s">
        <v>70</v>
      </c>
      <c r="I10" s="22">
        <v>1</v>
      </c>
      <c r="J10" s="22">
        <v>2</v>
      </c>
      <c r="K10" s="22" t="s">
        <v>70</v>
      </c>
      <c r="L10" s="22" t="s">
        <v>70</v>
      </c>
      <c r="M10" s="22">
        <v>1</v>
      </c>
      <c r="N10" s="22" t="s">
        <v>70</v>
      </c>
      <c r="O10" s="20" t="s">
        <v>42</v>
      </c>
      <c r="P10" s="20">
        <f>handsmoothed!B10^2</f>
        <v>16</v>
      </c>
      <c r="Q10" s="20">
        <f>handsmoothed!C10^2</f>
        <v>16</v>
      </c>
      <c r="R10" s="20">
        <f>handsmoothed!D10^2</f>
        <v>9</v>
      </c>
      <c r="S10" s="20">
        <f>handsmoothed!E10^2</f>
        <v>9</v>
      </c>
      <c r="T10" s="20">
        <f>handsmoothed!F10^2</f>
        <v>9</v>
      </c>
      <c r="U10" s="20">
        <f>handsmoothed!G10^2</f>
        <v>9</v>
      </c>
      <c r="V10" s="20">
        <f>handsmoothed!H10^2</f>
        <v>9</v>
      </c>
      <c r="W10" s="20">
        <f>handsmoothed!I10^2</f>
        <v>9</v>
      </c>
      <c r="X10" s="20">
        <f>handsmoothed!J10^2</f>
        <v>16</v>
      </c>
      <c r="Y10" s="20">
        <f>handsmoothed!K10^2</f>
        <v>16</v>
      </c>
      <c r="Z10" s="20">
        <f>handsmoothed!L10^2</f>
        <v>16</v>
      </c>
      <c r="AA10" s="20">
        <f>handsmoothed!M10^2</f>
        <v>16</v>
      </c>
      <c r="AB10" s="20">
        <f>handsmoothed!N10^2</f>
        <v>16</v>
      </c>
    </row>
    <row r="11" spans="1:28" ht="12.75" x14ac:dyDescent="0.2">
      <c r="A11" s="21">
        <v>9</v>
      </c>
      <c r="B11" s="22">
        <v>3</v>
      </c>
      <c r="C11" s="22">
        <v>2</v>
      </c>
      <c r="D11" s="22">
        <v>3</v>
      </c>
      <c r="E11" s="22" t="s">
        <v>70</v>
      </c>
      <c r="F11" s="22">
        <v>2</v>
      </c>
      <c r="G11" s="22">
        <v>3</v>
      </c>
      <c r="H11" s="22">
        <v>1</v>
      </c>
      <c r="I11" s="22">
        <v>2</v>
      </c>
      <c r="J11" s="22">
        <v>3</v>
      </c>
      <c r="K11" s="22" t="s">
        <v>70</v>
      </c>
      <c r="L11" s="22">
        <v>2</v>
      </c>
      <c r="M11" s="22" t="s">
        <v>70</v>
      </c>
      <c r="N11" s="22" t="s">
        <v>70</v>
      </c>
      <c r="O11" s="20" t="s">
        <v>42</v>
      </c>
      <c r="P11" s="20">
        <f>handsmoothed!B11^2</f>
        <v>25</v>
      </c>
      <c r="Q11" s="20">
        <f>handsmoothed!C11^2</f>
        <v>16</v>
      </c>
      <c r="R11" s="20">
        <f>handsmoothed!D11^2</f>
        <v>16</v>
      </c>
      <c r="S11" s="20">
        <f>handsmoothed!E11^2</f>
        <v>16</v>
      </c>
      <c r="T11" s="20">
        <f>handsmoothed!F11^2</f>
        <v>16</v>
      </c>
      <c r="U11" s="20">
        <f>handsmoothed!G11^2</f>
        <v>16</v>
      </c>
      <c r="V11" s="20">
        <f>handsmoothed!H11^2</f>
        <v>16</v>
      </c>
      <c r="W11" s="20">
        <f>handsmoothed!I11^2</f>
        <v>16</v>
      </c>
      <c r="X11" s="20">
        <f>handsmoothed!J11^2</f>
        <v>16</v>
      </c>
      <c r="Y11" s="20">
        <f>handsmoothed!K11^2</f>
        <v>16</v>
      </c>
      <c r="Z11" s="20">
        <f>handsmoothed!L11^2</f>
        <v>16</v>
      </c>
      <c r="AA11" s="20">
        <f>handsmoothed!M11^2</f>
        <v>16</v>
      </c>
      <c r="AB11" s="20">
        <f>handsmoothed!N11^2</f>
        <v>16</v>
      </c>
    </row>
    <row r="12" spans="1:28" ht="12.75" x14ac:dyDescent="0.2">
      <c r="A12" s="21">
        <v>10</v>
      </c>
      <c r="B12" s="22">
        <v>1</v>
      </c>
      <c r="C12" s="22">
        <v>3</v>
      </c>
      <c r="D12" s="22" t="s">
        <v>70</v>
      </c>
      <c r="E12" s="22">
        <v>1</v>
      </c>
      <c r="F12" s="22">
        <v>1</v>
      </c>
      <c r="G12" s="22" t="s">
        <v>70</v>
      </c>
      <c r="H12" s="22">
        <v>1</v>
      </c>
      <c r="I12" s="22" t="s">
        <v>70</v>
      </c>
      <c r="J12" s="22" t="s">
        <v>70</v>
      </c>
      <c r="K12" s="22" t="s">
        <v>70</v>
      </c>
      <c r="L12" s="22" t="s">
        <v>70</v>
      </c>
      <c r="M12" s="22" t="s">
        <v>70</v>
      </c>
      <c r="N12" s="22">
        <v>1</v>
      </c>
      <c r="O12" s="20" t="s">
        <v>42</v>
      </c>
      <c r="P12" s="20">
        <f>handsmoothed!B12^2</f>
        <v>25</v>
      </c>
      <c r="Q12" s="20">
        <f>handsmoothed!C12^2</f>
        <v>16</v>
      </c>
      <c r="R12" s="20">
        <f>handsmoothed!D12^2</f>
        <v>16</v>
      </c>
      <c r="S12" s="20">
        <f>handsmoothed!E12^2</f>
        <v>16</v>
      </c>
      <c r="T12" s="20">
        <f>handsmoothed!F12^2</f>
        <v>16</v>
      </c>
      <c r="U12" s="20">
        <f>handsmoothed!G12^2</f>
        <v>16</v>
      </c>
      <c r="V12" s="20">
        <f>handsmoothed!H12^2</f>
        <v>16</v>
      </c>
      <c r="W12" s="20">
        <f>handsmoothed!I12^2</f>
        <v>16</v>
      </c>
      <c r="X12" s="20">
        <f>handsmoothed!J12^2</f>
        <v>16</v>
      </c>
      <c r="Y12" s="20">
        <f>handsmoothed!K12^2</f>
        <v>16</v>
      </c>
      <c r="Z12" s="20">
        <f>handsmoothed!L12^2</f>
        <v>16</v>
      </c>
      <c r="AA12" s="20">
        <f>handsmoothed!M12^2</f>
        <v>16</v>
      </c>
      <c r="AB12" s="20">
        <f>handsmoothed!N12^2</f>
        <v>25</v>
      </c>
    </row>
    <row r="13" spans="1:28" ht="12.75" x14ac:dyDescent="0.2">
      <c r="A13" s="21">
        <v>11</v>
      </c>
      <c r="B13" s="22">
        <v>7</v>
      </c>
      <c r="C13" s="22">
        <v>10</v>
      </c>
      <c r="D13" s="22">
        <v>3</v>
      </c>
      <c r="E13" s="22">
        <v>2</v>
      </c>
      <c r="F13" s="22">
        <v>3</v>
      </c>
      <c r="G13" s="22">
        <v>3</v>
      </c>
      <c r="H13" s="22">
        <v>3</v>
      </c>
      <c r="I13" s="22">
        <v>3</v>
      </c>
      <c r="J13" s="22">
        <v>3</v>
      </c>
      <c r="K13" s="22">
        <v>3</v>
      </c>
      <c r="L13" s="22" t="s">
        <v>70</v>
      </c>
      <c r="M13" s="22">
        <v>2</v>
      </c>
      <c r="N13" s="22">
        <v>2</v>
      </c>
      <c r="O13" s="20" t="s">
        <v>42</v>
      </c>
      <c r="P13" s="20">
        <f>handsmoothed!B13^2</f>
        <v>25</v>
      </c>
      <c r="Q13" s="20">
        <f>handsmoothed!C13^2</f>
        <v>25</v>
      </c>
      <c r="R13" s="20">
        <f>handsmoothed!D13^2</f>
        <v>16</v>
      </c>
      <c r="S13" s="20">
        <f>handsmoothed!E13^2</f>
        <v>16</v>
      </c>
      <c r="T13" s="20">
        <f>handsmoothed!F13^2</f>
        <v>16</v>
      </c>
      <c r="U13" s="20">
        <f>handsmoothed!G13^2</f>
        <v>16</v>
      </c>
      <c r="V13" s="20">
        <f>handsmoothed!H13^2</f>
        <v>16</v>
      </c>
      <c r="W13" s="20">
        <f>handsmoothed!I13^2</f>
        <v>16</v>
      </c>
      <c r="X13" s="20">
        <f>handsmoothed!J13^2</f>
        <v>16</v>
      </c>
      <c r="Y13" s="20">
        <f>handsmoothed!K13^2</f>
        <v>16</v>
      </c>
      <c r="Z13" s="20">
        <f>handsmoothed!L13^2</f>
        <v>16</v>
      </c>
      <c r="AA13" s="20">
        <f>handsmoothed!M13^2</f>
        <v>25</v>
      </c>
      <c r="AB13" s="20">
        <f>handsmoothed!N13^2</f>
        <v>25</v>
      </c>
    </row>
    <row r="14" spans="1:28" ht="12.75" x14ac:dyDescent="0.2">
      <c r="A14" s="21">
        <v>12</v>
      </c>
      <c r="B14" s="22">
        <v>5</v>
      </c>
      <c r="C14" s="22">
        <v>4</v>
      </c>
      <c r="D14" s="22">
        <v>1</v>
      </c>
      <c r="E14" s="22">
        <v>1</v>
      </c>
      <c r="F14" s="22">
        <v>1</v>
      </c>
      <c r="G14" s="22">
        <v>4</v>
      </c>
      <c r="H14" s="22">
        <v>2</v>
      </c>
      <c r="I14" s="22">
        <v>1</v>
      </c>
      <c r="J14" s="22">
        <v>3</v>
      </c>
      <c r="K14" s="22">
        <v>1</v>
      </c>
      <c r="L14" s="22">
        <v>2</v>
      </c>
      <c r="M14" s="22">
        <v>2</v>
      </c>
      <c r="N14" s="22">
        <v>3</v>
      </c>
      <c r="O14" s="20" t="s">
        <v>42</v>
      </c>
      <c r="P14" s="20">
        <f>handsmoothed!B14^2</f>
        <v>36</v>
      </c>
      <c r="Q14" s="20">
        <f>handsmoothed!C14^2</f>
        <v>25</v>
      </c>
      <c r="R14" s="20">
        <f>handsmoothed!D14^2</f>
        <v>25</v>
      </c>
      <c r="S14" s="20">
        <f>handsmoothed!E14^2</f>
        <v>25</v>
      </c>
      <c r="T14" s="20">
        <f>handsmoothed!F14^2</f>
        <v>25</v>
      </c>
      <c r="U14" s="20">
        <f>handsmoothed!G14^2</f>
        <v>25</v>
      </c>
      <c r="V14" s="20">
        <f>handsmoothed!H14^2</f>
        <v>25</v>
      </c>
      <c r="W14" s="20">
        <f>handsmoothed!I14^2</f>
        <v>25</v>
      </c>
      <c r="X14" s="20">
        <f>handsmoothed!J14^2</f>
        <v>25</v>
      </c>
      <c r="Y14" s="20">
        <f>handsmoothed!K14^2</f>
        <v>25</v>
      </c>
      <c r="Z14" s="20">
        <f>handsmoothed!L14^2</f>
        <v>25</v>
      </c>
      <c r="AA14" s="20">
        <f>handsmoothed!M14^2</f>
        <v>25</v>
      </c>
      <c r="AB14" s="20">
        <f>handsmoothed!N14^2</f>
        <v>36</v>
      </c>
    </row>
    <row r="15" spans="1:28" ht="12.75" x14ac:dyDescent="0.2">
      <c r="A15" s="21">
        <v>13</v>
      </c>
      <c r="B15" s="22">
        <v>19</v>
      </c>
      <c r="C15" s="22">
        <v>5</v>
      </c>
      <c r="D15" s="22">
        <v>6</v>
      </c>
      <c r="E15" s="22">
        <v>8</v>
      </c>
      <c r="F15" s="22">
        <v>5</v>
      </c>
      <c r="G15" s="22">
        <v>3</v>
      </c>
      <c r="H15" s="22">
        <v>3</v>
      </c>
      <c r="I15" s="22">
        <v>3</v>
      </c>
      <c r="J15" s="22">
        <v>2</v>
      </c>
      <c r="K15" s="22">
        <v>3</v>
      </c>
      <c r="L15" s="22">
        <v>3</v>
      </c>
      <c r="M15" s="22">
        <v>5</v>
      </c>
      <c r="N15" s="22">
        <v>4</v>
      </c>
      <c r="O15" s="20" t="s">
        <v>42</v>
      </c>
      <c r="P15" s="20">
        <f>handsmoothed!B15^2</f>
        <v>36</v>
      </c>
      <c r="Q15" s="20">
        <f>handsmoothed!C15^2</f>
        <v>36</v>
      </c>
      <c r="R15" s="20">
        <f>handsmoothed!D15^2</f>
        <v>25</v>
      </c>
      <c r="S15" s="20">
        <f>handsmoothed!E15^2</f>
        <v>25</v>
      </c>
      <c r="T15" s="20">
        <f>handsmoothed!F15^2</f>
        <v>25</v>
      </c>
      <c r="U15" s="20">
        <f>handsmoothed!G15^2</f>
        <v>25</v>
      </c>
      <c r="V15" s="20">
        <f>handsmoothed!H15^2</f>
        <v>25</v>
      </c>
      <c r="W15" s="20">
        <f>handsmoothed!I15^2</f>
        <v>25</v>
      </c>
      <c r="X15" s="20">
        <f>handsmoothed!J15^2</f>
        <v>25</v>
      </c>
      <c r="Y15" s="20">
        <f>handsmoothed!K15^2</f>
        <v>25</v>
      </c>
      <c r="Z15" s="20">
        <f>handsmoothed!L15^2</f>
        <v>25</v>
      </c>
      <c r="AA15" s="20">
        <f>handsmoothed!M15^2</f>
        <v>36</v>
      </c>
      <c r="AB15" s="20">
        <f>handsmoothed!N15^2</f>
        <v>36</v>
      </c>
    </row>
    <row r="16" spans="1:28" ht="12.75" x14ac:dyDescent="0.2">
      <c r="A16" s="21">
        <v>14</v>
      </c>
      <c r="B16" s="22">
        <v>8</v>
      </c>
      <c r="C16" s="22">
        <v>8</v>
      </c>
      <c r="D16" s="22">
        <v>1</v>
      </c>
      <c r="E16" s="22">
        <v>2</v>
      </c>
      <c r="F16" s="22">
        <v>3</v>
      </c>
      <c r="G16" s="22">
        <v>1</v>
      </c>
      <c r="H16" s="22">
        <v>2</v>
      </c>
      <c r="I16" s="22">
        <v>2</v>
      </c>
      <c r="J16" s="22">
        <v>2</v>
      </c>
      <c r="K16" s="22">
        <v>1</v>
      </c>
      <c r="L16" s="22">
        <v>2</v>
      </c>
      <c r="M16" s="22">
        <v>4</v>
      </c>
      <c r="N16" s="22">
        <v>3</v>
      </c>
      <c r="O16" s="20" t="s">
        <v>42</v>
      </c>
      <c r="P16" s="20">
        <f>handsmoothed!B16^2</f>
        <v>49</v>
      </c>
      <c r="Q16" s="20">
        <f>handsmoothed!C16^2</f>
        <v>36</v>
      </c>
      <c r="R16" s="20">
        <f>handsmoothed!D16^2</f>
        <v>36</v>
      </c>
      <c r="S16" s="20">
        <f>handsmoothed!E16^2</f>
        <v>25</v>
      </c>
      <c r="T16" s="20">
        <f>handsmoothed!F16^2</f>
        <v>25</v>
      </c>
      <c r="U16" s="20">
        <f>handsmoothed!G16^2</f>
        <v>25</v>
      </c>
      <c r="V16" s="20">
        <f>handsmoothed!H16^2</f>
        <v>25</v>
      </c>
      <c r="W16" s="20">
        <f>handsmoothed!I16^2</f>
        <v>25</v>
      </c>
      <c r="X16" s="20">
        <f>handsmoothed!J16^2</f>
        <v>25</v>
      </c>
      <c r="Y16" s="20">
        <f>handsmoothed!K16^2</f>
        <v>25</v>
      </c>
      <c r="Z16" s="20">
        <f>handsmoothed!L16^2</f>
        <v>25</v>
      </c>
      <c r="AA16" s="20">
        <f>handsmoothed!M16^2</f>
        <v>36</v>
      </c>
      <c r="AB16" s="20">
        <f>handsmoothed!N16^2</f>
        <v>36</v>
      </c>
    </row>
    <row r="17" spans="1:28" ht="12.75" x14ac:dyDescent="0.2">
      <c r="A17" s="21">
        <v>15</v>
      </c>
      <c r="B17" s="22">
        <v>14</v>
      </c>
      <c r="C17" s="22">
        <v>4</v>
      </c>
      <c r="D17" s="22">
        <v>2</v>
      </c>
      <c r="E17" s="22">
        <v>3</v>
      </c>
      <c r="F17" s="22">
        <v>5</v>
      </c>
      <c r="G17" s="22">
        <v>2</v>
      </c>
      <c r="H17" s="22">
        <v>4</v>
      </c>
      <c r="I17" s="22">
        <v>5</v>
      </c>
      <c r="J17" s="22">
        <v>2</v>
      </c>
      <c r="K17" s="22">
        <v>1</v>
      </c>
      <c r="L17" s="22" t="s">
        <v>70</v>
      </c>
      <c r="M17" s="22" t="s">
        <v>70</v>
      </c>
      <c r="N17" s="22">
        <v>4</v>
      </c>
      <c r="O17" s="20" t="s">
        <v>42</v>
      </c>
      <c r="P17" s="20">
        <f>handsmoothed!B17^2</f>
        <v>49</v>
      </c>
      <c r="Q17" s="20">
        <f>handsmoothed!C17^2</f>
        <v>49</v>
      </c>
      <c r="R17" s="20">
        <f>handsmoothed!D17^2</f>
        <v>36</v>
      </c>
      <c r="S17" s="20">
        <f>handsmoothed!E17^2</f>
        <v>36</v>
      </c>
      <c r="T17" s="20">
        <f>handsmoothed!F17^2</f>
        <v>36</v>
      </c>
      <c r="U17" s="20">
        <f>handsmoothed!G17^2</f>
        <v>36</v>
      </c>
      <c r="V17" s="20">
        <f>handsmoothed!H17^2</f>
        <v>25</v>
      </c>
      <c r="W17" s="20">
        <f>handsmoothed!I17^2</f>
        <v>25</v>
      </c>
      <c r="X17" s="20">
        <f>handsmoothed!J17^2</f>
        <v>36</v>
      </c>
      <c r="Y17" s="20">
        <f>handsmoothed!K17^2</f>
        <v>36</v>
      </c>
      <c r="Z17" s="20">
        <f>handsmoothed!L17^2</f>
        <v>36</v>
      </c>
      <c r="AA17" s="20">
        <f>handsmoothed!M17^2</f>
        <v>36</v>
      </c>
      <c r="AB17" s="20">
        <f>handsmoothed!N17^2</f>
        <v>49</v>
      </c>
    </row>
    <row r="18" spans="1:28" ht="12.75" x14ac:dyDescent="0.2">
      <c r="A18" s="21">
        <v>16</v>
      </c>
      <c r="B18" s="22">
        <v>3</v>
      </c>
      <c r="C18" s="22">
        <v>1</v>
      </c>
      <c r="D18" s="22">
        <v>2</v>
      </c>
      <c r="E18" s="22">
        <v>1</v>
      </c>
      <c r="F18" s="22">
        <v>1</v>
      </c>
      <c r="G18" s="22" t="s">
        <v>70</v>
      </c>
      <c r="H18" s="22" t="s">
        <v>70</v>
      </c>
      <c r="I18" s="22">
        <v>1</v>
      </c>
      <c r="J18" s="22">
        <v>2</v>
      </c>
      <c r="K18" s="22">
        <v>1</v>
      </c>
      <c r="L18" s="22" t="s">
        <v>70</v>
      </c>
      <c r="M18" s="22">
        <v>3</v>
      </c>
      <c r="N18" s="22">
        <v>1</v>
      </c>
      <c r="O18" s="20" t="s">
        <v>42</v>
      </c>
      <c r="P18" s="20">
        <f>handsmoothed!B18^2</f>
        <v>64</v>
      </c>
      <c r="Q18" s="20">
        <f>handsmoothed!C18^2</f>
        <v>49</v>
      </c>
      <c r="R18" s="20">
        <f>handsmoothed!D18^2</f>
        <v>49</v>
      </c>
      <c r="S18" s="20">
        <f>handsmoothed!E18^2</f>
        <v>36</v>
      </c>
      <c r="T18" s="20">
        <f>handsmoothed!F18^2</f>
        <v>36</v>
      </c>
      <c r="U18" s="20">
        <f>handsmoothed!G18^2</f>
        <v>36</v>
      </c>
      <c r="V18" s="20">
        <f>handsmoothed!H18^2</f>
        <v>36</v>
      </c>
      <c r="W18" s="20">
        <f>handsmoothed!I18^2</f>
        <v>36</v>
      </c>
      <c r="X18" s="20">
        <f>handsmoothed!J18^2</f>
        <v>36</v>
      </c>
      <c r="Y18" s="20">
        <f>handsmoothed!K18^2</f>
        <v>36</v>
      </c>
      <c r="Z18" s="20">
        <f>handsmoothed!L18^2</f>
        <v>36</v>
      </c>
      <c r="AA18" s="20">
        <f>handsmoothed!M18^2</f>
        <v>49</v>
      </c>
      <c r="AB18" s="20">
        <f>handsmoothed!N18^2</f>
        <v>49</v>
      </c>
    </row>
    <row r="19" spans="1:28" ht="12.75" x14ac:dyDescent="0.2">
      <c r="A19" s="21">
        <v>17</v>
      </c>
      <c r="B19" s="22">
        <v>5</v>
      </c>
      <c r="C19" s="22">
        <v>6</v>
      </c>
      <c r="D19" s="22">
        <v>3</v>
      </c>
      <c r="E19" s="22">
        <v>2</v>
      </c>
      <c r="F19" s="22">
        <v>1</v>
      </c>
      <c r="G19" s="22">
        <v>3</v>
      </c>
      <c r="H19" s="22">
        <v>2</v>
      </c>
      <c r="I19" s="22">
        <v>9</v>
      </c>
      <c r="J19" s="22">
        <v>3</v>
      </c>
      <c r="K19" s="22">
        <v>2</v>
      </c>
      <c r="L19" s="22">
        <v>1</v>
      </c>
      <c r="M19" s="22">
        <v>3</v>
      </c>
      <c r="N19" s="22">
        <v>1</v>
      </c>
      <c r="O19" s="20" t="s">
        <v>42</v>
      </c>
      <c r="P19" s="20">
        <f>handsmoothed!B19^2</f>
        <v>64</v>
      </c>
      <c r="Q19" s="20">
        <f>handsmoothed!C19^2</f>
        <v>64</v>
      </c>
      <c r="R19" s="20">
        <f>handsmoothed!D19^2</f>
        <v>49</v>
      </c>
      <c r="S19" s="20">
        <f>handsmoothed!E19^2</f>
        <v>49</v>
      </c>
      <c r="T19" s="20">
        <f>handsmoothed!F19^2</f>
        <v>36</v>
      </c>
      <c r="U19" s="20">
        <f>handsmoothed!G19^2</f>
        <v>36</v>
      </c>
      <c r="V19" s="20">
        <f>handsmoothed!H19^2</f>
        <v>36</v>
      </c>
      <c r="W19" s="20">
        <f>handsmoothed!I19^2</f>
        <v>36</v>
      </c>
      <c r="X19" s="20">
        <f>handsmoothed!J19^2</f>
        <v>36</v>
      </c>
      <c r="Y19" s="20">
        <f>handsmoothed!K19^2</f>
        <v>36</v>
      </c>
      <c r="Z19" s="20">
        <f>handsmoothed!L19^2</f>
        <v>36</v>
      </c>
      <c r="AA19" s="20">
        <f>handsmoothed!M19^2</f>
        <v>49</v>
      </c>
      <c r="AB19" s="20">
        <f>handsmoothed!N19^2</f>
        <v>49</v>
      </c>
    </row>
    <row r="20" spans="1:28" ht="12.75" x14ac:dyDescent="0.2">
      <c r="A20" s="21">
        <v>18</v>
      </c>
      <c r="B20" s="22">
        <v>3</v>
      </c>
      <c r="C20" s="22">
        <v>4</v>
      </c>
      <c r="D20" s="22">
        <v>6</v>
      </c>
      <c r="E20" s="22">
        <v>3</v>
      </c>
      <c r="F20" s="22">
        <v>2</v>
      </c>
      <c r="G20" s="22">
        <v>2</v>
      </c>
      <c r="H20" s="22">
        <v>1</v>
      </c>
      <c r="I20" s="22">
        <v>3</v>
      </c>
      <c r="J20" s="22">
        <v>1</v>
      </c>
      <c r="K20" s="22">
        <v>1</v>
      </c>
      <c r="L20" s="22">
        <v>3</v>
      </c>
      <c r="M20" s="22">
        <v>1</v>
      </c>
      <c r="N20" s="22">
        <v>4</v>
      </c>
      <c r="O20" s="20" t="s">
        <v>42</v>
      </c>
      <c r="P20" s="20">
        <f>handsmoothed!B20^2</f>
        <v>81</v>
      </c>
      <c r="Q20" s="20">
        <f>handsmoothed!C20^2</f>
        <v>64</v>
      </c>
      <c r="R20" s="20">
        <f>handsmoothed!D20^2</f>
        <v>49</v>
      </c>
      <c r="S20" s="20">
        <f>handsmoothed!E20^2</f>
        <v>49</v>
      </c>
      <c r="T20" s="20">
        <f>handsmoothed!F20^2</f>
        <v>49</v>
      </c>
      <c r="U20" s="20">
        <f>handsmoothed!G20^2</f>
        <v>36</v>
      </c>
      <c r="V20" s="20">
        <f>handsmoothed!H20^2</f>
        <v>36</v>
      </c>
      <c r="W20" s="20">
        <f>handsmoothed!I20^2</f>
        <v>36</v>
      </c>
      <c r="X20" s="20">
        <f>handsmoothed!J20^2</f>
        <v>49</v>
      </c>
      <c r="Y20" s="20">
        <f>handsmoothed!K20^2</f>
        <v>49</v>
      </c>
      <c r="Z20" s="20">
        <f>handsmoothed!L20^2</f>
        <v>49</v>
      </c>
      <c r="AA20" s="20">
        <f>handsmoothed!M20^2</f>
        <v>49</v>
      </c>
      <c r="AB20" s="20">
        <f>handsmoothed!N20^2</f>
        <v>49</v>
      </c>
    </row>
    <row r="21" spans="1:28" ht="12.75" x14ac:dyDescent="0.2">
      <c r="A21" s="21">
        <v>19</v>
      </c>
      <c r="B21" s="22">
        <v>6</v>
      </c>
      <c r="C21" s="22">
        <v>8</v>
      </c>
      <c r="D21" s="22">
        <v>3</v>
      </c>
      <c r="E21" s="22">
        <v>6</v>
      </c>
      <c r="F21" s="22">
        <v>3</v>
      </c>
      <c r="G21" s="22">
        <v>2</v>
      </c>
      <c r="H21" s="22">
        <v>5</v>
      </c>
      <c r="I21" s="22">
        <v>3</v>
      </c>
      <c r="J21" s="22">
        <v>4</v>
      </c>
      <c r="K21" s="22">
        <v>1</v>
      </c>
      <c r="L21" s="22">
        <v>1</v>
      </c>
      <c r="M21" s="22">
        <v>2</v>
      </c>
      <c r="N21" s="22">
        <v>3</v>
      </c>
      <c r="O21" s="20" t="s">
        <v>42</v>
      </c>
      <c r="P21" s="20">
        <f>handsmoothed!B21^2</f>
        <v>81</v>
      </c>
      <c r="Q21" s="20">
        <f>handsmoothed!C21^2</f>
        <v>64</v>
      </c>
      <c r="R21" s="20">
        <f>handsmoothed!D21^2</f>
        <v>64</v>
      </c>
      <c r="S21" s="20">
        <f>handsmoothed!E21^2</f>
        <v>49</v>
      </c>
      <c r="T21" s="20">
        <f>handsmoothed!F21^2</f>
        <v>49</v>
      </c>
      <c r="U21" s="20">
        <f>handsmoothed!G21^2</f>
        <v>49</v>
      </c>
      <c r="V21" s="20">
        <f>handsmoothed!H21^2</f>
        <v>49</v>
      </c>
      <c r="W21" s="20">
        <f>handsmoothed!I21^2</f>
        <v>49</v>
      </c>
      <c r="X21" s="20">
        <f>handsmoothed!J21^2</f>
        <v>49</v>
      </c>
      <c r="Y21" s="20">
        <f>handsmoothed!K21^2</f>
        <v>49</v>
      </c>
      <c r="Z21" s="20">
        <f>handsmoothed!L21^2</f>
        <v>49</v>
      </c>
      <c r="AA21" s="20">
        <f>handsmoothed!M21^2</f>
        <v>49</v>
      </c>
      <c r="AB21" s="20">
        <f>handsmoothed!N21^2</f>
        <v>64</v>
      </c>
    </row>
    <row r="22" spans="1:28" ht="12.75" x14ac:dyDescent="0.2">
      <c r="A22" s="21">
        <v>20</v>
      </c>
      <c r="B22" s="22">
        <v>10</v>
      </c>
      <c r="C22" s="22">
        <v>8</v>
      </c>
      <c r="D22" s="22">
        <v>7</v>
      </c>
      <c r="E22" s="22">
        <v>3</v>
      </c>
      <c r="F22" s="22">
        <v>5</v>
      </c>
      <c r="G22" s="22">
        <v>9</v>
      </c>
      <c r="H22" s="22">
        <v>2</v>
      </c>
      <c r="I22" s="22">
        <v>5</v>
      </c>
      <c r="J22" s="22">
        <v>1</v>
      </c>
      <c r="K22" s="22">
        <v>1</v>
      </c>
      <c r="L22" s="22">
        <v>1</v>
      </c>
      <c r="M22" s="22">
        <v>3</v>
      </c>
      <c r="N22" s="22">
        <v>6</v>
      </c>
      <c r="O22" s="20" t="s">
        <v>42</v>
      </c>
      <c r="P22" s="20">
        <f>handsmoothed!B22^2</f>
        <v>81</v>
      </c>
      <c r="Q22" s="20">
        <f>handsmoothed!C22^2</f>
        <v>81</v>
      </c>
      <c r="R22" s="20">
        <f>handsmoothed!D22^2</f>
        <v>64</v>
      </c>
      <c r="S22" s="20">
        <f>handsmoothed!E22^2</f>
        <v>64</v>
      </c>
      <c r="T22" s="20">
        <f>handsmoothed!F22^2</f>
        <v>49</v>
      </c>
      <c r="U22" s="20">
        <f>handsmoothed!G22^2</f>
        <v>49</v>
      </c>
      <c r="V22" s="20">
        <f>handsmoothed!H22^2</f>
        <v>49</v>
      </c>
      <c r="W22" s="20">
        <f>handsmoothed!I22^2</f>
        <v>49</v>
      </c>
      <c r="X22" s="20">
        <f>handsmoothed!J22^2</f>
        <v>49</v>
      </c>
      <c r="Y22" s="20">
        <f>handsmoothed!K22^2</f>
        <v>49</v>
      </c>
      <c r="Z22" s="20">
        <f>handsmoothed!L22^2</f>
        <v>49</v>
      </c>
      <c r="AA22" s="20">
        <f>handsmoothed!M22^2</f>
        <v>64</v>
      </c>
      <c r="AB22" s="20">
        <f>handsmoothed!N22^2</f>
        <v>64</v>
      </c>
    </row>
    <row r="23" spans="1:28" ht="12.75" x14ac:dyDescent="0.2">
      <c r="A23" s="21">
        <v>21</v>
      </c>
      <c r="B23" s="22">
        <v>8</v>
      </c>
      <c r="C23" s="22">
        <v>7</v>
      </c>
      <c r="D23" s="22">
        <v>13</v>
      </c>
      <c r="E23" s="22">
        <v>5</v>
      </c>
      <c r="F23" s="22">
        <v>5</v>
      </c>
      <c r="G23" s="22">
        <v>1</v>
      </c>
      <c r="H23" s="22">
        <v>5</v>
      </c>
      <c r="I23" s="22">
        <v>2</v>
      </c>
      <c r="J23" s="22">
        <v>1</v>
      </c>
      <c r="K23" s="22">
        <v>1</v>
      </c>
      <c r="L23" s="22" t="s">
        <v>70</v>
      </c>
      <c r="M23" s="22">
        <v>4</v>
      </c>
      <c r="N23" s="22">
        <v>2</v>
      </c>
      <c r="O23" s="20" t="s">
        <v>42</v>
      </c>
      <c r="P23" s="20">
        <f>handsmoothed!B23^2</f>
        <v>100</v>
      </c>
      <c r="Q23" s="20">
        <f>handsmoothed!C23^2</f>
        <v>81</v>
      </c>
      <c r="R23" s="20">
        <f>handsmoothed!D23^2</f>
        <v>64</v>
      </c>
      <c r="S23" s="20">
        <f>handsmoothed!E23^2</f>
        <v>64</v>
      </c>
      <c r="T23" s="20">
        <f>handsmoothed!F23^2</f>
        <v>64</v>
      </c>
      <c r="U23" s="20">
        <f>handsmoothed!G23^2</f>
        <v>49</v>
      </c>
      <c r="V23" s="20">
        <f>handsmoothed!H23^2</f>
        <v>49</v>
      </c>
      <c r="W23" s="20">
        <f>handsmoothed!I23^2</f>
        <v>49</v>
      </c>
      <c r="X23" s="20">
        <f>handsmoothed!J23^2</f>
        <v>49</v>
      </c>
      <c r="Y23" s="20">
        <f>handsmoothed!K23^2</f>
        <v>49</v>
      </c>
      <c r="Z23" s="20">
        <f>handsmoothed!L23^2</f>
        <v>64</v>
      </c>
      <c r="AA23" s="20">
        <f>handsmoothed!M23^2</f>
        <v>64</v>
      </c>
      <c r="AB23" s="20">
        <f>handsmoothed!N23^2</f>
        <v>64</v>
      </c>
    </row>
    <row r="24" spans="1:28" ht="12.75" x14ac:dyDescent="0.2">
      <c r="A24" s="21">
        <v>22</v>
      </c>
      <c r="B24" s="22">
        <v>3</v>
      </c>
      <c r="C24" s="22">
        <v>7</v>
      </c>
      <c r="D24" s="22">
        <v>2</v>
      </c>
      <c r="E24" s="22">
        <v>5</v>
      </c>
      <c r="F24" s="22">
        <v>3</v>
      </c>
      <c r="G24" s="22">
        <v>4</v>
      </c>
      <c r="H24" s="22">
        <v>6</v>
      </c>
      <c r="I24" s="22">
        <v>3</v>
      </c>
      <c r="J24" s="22">
        <v>4</v>
      </c>
      <c r="K24" s="22">
        <v>1</v>
      </c>
      <c r="L24" s="22">
        <v>3</v>
      </c>
      <c r="M24" s="22">
        <v>4</v>
      </c>
      <c r="N24" s="22">
        <v>2</v>
      </c>
      <c r="O24" s="20" t="s">
        <v>42</v>
      </c>
      <c r="P24" s="20">
        <f>handsmoothed!B24^2</f>
        <v>100</v>
      </c>
      <c r="Q24" s="20">
        <f>handsmoothed!C24^2</f>
        <v>81</v>
      </c>
      <c r="R24" s="20">
        <f>handsmoothed!D24^2</f>
        <v>81</v>
      </c>
      <c r="S24" s="20">
        <f>handsmoothed!E24^2</f>
        <v>64</v>
      </c>
      <c r="T24" s="20">
        <f>handsmoothed!F24^2</f>
        <v>64</v>
      </c>
      <c r="U24" s="20">
        <f>handsmoothed!G24^2</f>
        <v>64</v>
      </c>
      <c r="V24" s="20">
        <f>handsmoothed!H24^2</f>
        <v>49</v>
      </c>
      <c r="W24" s="20">
        <f>handsmoothed!I24^2</f>
        <v>49</v>
      </c>
      <c r="X24" s="20">
        <f>handsmoothed!J24^2</f>
        <v>64</v>
      </c>
      <c r="Y24" s="20">
        <f>handsmoothed!K24^2</f>
        <v>64</v>
      </c>
      <c r="Z24" s="20">
        <f>handsmoothed!L24^2</f>
        <v>64</v>
      </c>
      <c r="AA24" s="20">
        <f>handsmoothed!M24^2</f>
        <v>64</v>
      </c>
      <c r="AB24" s="20">
        <f>handsmoothed!N24^2</f>
        <v>64</v>
      </c>
    </row>
    <row r="25" spans="1:28" ht="12.75" x14ac:dyDescent="0.2">
      <c r="A25" s="21">
        <v>23</v>
      </c>
      <c r="B25" s="22">
        <v>12</v>
      </c>
      <c r="C25" s="22">
        <v>9</v>
      </c>
      <c r="D25" s="22">
        <v>5</v>
      </c>
      <c r="E25" s="22">
        <v>6</v>
      </c>
      <c r="F25" s="22">
        <v>5</v>
      </c>
      <c r="G25" s="22">
        <v>5</v>
      </c>
      <c r="H25" s="22">
        <v>6</v>
      </c>
      <c r="I25" s="22">
        <v>5</v>
      </c>
      <c r="J25" s="22">
        <v>2</v>
      </c>
      <c r="K25" s="22">
        <v>8</v>
      </c>
      <c r="L25" s="22">
        <v>1</v>
      </c>
      <c r="M25" s="22">
        <v>4</v>
      </c>
      <c r="N25" s="22">
        <v>3</v>
      </c>
      <c r="O25" s="20" t="s">
        <v>42</v>
      </c>
      <c r="P25" s="20">
        <f>handsmoothed!B25^2</f>
        <v>100</v>
      </c>
      <c r="Q25" s="20">
        <f>handsmoothed!C25^2</f>
        <v>100</v>
      </c>
      <c r="R25" s="20">
        <f>handsmoothed!D25^2</f>
        <v>81</v>
      </c>
      <c r="S25" s="20">
        <f>handsmoothed!E25^2</f>
        <v>81</v>
      </c>
      <c r="T25" s="20">
        <f>handsmoothed!F25^2</f>
        <v>64</v>
      </c>
      <c r="U25" s="20">
        <f>handsmoothed!G25^2</f>
        <v>64</v>
      </c>
      <c r="V25" s="20">
        <f>handsmoothed!H25^2</f>
        <v>64</v>
      </c>
      <c r="W25" s="20">
        <f>handsmoothed!I25^2</f>
        <v>64</v>
      </c>
      <c r="X25" s="20">
        <f>handsmoothed!J25^2</f>
        <v>64</v>
      </c>
      <c r="Y25" s="20">
        <f>handsmoothed!K25^2</f>
        <v>64</v>
      </c>
      <c r="Z25" s="20">
        <f>handsmoothed!L25^2</f>
        <v>64</v>
      </c>
      <c r="AA25" s="20">
        <f>handsmoothed!M25^2</f>
        <v>64</v>
      </c>
      <c r="AB25" s="20">
        <f>handsmoothed!N25^2</f>
        <v>81</v>
      </c>
    </row>
    <row r="26" spans="1:28" ht="12.75" x14ac:dyDescent="0.2">
      <c r="A26" s="21">
        <v>24</v>
      </c>
      <c r="B26" s="22">
        <v>8</v>
      </c>
      <c r="C26" s="22">
        <v>6</v>
      </c>
      <c r="D26" s="22">
        <v>9</v>
      </c>
      <c r="E26" s="22">
        <v>12</v>
      </c>
      <c r="F26" s="22">
        <v>7</v>
      </c>
      <c r="G26" s="22">
        <v>9</v>
      </c>
      <c r="H26" s="22">
        <v>5</v>
      </c>
      <c r="I26" s="22">
        <v>6</v>
      </c>
      <c r="J26" s="22">
        <v>6</v>
      </c>
      <c r="K26" s="22">
        <v>3</v>
      </c>
      <c r="L26" s="22">
        <v>7</v>
      </c>
      <c r="M26" s="22">
        <v>3</v>
      </c>
      <c r="N26" s="22">
        <v>5</v>
      </c>
      <c r="O26" s="20" t="s">
        <v>42</v>
      </c>
      <c r="P26" s="20">
        <f>handsmoothed!B26^2</f>
        <v>121</v>
      </c>
      <c r="Q26" s="20">
        <f>handsmoothed!C26^2</f>
        <v>100</v>
      </c>
      <c r="R26" s="20">
        <f>handsmoothed!D26^2</f>
        <v>81</v>
      </c>
      <c r="S26" s="20">
        <f>handsmoothed!E26^2</f>
        <v>81</v>
      </c>
      <c r="T26" s="20">
        <f>handsmoothed!F26^2</f>
        <v>81</v>
      </c>
      <c r="U26" s="20">
        <f>handsmoothed!G26^2</f>
        <v>64</v>
      </c>
      <c r="V26" s="20">
        <f>handsmoothed!H26^2</f>
        <v>64</v>
      </c>
      <c r="W26" s="20">
        <f>handsmoothed!I26^2</f>
        <v>64</v>
      </c>
      <c r="X26" s="20">
        <f>handsmoothed!J26^2</f>
        <v>64</v>
      </c>
      <c r="Y26" s="20">
        <f>handsmoothed!K26^2</f>
        <v>64</v>
      </c>
      <c r="Z26" s="20">
        <f>handsmoothed!L26^2</f>
        <v>81</v>
      </c>
      <c r="AA26" s="20">
        <f>handsmoothed!M26^2</f>
        <v>81</v>
      </c>
      <c r="AB26" s="20">
        <f>handsmoothed!N26^2</f>
        <v>81</v>
      </c>
    </row>
    <row r="27" spans="1:28" ht="12.75" x14ac:dyDescent="0.2">
      <c r="A27" s="21">
        <v>25</v>
      </c>
      <c r="B27" s="22">
        <v>9</v>
      </c>
      <c r="C27" s="22">
        <v>9</v>
      </c>
      <c r="D27" s="22">
        <v>9</v>
      </c>
      <c r="E27" s="22">
        <v>5</v>
      </c>
      <c r="F27" s="22">
        <v>7</v>
      </c>
      <c r="G27" s="22">
        <v>10</v>
      </c>
      <c r="H27" s="22">
        <v>3</v>
      </c>
      <c r="I27" s="22">
        <v>4</v>
      </c>
      <c r="J27" s="22">
        <v>7</v>
      </c>
      <c r="K27" s="22">
        <v>2</v>
      </c>
      <c r="L27" s="22">
        <v>5</v>
      </c>
      <c r="M27" s="22">
        <v>3</v>
      </c>
      <c r="N27" s="22">
        <v>1</v>
      </c>
      <c r="O27" s="20" t="s">
        <v>42</v>
      </c>
      <c r="P27" s="20">
        <f>handsmoothed!B27^2</f>
        <v>121</v>
      </c>
      <c r="Q27" s="20">
        <f>handsmoothed!C27^2</f>
        <v>100</v>
      </c>
      <c r="R27" s="20">
        <f>handsmoothed!D27^2</f>
        <v>100</v>
      </c>
      <c r="S27" s="20">
        <f>handsmoothed!E27^2</f>
        <v>81</v>
      </c>
      <c r="T27" s="20">
        <f>handsmoothed!F27^2</f>
        <v>81</v>
      </c>
      <c r="U27" s="20">
        <f>handsmoothed!G27^2</f>
        <v>81</v>
      </c>
      <c r="V27" s="20">
        <f>handsmoothed!H27^2</f>
        <v>64</v>
      </c>
      <c r="W27" s="20">
        <f>handsmoothed!I27^2</f>
        <v>64</v>
      </c>
      <c r="X27" s="20">
        <f>handsmoothed!J27^2</f>
        <v>81</v>
      </c>
      <c r="Y27" s="20">
        <f>handsmoothed!K27^2</f>
        <v>81</v>
      </c>
      <c r="Z27" s="20">
        <f>handsmoothed!L27^2</f>
        <v>81</v>
      </c>
      <c r="AA27" s="20">
        <f>handsmoothed!M27^2</f>
        <v>81</v>
      </c>
      <c r="AB27" s="20">
        <f>handsmoothed!N27^2</f>
        <v>81</v>
      </c>
    </row>
    <row r="28" spans="1:28" ht="12.75" x14ac:dyDescent="0.2">
      <c r="A28" s="21">
        <v>26</v>
      </c>
      <c r="B28" s="22">
        <v>7</v>
      </c>
      <c r="C28" s="22">
        <v>7</v>
      </c>
      <c r="D28" s="22">
        <v>10</v>
      </c>
      <c r="E28" s="22">
        <v>8</v>
      </c>
      <c r="F28" s="22">
        <v>6</v>
      </c>
      <c r="G28" s="22">
        <v>11</v>
      </c>
      <c r="H28" s="22">
        <v>5</v>
      </c>
      <c r="I28" s="22">
        <v>5</v>
      </c>
      <c r="J28" s="22">
        <v>6</v>
      </c>
      <c r="K28" s="22">
        <v>3</v>
      </c>
      <c r="L28" s="22">
        <v>3</v>
      </c>
      <c r="M28" s="22">
        <v>4</v>
      </c>
      <c r="N28" s="22">
        <v>4</v>
      </c>
      <c r="O28" s="20" t="s">
        <v>42</v>
      </c>
      <c r="P28" s="20">
        <f>handsmoothed!B28^2</f>
        <v>144</v>
      </c>
      <c r="Q28" s="20">
        <f>handsmoothed!C28^2</f>
        <v>121</v>
      </c>
      <c r="R28" s="20">
        <f>handsmoothed!D28^2</f>
        <v>100</v>
      </c>
      <c r="S28" s="20">
        <f>handsmoothed!E28^2</f>
        <v>100</v>
      </c>
      <c r="T28" s="20">
        <f>handsmoothed!F28^2</f>
        <v>81</v>
      </c>
      <c r="U28" s="20">
        <f>handsmoothed!G28^2</f>
        <v>81</v>
      </c>
      <c r="V28" s="20">
        <f>handsmoothed!H28^2</f>
        <v>81</v>
      </c>
      <c r="W28" s="20">
        <f>handsmoothed!I28^2</f>
        <v>81</v>
      </c>
      <c r="X28" s="20">
        <f>handsmoothed!J28^2</f>
        <v>81</v>
      </c>
      <c r="Y28" s="20">
        <f>handsmoothed!K28^2</f>
        <v>81</v>
      </c>
      <c r="Z28" s="20">
        <f>handsmoothed!L28^2</f>
        <v>81</v>
      </c>
      <c r="AA28" s="20">
        <f>handsmoothed!M28^2</f>
        <v>81</v>
      </c>
      <c r="AB28" s="20">
        <f>handsmoothed!N28^2</f>
        <v>100</v>
      </c>
    </row>
    <row r="29" spans="1:28" ht="12.75" x14ac:dyDescent="0.2">
      <c r="A29" s="21">
        <v>27</v>
      </c>
      <c r="B29" s="22">
        <v>12</v>
      </c>
      <c r="C29" s="22">
        <v>11</v>
      </c>
      <c r="D29" s="22">
        <v>15</v>
      </c>
      <c r="E29" s="22">
        <v>17</v>
      </c>
      <c r="F29" s="22">
        <v>7</v>
      </c>
      <c r="G29" s="22">
        <v>6</v>
      </c>
      <c r="H29" s="22">
        <v>7</v>
      </c>
      <c r="I29" s="22">
        <v>4</v>
      </c>
      <c r="J29" s="22">
        <v>10</v>
      </c>
      <c r="K29" s="22">
        <v>7</v>
      </c>
      <c r="L29" s="22">
        <v>4</v>
      </c>
      <c r="M29" s="22">
        <v>5</v>
      </c>
      <c r="N29" s="22">
        <v>6</v>
      </c>
      <c r="O29" s="20" t="s">
        <v>42</v>
      </c>
      <c r="P29" s="20">
        <f>handsmoothed!B29^2</f>
        <v>144</v>
      </c>
      <c r="Q29" s="20">
        <f>handsmoothed!C29^2</f>
        <v>121</v>
      </c>
      <c r="R29" s="20">
        <f>handsmoothed!D29^2</f>
        <v>100</v>
      </c>
      <c r="S29" s="20">
        <f>handsmoothed!E29^2</f>
        <v>100</v>
      </c>
      <c r="T29" s="20">
        <f>handsmoothed!F29^2</f>
        <v>100</v>
      </c>
      <c r="U29" s="20">
        <f>handsmoothed!G29^2</f>
        <v>81</v>
      </c>
      <c r="V29" s="20">
        <f>handsmoothed!H29^2</f>
        <v>81</v>
      </c>
      <c r="W29" s="20">
        <f>handsmoothed!I29^2</f>
        <v>81</v>
      </c>
      <c r="X29" s="20">
        <f>handsmoothed!J29^2</f>
        <v>81</v>
      </c>
      <c r="Y29" s="20">
        <f>handsmoothed!K29^2</f>
        <v>81</v>
      </c>
      <c r="Z29" s="20">
        <f>handsmoothed!L29^2</f>
        <v>100</v>
      </c>
      <c r="AA29" s="20">
        <f>handsmoothed!M29^2</f>
        <v>100</v>
      </c>
      <c r="AB29" s="20">
        <f>handsmoothed!N29^2</f>
        <v>100</v>
      </c>
    </row>
    <row r="30" spans="1:28" ht="12.75" x14ac:dyDescent="0.2">
      <c r="A30" s="21">
        <v>28</v>
      </c>
      <c r="B30" s="22">
        <v>8</v>
      </c>
      <c r="C30" s="22">
        <v>7</v>
      </c>
      <c r="D30" s="22">
        <v>14</v>
      </c>
      <c r="E30" s="22">
        <v>7</v>
      </c>
      <c r="F30" s="22">
        <v>14</v>
      </c>
      <c r="G30" s="22">
        <v>11</v>
      </c>
      <c r="H30" s="22">
        <v>9</v>
      </c>
      <c r="I30" s="22">
        <v>4</v>
      </c>
      <c r="J30" s="22">
        <v>12</v>
      </c>
      <c r="K30" s="22">
        <v>6</v>
      </c>
      <c r="L30" s="22">
        <v>4</v>
      </c>
      <c r="M30" s="22">
        <v>5</v>
      </c>
      <c r="N30" s="22">
        <v>8</v>
      </c>
      <c r="O30" s="20" t="s">
        <v>42</v>
      </c>
      <c r="P30" s="20">
        <f>handsmoothed!B30^2</f>
        <v>169</v>
      </c>
      <c r="Q30" s="20">
        <f>handsmoothed!C30^2</f>
        <v>144</v>
      </c>
      <c r="R30" s="20">
        <f>handsmoothed!D30^2</f>
        <v>121</v>
      </c>
      <c r="S30" s="20">
        <f>handsmoothed!E30^2</f>
        <v>100</v>
      </c>
      <c r="T30" s="20">
        <f>handsmoothed!F30^2</f>
        <v>100</v>
      </c>
      <c r="U30" s="20">
        <f>handsmoothed!G30^2</f>
        <v>100</v>
      </c>
      <c r="V30" s="20">
        <f>handsmoothed!H30^2</f>
        <v>100</v>
      </c>
      <c r="W30" s="20">
        <f>handsmoothed!I30^2</f>
        <v>100</v>
      </c>
      <c r="X30" s="20">
        <f>handsmoothed!J30^2</f>
        <v>100</v>
      </c>
      <c r="Y30" s="20">
        <f>handsmoothed!K30^2</f>
        <v>100</v>
      </c>
      <c r="Z30" s="20">
        <f>handsmoothed!L30^2</f>
        <v>100</v>
      </c>
      <c r="AA30" s="20">
        <f>handsmoothed!M30^2</f>
        <v>100</v>
      </c>
      <c r="AB30" s="20">
        <f>handsmoothed!N30^2</f>
        <v>100</v>
      </c>
    </row>
    <row r="31" spans="1:28" ht="12.75" x14ac:dyDescent="0.2">
      <c r="A31" s="21">
        <v>29</v>
      </c>
      <c r="B31" s="22">
        <v>10</v>
      </c>
      <c r="C31" s="22">
        <v>9</v>
      </c>
      <c r="D31" s="22">
        <v>9</v>
      </c>
      <c r="E31" s="22">
        <v>14</v>
      </c>
      <c r="F31" s="22">
        <v>13</v>
      </c>
      <c r="G31" s="22">
        <v>12</v>
      </c>
      <c r="H31" s="22">
        <v>9</v>
      </c>
      <c r="I31" s="22">
        <v>9</v>
      </c>
      <c r="J31" s="22">
        <v>9</v>
      </c>
      <c r="K31" s="22">
        <v>5</v>
      </c>
      <c r="L31" s="22">
        <v>5</v>
      </c>
      <c r="M31" s="22">
        <v>6</v>
      </c>
      <c r="N31" s="22">
        <v>6</v>
      </c>
      <c r="O31" s="20" t="s">
        <v>42</v>
      </c>
      <c r="P31" s="20">
        <f>handsmoothed!B31^2</f>
        <v>169</v>
      </c>
      <c r="Q31" s="20">
        <f>handsmoothed!C31^2</f>
        <v>144</v>
      </c>
      <c r="R31" s="20">
        <f>handsmoothed!D31^2</f>
        <v>121</v>
      </c>
      <c r="S31" s="20">
        <f>handsmoothed!E31^2</f>
        <v>121</v>
      </c>
      <c r="T31" s="20">
        <f>handsmoothed!F31^2</f>
        <v>100</v>
      </c>
      <c r="U31" s="20">
        <f>handsmoothed!G31^2</f>
        <v>100</v>
      </c>
      <c r="V31" s="20">
        <f>handsmoothed!H31^2</f>
        <v>100</v>
      </c>
      <c r="W31" s="20">
        <f>handsmoothed!I31^2</f>
        <v>100</v>
      </c>
      <c r="X31" s="20">
        <f>handsmoothed!J31^2</f>
        <v>100</v>
      </c>
      <c r="Y31" s="20">
        <f>handsmoothed!K31^2</f>
        <v>100</v>
      </c>
      <c r="Z31" s="20">
        <f>handsmoothed!L31^2</f>
        <v>100</v>
      </c>
      <c r="AA31" s="20">
        <f>handsmoothed!M31^2</f>
        <v>100</v>
      </c>
      <c r="AB31" s="20">
        <f>handsmoothed!N31^2</f>
        <v>121</v>
      </c>
    </row>
    <row r="32" spans="1:28" ht="12.75" x14ac:dyDescent="0.2">
      <c r="A32" s="21">
        <v>30</v>
      </c>
      <c r="B32" s="22">
        <v>6</v>
      </c>
      <c r="C32" s="22">
        <v>12</v>
      </c>
      <c r="D32" s="22">
        <v>8</v>
      </c>
      <c r="E32" s="22">
        <v>13</v>
      </c>
      <c r="F32" s="22">
        <v>9</v>
      </c>
      <c r="G32" s="22">
        <v>11</v>
      </c>
      <c r="H32" s="22">
        <v>11</v>
      </c>
      <c r="I32" s="22">
        <v>6</v>
      </c>
      <c r="J32" s="22">
        <v>9</v>
      </c>
      <c r="K32" s="22">
        <v>4</v>
      </c>
      <c r="L32" s="22">
        <v>6</v>
      </c>
      <c r="M32" s="22">
        <v>4</v>
      </c>
      <c r="N32" s="22">
        <v>4</v>
      </c>
      <c r="O32" s="20" t="s">
        <v>42</v>
      </c>
      <c r="P32" s="20">
        <f>handsmoothed!B32^2</f>
        <v>196</v>
      </c>
      <c r="Q32" s="20">
        <f>handsmoothed!C32^2</f>
        <v>169</v>
      </c>
      <c r="R32" s="20">
        <f>handsmoothed!D32^2</f>
        <v>144</v>
      </c>
      <c r="S32" s="20">
        <f>handsmoothed!E32^2</f>
        <v>121</v>
      </c>
      <c r="T32" s="20">
        <f>handsmoothed!F32^2</f>
        <v>121</v>
      </c>
      <c r="U32" s="20">
        <f>handsmoothed!G32^2</f>
        <v>100</v>
      </c>
      <c r="V32" s="20">
        <f>handsmoothed!H32^2</f>
        <v>100</v>
      </c>
      <c r="W32" s="20">
        <f>handsmoothed!I32^2</f>
        <v>100</v>
      </c>
      <c r="X32" s="20">
        <f>handsmoothed!J32^2</f>
        <v>100</v>
      </c>
      <c r="Y32" s="20">
        <f>handsmoothed!K32^2</f>
        <v>100</v>
      </c>
      <c r="Z32" s="20">
        <f>handsmoothed!L32^2</f>
        <v>121</v>
      </c>
      <c r="AA32" s="20">
        <f>handsmoothed!M32^2</f>
        <v>121</v>
      </c>
      <c r="AB32" s="20">
        <f>handsmoothed!N32^2</f>
        <v>121</v>
      </c>
    </row>
    <row r="33" spans="1:28" ht="12.75" x14ac:dyDescent="0.2">
      <c r="A33" s="21">
        <v>31</v>
      </c>
      <c r="B33" s="22">
        <v>5</v>
      </c>
      <c r="C33" s="22">
        <v>11</v>
      </c>
      <c r="D33" s="22">
        <v>8</v>
      </c>
      <c r="E33" s="22">
        <v>5</v>
      </c>
      <c r="F33" s="22">
        <v>7</v>
      </c>
      <c r="G33" s="22">
        <v>8</v>
      </c>
      <c r="H33" s="22">
        <v>9</v>
      </c>
      <c r="I33" s="22">
        <v>12</v>
      </c>
      <c r="J33" s="22">
        <v>9</v>
      </c>
      <c r="K33" s="22">
        <v>6</v>
      </c>
      <c r="L33" s="22">
        <v>5</v>
      </c>
      <c r="M33" s="22">
        <v>2</v>
      </c>
      <c r="N33" s="22">
        <v>2</v>
      </c>
      <c r="O33" s="20" t="s">
        <v>42</v>
      </c>
      <c r="P33" s="20">
        <f>handsmoothed!B33^2</f>
        <v>196</v>
      </c>
      <c r="Q33" s="20">
        <f>handsmoothed!C33^2</f>
        <v>169</v>
      </c>
      <c r="R33" s="20">
        <f>handsmoothed!D33^2</f>
        <v>144</v>
      </c>
      <c r="S33" s="20">
        <f>handsmoothed!E33^2</f>
        <v>144</v>
      </c>
      <c r="T33" s="20">
        <f>handsmoothed!F33^2</f>
        <v>121</v>
      </c>
      <c r="U33" s="20">
        <f>handsmoothed!G33^2</f>
        <v>121</v>
      </c>
      <c r="V33" s="20">
        <f>handsmoothed!H33^2</f>
        <v>121</v>
      </c>
      <c r="W33" s="20">
        <f>handsmoothed!I33^2</f>
        <v>121</v>
      </c>
      <c r="X33" s="20">
        <f>handsmoothed!J33^2</f>
        <v>121</v>
      </c>
      <c r="Y33" s="20">
        <f>handsmoothed!K33^2</f>
        <v>121</v>
      </c>
      <c r="Z33" s="20">
        <f>handsmoothed!L33^2</f>
        <v>121</v>
      </c>
      <c r="AA33" s="20">
        <f>handsmoothed!M33^2</f>
        <v>121</v>
      </c>
      <c r="AB33" s="20">
        <f>handsmoothed!N33^2</f>
        <v>144</v>
      </c>
    </row>
    <row r="34" spans="1:28" ht="12.75" x14ac:dyDescent="0.2">
      <c r="A34" s="21">
        <v>32</v>
      </c>
      <c r="B34" s="22">
        <v>2</v>
      </c>
      <c r="C34" s="22">
        <v>5</v>
      </c>
      <c r="D34" s="22">
        <v>9</v>
      </c>
      <c r="E34" s="22">
        <v>11</v>
      </c>
      <c r="F34" s="22">
        <v>7</v>
      </c>
      <c r="G34" s="22">
        <v>8</v>
      </c>
      <c r="H34" s="22">
        <v>12</v>
      </c>
      <c r="I34" s="22">
        <v>11</v>
      </c>
      <c r="J34" s="22">
        <v>10</v>
      </c>
      <c r="K34" s="22">
        <v>9</v>
      </c>
      <c r="L34" s="22">
        <v>6</v>
      </c>
      <c r="M34" s="22">
        <v>5</v>
      </c>
      <c r="N34" s="22">
        <v>6</v>
      </c>
      <c r="O34" s="20" t="s">
        <v>42</v>
      </c>
      <c r="P34" s="20">
        <f>handsmoothed!B34^2</f>
        <v>225</v>
      </c>
      <c r="Q34" s="20">
        <f>handsmoothed!C34^2</f>
        <v>196</v>
      </c>
      <c r="R34" s="20">
        <f>handsmoothed!D34^2</f>
        <v>169</v>
      </c>
      <c r="S34" s="20">
        <f>handsmoothed!E34^2</f>
        <v>144</v>
      </c>
      <c r="T34" s="20">
        <f>handsmoothed!F34^2</f>
        <v>144</v>
      </c>
      <c r="U34" s="20">
        <f>handsmoothed!G34^2</f>
        <v>121</v>
      </c>
      <c r="V34" s="20">
        <f>handsmoothed!H34^2</f>
        <v>121</v>
      </c>
      <c r="W34" s="20">
        <f>handsmoothed!I34^2</f>
        <v>121</v>
      </c>
      <c r="X34" s="20">
        <f>handsmoothed!J34^2</f>
        <v>121</v>
      </c>
      <c r="Y34" s="20">
        <f>handsmoothed!K34^2</f>
        <v>121</v>
      </c>
      <c r="Z34" s="20">
        <f>handsmoothed!L34^2</f>
        <v>121</v>
      </c>
      <c r="AA34" s="20">
        <f>handsmoothed!M34^2</f>
        <v>144</v>
      </c>
      <c r="AB34" s="20">
        <f>handsmoothed!N34^2</f>
        <v>144</v>
      </c>
    </row>
    <row r="35" spans="1:28" ht="12.75" x14ac:dyDescent="0.2">
      <c r="A35" s="21">
        <v>33</v>
      </c>
      <c r="B35" s="22">
        <v>4</v>
      </c>
      <c r="C35" s="22">
        <v>5</v>
      </c>
      <c r="D35" s="22">
        <v>10</v>
      </c>
      <c r="E35" s="22">
        <v>8</v>
      </c>
      <c r="F35" s="22">
        <v>11</v>
      </c>
      <c r="G35" s="22">
        <v>13</v>
      </c>
      <c r="H35" s="22">
        <v>17</v>
      </c>
      <c r="I35" s="22">
        <v>11</v>
      </c>
      <c r="J35" s="22">
        <v>15</v>
      </c>
      <c r="K35" s="22">
        <v>7</v>
      </c>
      <c r="L35" s="22">
        <v>8</v>
      </c>
      <c r="M35" s="22">
        <v>2</v>
      </c>
      <c r="N35" s="22">
        <v>7</v>
      </c>
      <c r="O35" s="20" t="s">
        <v>42</v>
      </c>
      <c r="P35" s="20">
        <f>handsmoothed!B35^2</f>
        <v>256</v>
      </c>
      <c r="Q35" s="20">
        <f>handsmoothed!C35^2</f>
        <v>196</v>
      </c>
      <c r="R35" s="20">
        <f>handsmoothed!D35^2</f>
        <v>169</v>
      </c>
      <c r="S35" s="20">
        <f>handsmoothed!E35^2</f>
        <v>169</v>
      </c>
      <c r="T35" s="20">
        <f>handsmoothed!F35^2</f>
        <v>144</v>
      </c>
      <c r="U35" s="20">
        <f>handsmoothed!G35^2</f>
        <v>144</v>
      </c>
      <c r="V35" s="20">
        <f>handsmoothed!H35^2</f>
        <v>121</v>
      </c>
      <c r="W35" s="20">
        <f>handsmoothed!I35^2</f>
        <v>121</v>
      </c>
      <c r="X35" s="20">
        <f>handsmoothed!J35^2</f>
        <v>144</v>
      </c>
      <c r="Y35" s="20">
        <f>handsmoothed!K35^2</f>
        <v>144</v>
      </c>
      <c r="Z35" s="20">
        <f>handsmoothed!L35^2</f>
        <v>144</v>
      </c>
      <c r="AA35" s="20">
        <f>handsmoothed!M35^2</f>
        <v>144</v>
      </c>
      <c r="AB35" s="20">
        <f>handsmoothed!N35^2</f>
        <v>169</v>
      </c>
    </row>
    <row r="36" spans="1:28" ht="12.75" x14ac:dyDescent="0.2">
      <c r="A36" s="21">
        <v>34</v>
      </c>
      <c r="B36" s="22" t="s">
        <v>70</v>
      </c>
      <c r="C36" s="22">
        <v>3</v>
      </c>
      <c r="D36" s="22">
        <v>9</v>
      </c>
      <c r="E36" s="22">
        <v>13</v>
      </c>
      <c r="F36" s="22">
        <v>9</v>
      </c>
      <c r="G36" s="22">
        <v>6</v>
      </c>
      <c r="H36" s="22">
        <v>8</v>
      </c>
      <c r="I36" s="22">
        <v>15</v>
      </c>
      <c r="J36" s="22">
        <v>7</v>
      </c>
      <c r="K36" s="22">
        <v>7</v>
      </c>
      <c r="L36" s="22">
        <v>3</v>
      </c>
      <c r="M36" s="22">
        <v>2</v>
      </c>
      <c r="N36" s="22">
        <v>3</v>
      </c>
      <c r="O36" s="20" t="s">
        <v>42</v>
      </c>
      <c r="P36" s="20">
        <f>handsmoothed!B36^2</f>
        <v>256</v>
      </c>
      <c r="Q36" s="20">
        <f>handsmoothed!C36^2</f>
        <v>225</v>
      </c>
      <c r="R36" s="20">
        <f>handsmoothed!D36^2</f>
        <v>196</v>
      </c>
      <c r="S36" s="20">
        <f>handsmoothed!E36^2</f>
        <v>169</v>
      </c>
      <c r="T36" s="20">
        <f>handsmoothed!F36^2</f>
        <v>169</v>
      </c>
      <c r="U36" s="20">
        <f>handsmoothed!G36^2</f>
        <v>144</v>
      </c>
      <c r="V36" s="20">
        <f>handsmoothed!H36^2</f>
        <v>144</v>
      </c>
      <c r="W36" s="20">
        <f>handsmoothed!I36^2</f>
        <v>144</v>
      </c>
      <c r="X36" s="20">
        <f>handsmoothed!J36^2</f>
        <v>144</v>
      </c>
      <c r="Y36" s="20">
        <f>handsmoothed!K36^2</f>
        <v>144</v>
      </c>
      <c r="Z36" s="20">
        <f>handsmoothed!L36^2</f>
        <v>144</v>
      </c>
      <c r="AA36" s="20">
        <f>handsmoothed!M36^2</f>
        <v>144</v>
      </c>
      <c r="AB36" s="20">
        <f>handsmoothed!N36^2</f>
        <v>169</v>
      </c>
    </row>
    <row r="37" spans="1:28" ht="12.75" x14ac:dyDescent="0.2">
      <c r="A37" s="21">
        <v>35</v>
      </c>
      <c r="B37" s="22" t="s">
        <v>70</v>
      </c>
      <c r="C37" s="22">
        <v>5</v>
      </c>
      <c r="D37" s="22">
        <v>5</v>
      </c>
      <c r="E37" s="22">
        <v>5</v>
      </c>
      <c r="F37" s="22">
        <v>10</v>
      </c>
      <c r="G37" s="22">
        <v>5</v>
      </c>
      <c r="H37" s="22">
        <v>7</v>
      </c>
      <c r="I37" s="22">
        <v>9</v>
      </c>
      <c r="J37" s="22">
        <v>13</v>
      </c>
      <c r="K37" s="22">
        <v>4</v>
      </c>
      <c r="L37" s="22">
        <v>5</v>
      </c>
      <c r="M37" s="22">
        <v>6</v>
      </c>
      <c r="N37" s="22">
        <v>1</v>
      </c>
      <c r="O37" s="20" t="s">
        <v>42</v>
      </c>
      <c r="P37" s="20">
        <f>handsmoothed!B37^2</f>
        <v>289</v>
      </c>
      <c r="Q37" s="20">
        <f>handsmoothed!C37^2</f>
        <v>256</v>
      </c>
      <c r="R37" s="20">
        <f>handsmoothed!D37^2</f>
        <v>225</v>
      </c>
      <c r="S37" s="20">
        <f>handsmoothed!E37^2</f>
        <v>196</v>
      </c>
      <c r="T37" s="20">
        <f>handsmoothed!F37^2</f>
        <v>169</v>
      </c>
      <c r="U37" s="20">
        <f>handsmoothed!G37^2</f>
        <v>169</v>
      </c>
      <c r="V37" s="20">
        <f>handsmoothed!H37^2</f>
        <v>144</v>
      </c>
      <c r="W37" s="20">
        <f>handsmoothed!I37^2</f>
        <v>144</v>
      </c>
      <c r="X37" s="20">
        <f>handsmoothed!J37^2</f>
        <v>144</v>
      </c>
      <c r="Y37" s="20">
        <f>handsmoothed!K37^2</f>
        <v>144</v>
      </c>
      <c r="Z37" s="20">
        <f>handsmoothed!L37^2</f>
        <v>144</v>
      </c>
      <c r="AA37" s="20">
        <f>handsmoothed!M37^2</f>
        <v>169</v>
      </c>
      <c r="AB37" s="20">
        <f>handsmoothed!N37^2</f>
        <v>196</v>
      </c>
    </row>
    <row r="38" spans="1:28" ht="12.75" x14ac:dyDescent="0.2">
      <c r="A38" s="21">
        <v>36</v>
      </c>
      <c r="B38" s="22">
        <v>1</v>
      </c>
      <c r="C38" s="22">
        <v>1</v>
      </c>
      <c r="D38" s="22">
        <v>1</v>
      </c>
      <c r="E38" s="22">
        <v>2</v>
      </c>
      <c r="F38" s="22">
        <v>10</v>
      </c>
      <c r="G38" s="22">
        <v>5</v>
      </c>
      <c r="H38" s="22">
        <v>9</v>
      </c>
      <c r="I38" s="22">
        <v>9</v>
      </c>
      <c r="J38" s="22">
        <v>10</v>
      </c>
      <c r="K38" s="22">
        <v>1</v>
      </c>
      <c r="L38" s="22">
        <v>7</v>
      </c>
      <c r="M38" s="22">
        <v>3</v>
      </c>
      <c r="N38" s="22">
        <v>1</v>
      </c>
      <c r="O38" s="20" t="s">
        <v>42</v>
      </c>
      <c r="P38" s="20">
        <f>handsmoothed!B38^2</f>
        <v>289</v>
      </c>
      <c r="Q38" s="20">
        <f>handsmoothed!C38^2</f>
        <v>256</v>
      </c>
      <c r="R38" s="20">
        <f>handsmoothed!D38^2</f>
        <v>225</v>
      </c>
      <c r="S38" s="20">
        <f>handsmoothed!E38^2</f>
        <v>196</v>
      </c>
      <c r="T38" s="20">
        <f>handsmoothed!F38^2</f>
        <v>196</v>
      </c>
      <c r="U38" s="20">
        <f>handsmoothed!G38^2</f>
        <v>169</v>
      </c>
      <c r="V38" s="20">
        <f>handsmoothed!H38^2</f>
        <v>169</v>
      </c>
      <c r="W38" s="20">
        <f>handsmoothed!I38^2</f>
        <v>169</v>
      </c>
      <c r="X38" s="20">
        <f>handsmoothed!J38^2</f>
        <v>169</v>
      </c>
      <c r="Y38" s="20">
        <f>handsmoothed!K38^2</f>
        <v>169</v>
      </c>
      <c r="Z38" s="20">
        <f>handsmoothed!L38^2</f>
        <v>169</v>
      </c>
      <c r="AA38" s="20">
        <f>handsmoothed!M38^2</f>
        <v>169</v>
      </c>
      <c r="AB38" s="20">
        <f>handsmoothed!N38^2</f>
        <v>196</v>
      </c>
    </row>
    <row r="39" spans="1:28" ht="12.75" x14ac:dyDescent="0.2">
      <c r="A39" s="21">
        <v>37</v>
      </c>
      <c r="B39" s="22">
        <v>1</v>
      </c>
      <c r="C39" s="22">
        <v>1</v>
      </c>
      <c r="D39" s="22">
        <v>4</v>
      </c>
      <c r="E39" s="22">
        <v>6</v>
      </c>
      <c r="F39" s="22">
        <v>3</v>
      </c>
      <c r="G39" s="22">
        <v>9</v>
      </c>
      <c r="H39" s="22">
        <v>6</v>
      </c>
      <c r="I39" s="22">
        <v>3</v>
      </c>
      <c r="J39" s="22">
        <v>7</v>
      </c>
      <c r="K39" s="22">
        <v>3</v>
      </c>
      <c r="L39" s="22">
        <v>3</v>
      </c>
      <c r="M39" s="22">
        <v>5</v>
      </c>
      <c r="N39" s="22">
        <v>2</v>
      </c>
      <c r="O39" s="20" t="s">
        <v>42</v>
      </c>
      <c r="P39" s="20">
        <f>handsmoothed!B39^2</f>
        <v>324</v>
      </c>
      <c r="Q39" s="20">
        <f>handsmoothed!C39^2</f>
        <v>289</v>
      </c>
      <c r="R39" s="20">
        <f>handsmoothed!D39^2</f>
        <v>256</v>
      </c>
      <c r="S39" s="20">
        <f>handsmoothed!E39^2</f>
        <v>225</v>
      </c>
      <c r="T39" s="20">
        <f>handsmoothed!F39^2</f>
        <v>196</v>
      </c>
      <c r="U39" s="20">
        <f>handsmoothed!G39^2</f>
        <v>196</v>
      </c>
      <c r="V39" s="20">
        <f>handsmoothed!H39^2</f>
        <v>169</v>
      </c>
      <c r="W39" s="20">
        <f>handsmoothed!I39^2</f>
        <v>169</v>
      </c>
      <c r="X39" s="20">
        <f>handsmoothed!J39^2</f>
        <v>169</v>
      </c>
      <c r="Y39" s="20">
        <f>handsmoothed!K39^2</f>
        <v>169</v>
      </c>
      <c r="Z39" s="20">
        <f>handsmoothed!L39^2</f>
        <v>169</v>
      </c>
      <c r="AA39" s="20">
        <f>handsmoothed!M39^2</f>
        <v>196</v>
      </c>
      <c r="AB39" s="20">
        <f>handsmoothed!N39^2</f>
        <v>225</v>
      </c>
    </row>
    <row r="40" spans="1:28" ht="12.75" x14ac:dyDescent="0.2">
      <c r="A40" s="21">
        <v>38</v>
      </c>
      <c r="B40" s="22" t="s">
        <v>70</v>
      </c>
      <c r="C40" s="22" t="s">
        <v>70</v>
      </c>
      <c r="D40" s="22" t="s">
        <v>70</v>
      </c>
      <c r="E40" s="22" t="s">
        <v>70</v>
      </c>
      <c r="F40" s="22">
        <v>3</v>
      </c>
      <c r="G40" s="22">
        <v>3</v>
      </c>
      <c r="H40" s="22">
        <v>4</v>
      </c>
      <c r="I40" s="22">
        <v>5</v>
      </c>
      <c r="J40" s="22">
        <v>1</v>
      </c>
      <c r="K40" s="22">
        <v>3</v>
      </c>
      <c r="L40" s="22" t="s">
        <v>70</v>
      </c>
      <c r="M40" s="22">
        <v>2</v>
      </c>
      <c r="N40" s="22">
        <v>1</v>
      </c>
      <c r="O40" s="20" t="s">
        <v>42</v>
      </c>
      <c r="P40" s="20">
        <f>handsmoothed!B40^2</f>
        <v>324</v>
      </c>
      <c r="Q40" s="20">
        <f>handsmoothed!C40^2</f>
        <v>289</v>
      </c>
      <c r="R40" s="20">
        <f>handsmoothed!D40^2</f>
        <v>256</v>
      </c>
      <c r="S40" s="20">
        <f>handsmoothed!E40^2</f>
        <v>225</v>
      </c>
      <c r="T40" s="20">
        <f>handsmoothed!F40^2</f>
        <v>225</v>
      </c>
      <c r="U40" s="20">
        <f>handsmoothed!G40^2</f>
        <v>196</v>
      </c>
      <c r="V40" s="20">
        <f>handsmoothed!H40^2</f>
        <v>196</v>
      </c>
      <c r="W40" s="20">
        <f>handsmoothed!I40^2</f>
        <v>196</v>
      </c>
      <c r="X40" s="20">
        <f>handsmoothed!J40^2</f>
        <v>196</v>
      </c>
      <c r="Y40" s="20">
        <f>handsmoothed!K40^2</f>
        <v>196</v>
      </c>
      <c r="Z40" s="20">
        <f>handsmoothed!L40^2</f>
        <v>196</v>
      </c>
      <c r="AA40" s="20">
        <f>handsmoothed!M40^2</f>
        <v>225</v>
      </c>
      <c r="AB40" s="20">
        <f>handsmoothed!N40^2</f>
        <v>225</v>
      </c>
    </row>
    <row r="41" spans="1:28" ht="12.75" x14ac:dyDescent="0.2">
      <c r="A41" s="21">
        <v>39</v>
      </c>
      <c r="B41" s="22" t="s">
        <v>70</v>
      </c>
      <c r="C41" s="22" t="s">
        <v>70</v>
      </c>
      <c r="D41" s="22">
        <v>2</v>
      </c>
      <c r="E41" s="22">
        <v>3</v>
      </c>
      <c r="F41" s="22">
        <v>2</v>
      </c>
      <c r="G41" s="22">
        <v>3</v>
      </c>
      <c r="H41" s="22">
        <v>5</v>
      </c>
      <c r="I41" s="22">
        <v>7</v>
      </c>
      <c r="J41" s="22">
        <v>3</v>
      </c>
      <c r="K41" s="22" t="s">
        <v>70</v>
      </c>
      <c r="L41" s="22">
        <v>3</v>
      </c>
      <c r="M41" s="22">
        <v>1</v>
      </c>
      <c r="N41" s="22" t="s">
        <v>70</v>
      </c>
      <c r="O41" s="20" t="s">
        <v>42</v>
      </c>
      <c r="P41" s="20">
        <f>handsmoothed!B41^2</f>
        <v>324</v>
      </c>
      <c r="Q41" s="20">
        <f>handsmoothed!C41^2</f>
        <v>324</v>
      </c>
      <c r="R41" s="20">
        <f>handsmoothed!D41^2</f>
        <v>289</v>
      </c>
      <c r="S41" s="20">
        <f>handsmoothed!E41^2</f>
        <v>256</v>
      </c>
      <c r="T41" s="20">
        <f>handsmoothed!F41^2</f>
        <v>225</v>
      </c>
      <c r="U41" s="20">
        <f>handsmoothed!G41^2</f>
        <v>225</v>
      </c>
      <c r="V41" s="20">
        <f>handsmoothed!H41^2</f>
        <v>196</v>
      </c>
      <c r="W41" s="20">
        <f>handsmoothed!I41^2</f>
        <v>196</v>
      </c>
      <c r="X41" s="20">
        <f>handsmoothed!J41^2</f>
        <v>196</v>
      </c>
      <c r="Y41" s="20">
        <f>handsmoothed!K41^2</f>
        <v>196</v>
      </c>
      <c r="Z41" s="20">
        <f>handsmoothed!L41^2</f>
        <v>196</v>
      </c>
      <c r="AA41" s="20">
        <f>handsmoothed!M41^2</f>
        <v>225</v>
      </c>
      <c r="AB41" s="20">
        <f>handsmoothed!N41^2</f>
        <v>256</v>
      </c>
    </row>
    <row r="42" spans="1:28" ht="12.75" x14ac:dyDescent="0.2">
      <c r="A42" s="21">
        <v>40</v>
      </c>
      <c r="B42" s="22" t="s">
        <v>70</v>
      </c>
      <c r="C42" s="22">
        <v>1</v>
      </c>
      <c r="D42" s="22" t="s">
        <v>70</v>
      </c>
      <c r="E42" s="22" t="s">
        <v>70</v>
      </c>
      <c r="F42" s="22">
        <v>2</v>
      </c>
      <c r="G42" s="22">
        <v>1</v>
      </c>
      <c r="H42" s="22">
        <v>4</v>
      </c>
      <c r="I42" s="22" t="s">
        <v>70</v>
      </c>
      <c r="J42" s="22">
        <v>4</v>
      </c>
      <c r="K42" s="22">
        <v>1</v>
      </c>
      <c r="L42" s="22" t="s">
        <v>70</v>
      </c>
      <c r="M42" s="22">
        <v>2</v>
      </c>
      <c r="N42" s="22" t="s">
        <v>70</v>
      </c>
      <c r="O42" s="20" t="s">
        <v>42</v>
      </c>
      <c r="P42" s="20">
        <f>handsmoothed!B42^2</f>
        <v>361</v>
      </c>
      <c r="Q42" s="20">
        <f>handsmoothed!C42^2</f>
        <v>324</v>
      </c>
      <c r="R42" s="20">
        <f>handsmoothed!D42^2</f>
        <v>289</v>
      </c>
      <c r="S42" s="20">
        <f>handsmoothed!E42^2</f>
        <v>256</v>
      </c>
      <c r="T42" s="20">
        <f>handsmoothed!F42^2</f>
        <v>256</v>
      </c>
      <c r="U42" s="20">
        <f>handsmoothed!G42^2</f>
        <v>225</v>
      </c>
      <c r="V42" s="20">
        <f>handsmoothed!H42^2</f>
        <v>225</v>
      </c>
      <c r="W42" s="20">
        <f>handsmoothed!I42^2</f>
        <v>225</v>
      </c>
      <c r="X42" s="20">
        <f>handsmoothed!J42^2</f>
        <v>225</v>
      </c>
      <c r="Y42" s="20">
        <f>handsmoothed!K42^2</f>
        <v>225</v>
      </c>
      <c r="Z42" s="20">
        <f>handsmoothed!L42^2</f>
        <v>225</v>
      </c>
      <c r="AA42" s="20">
        <f>handsmoothed!M42^2</f>
        <v>256</v>
      </c>
      <c r="AB42" s="20">
        <f>handsmoothed!N42^2</f>
        <v>256</v>
      </c>
    </row>
    <row r="43" spans="1:28" ht="12.75" x14ac:dyDescent="0.2">
      <c r="A43" s="21">
        <v>41</v>
      </c>
      <c r="B43" s="22" t="s">
        <v>70</v>
      </c>
      <c r="C43" s="22" t="s">
        <v>70</v>
      </c>
      <c r="D43" s="22">
        <v>1</v>
      </c>
      <c r="E43" s="22" t="s">
        <v>70</v>
      </c>
      <c r="F43" s="22">
        <v>3</v>
      </c>
      <c r="G43" s="22">
        <v>2</v>
      </c>
      <c r="H43" s="22">
        <v>3</v>
      </c>
      <c r="I43" s="22">
        <v>3</v>
      </c>
      <c r="J43" s="22" t="s">
        <v>70</v>
      </c>
      <c r="K43" s="22">
        <v>2</v>
      </c>
      <c r="L43" s="22">
        <v>4</v>
      </c>
      <c r="M43" s="22">
        <v>1</v>
      </c>
      <c r="N43" s="22">
        <v>1</v>
      </c>
      <c r="O43" s="20" t="s">
        <v>42</v>
      </c>
      <c r="P43" s="20">
        <f>handsmoothed!B43^2</f>
        <v>361</v>
      </c>
      <c r="Q43" s="20">
        <f>handsmoothed!C43^2</f>
        <v>324</v>
      </c>
      <c r="R43" s="20">
        <f>handsmoothed!D43^2</f>
        <v>324</v>
      </c>
      <c r="S43" s="20">
        <f>handsmoothed!E43^2</f>
        <v>289</v>
      </c>
      <c r="T43" s="20">
        <f>handsmoothed!F43^2</f>
        <v>256</v>
      </c>
      <c r="U43" s="20">
        <f>handsmoothed!G43^2</f>
        <v>256</v>
      </c>
      <c r="V43" s="20">
        <f>handsmoothed!H43^2</f>
        <v>256</v>
      </c>
      <c r="W43" s="20">
        <f>handsmoothed!I43^2</f>
        <v>256</v>
      </c>
      <c r="X43" s="20">
        <f>handsmoothed!J43^2</f>
        <v>256</v>
      </c>
      <c r="Y43" s="20">
        <f>handsmoothed!K43^2</f>
        <v>256</v>
      </c>
      <c r="Z43" s="20">
        <f>handsmoothed!L43^2</f>
        <v>256</v>
      </c>
      <c r="AA43" s="20">
        <f>handsmoothed!M43^2</f>
        <v>256</v>
      </c>
      <c r="AB43" s="20">
        <f>handsmoothed!N43^2</f>
        <v>289</v>
      </c>
    </row>
    <row r="44" spans="1:28" ht="12.75" x14ac:dyDescent="0.2">
      <c r="A44" s="21">
        <v>42</v>
      </c>
      <c r="B44" s="22" t="s">
        <v>70</v>
      </c>
      <c r="C44" s="22" t="s">
        <v>70</v>
      </c>
      <c r="D44" s="22" t="s">
        <v>70</v>
      </c>
      <c r="E44" s="22" t="s">
        <v>70</v>
      </c>
      <c r="F44" s="22" t="s">
        <v>70</v>
      </c>
      <c r="G44" s="22" t="s">
        <v>70</v>
      </c>
      <c r="H44" s="22">
        <v>1</v>
      </c>
      <c r="I44" s="22">
        <v>2</v>
      </c>
      <c r="J44" s="22">
        <v>2</v>
      </c>
      <c r="K44" s="22">
        <v>1</v>
      </c>
      <c r="L44" s="22">
        <v>1</v>
      </c>
      <c r="M44" s="22">
        <v>1</v>
      </c>
      <c r="N44" s="22">
        <v>1</v>
      </c>
      <c r="O44" s="20" t="s">
        <v>42</v>
      </c>
      <c r="P44" s="20">
        <f>handsmoothed!B44^2</f>
        <v>361</v>
      </c>
      <c r="Q44" s="20">
        <f>handsmoothed!C44^2</f>
        <v>361</v>
      </c>
      <c r="R44" s="20">
        <f>handsmoothed!D44^2</f>
        <v>324</v>
      </c>
      <c r="S44" s="20">
        <f>handsmoothed!E44^2</f>
        <v>324</v>
      </c>
      <c r="T44" s="20">
        <f>handsmoothed!F44^2</f>
        <v>289</v>
      </c>
      <c r="U44" s="20">
        <f>handsmoothed!G44^2</f>
        <v>256</v>
      </c>
      <c r="V44" s="20">
        <f>handsmoothed!H44^2</f>
        <v>256</v>
      </c>
      <c r="W44" s="20">
        <f>handsmoothed!I44^2</f>
        <v>256</v>
      </c>
      <c r="X44" s="20">
        <f>handsmoothed!J44^2</f>
        <v>256</v>
      </c>
      <c r="Y44" s="20">
        <f>handsmoothed!K44^2</f>
        <v>256</v>
      </c>
      <c r="Z44" s="20">
        <f>handsmoothed!L44^2</f>
        <v>256</v>
      </c>
      <c r="AA44" s="20">
        <f>handsmoothed!M44^2</f>
        <v>289</v>
      </c>
      <c r="AB44" s="20">
        <f>handsmoothed!N44^2</f>
        <v>289</v>
      </c>
    </row>
    <row r="45" spans="1:28" ht="12.75" x14ac:dyDescent="0.2">
      <c r="A45" s="21">
        <v>43</v>
      </c>
      <c r="B45" s="22" t="s">
        <v>70</v>
      </c>
      <c r="C45" s="22" t="s">
        <v>70</v>
      </c>
      <c r="D45" s="22" t="s">
        <v>70</v>
      </c>
      <c r="E45" s="22" t="s">
        <v>70</v>
      </c>
      <c r="F45" s="22" t="s">
        <v>70</v>
      </c>
      <c r="G45" s="22">
        <v>1</v>
      </c>
      <c r="H45" s="22">
        <v>1</v>
      </c>
      <c r="I45" s="22">
        <v>1</v>
      </c>
      <c r="J45" s="22">
        <v>1</v>
      </c>
      <c r="K45" s="22" t="s">
        <v>70</v>
      </c>
      <c r="L45" s="22">
        <v>1</v>
      </c>
      <c r="M45" s="22" t="s">
        <v>70</v>
      </c>
      <c r="N45" s="22" t="s">
        <v>70</v>
      </c>
      <c r="O45" s="20" t="s">
        <v>42</v>
      </c>
      <c r="P45" s="20">
        <f>handsmoothed!B45^2</f>
        <v>361</v>
      </c>
      <c r="Q45" s="20">
        <f>handsmoothed!C45^2</f>
        <v>361</v>
      </c>
      <c r="R45" s="20">
        <f>handsmoothed!D45^2</f>
        <v>361</v>
      </c>
      <c r="S45" s="20">
        <f>handsmoothed!E45^2</f>
        <v>324</v>
      </c>
      <c r="T45" s="20">
        <f>handsmoothed!F45^2</f>
        <v>324</v>
      </c>
      <c r="U45" s="20">
        <f>handsmoothed!G45^2</f>
        <v>289</v>
      </c>
      <c r="V45" s="20">
        <f>handsmoothed!H45^2</f>
        <v>289</v>
      </c>
      <c r="W45" s="20">
        <f>handsmoothed!I45^2</f>
        <v>289</v>
      </c>
      <c r="X45" s="20">
        <f>handsmoothed!J45^2</f>
        <v>289</v>
      </c>
      <c r="Y45" s="20">
        <f>handsmoothed!K45^2</f>
        <v>289</v>
      </c>
      <c r="Z45" s="20">
        <f>handsmoothed!L45^2</f>
        <v>289</v>
      </c>
      <c r="AA45" s="20">
        <f>handsmoothed!M45^2</f>
        <v>289</v>
      </c>
      <c r="AB45" s="20">
        <f>handsmoothed!N45^2</f>
        <v>324</v>
      </c>
    </row>
    <row r="46" spans="1:28" ht="12.75" x14ac:dyDescent="0.2">
      <c r="A46" s="21">
        <v>44</v>
      </c>
      <c r="B46" s="22" t="s">
        <v>70</v>
      </c>
      <c r="C46" s="22" t="s">
        <v>70</v>
      </c>
      <c r="D46" s="22" t="s">
        <v>70</v>
      </c>
      <c r="E46" s="22">
        <v>1</v>
      </c>
      <c r="F46" s="22">
        <v>1</v>
      </c>
      <c r="G46" s="22" t="s">
        <v>70</v>
      </c>
      <c r="H46" s="22">
        <v>1</v>
      </c>
      <c r="I46" s="22">
        <v>2</v>
      </c>
      <c r="J46" s="22">
        <v>1</v>
      </c>
      <c r="K46" s="22">
        <v>1</v>
      </c>
      <c r="L46" s="22">
        <v>1</v>
      </c>
      <c r="M46" s="22" t="s">
        <v>70</v>
      </c>
      <c r="N46" s="22">
        <v>1</v>
      </c>
      <c r="O46" s="20" t="s">
        <v>42</v>
      </c>
      <c r="P46" s="20">
        <f>handsmoothed!B46^2</f>
        <v>361</v>
      </c>
      <c r="Q46" s="20">
        <f>handsmoothed!C46^2</f>
        <v>361</v>
      </c>
      <c r="R46" s="20">
        <f>handsmoothed!D46^2</f>
        <v>361</v>
      </c>
      <c r="S46" s="20">
        <f>handsmoothed!E46^2</f>
        <v>361</v>
      </c>
      <c r="T46" s="20">
        <f>handsmoothed!F46^2</f>
        <v>324</v>
      </c>
      <c r="U46" s="20">
        <f>handsmoothed!G46^2</f>
        <v>324</v>
      </c>
      <c r="V46" s="20">
        <f>handsmoothed!H46^2</f>
        <v>324</v>
      </c>
      <c r="W46" s="20">
        <f>handsmoothed!I46^2</f>
        <v>324</v>
      </c>
      <c r="X46" s="20">
        <f>handsmoothed!J46^2</f>
        <v>324</v>
      </c>
      <c r="Y46" s="20">
        <f>handsmoothed!K46^2</f>
        <v>324</v>
      </c>
      <c r="Z46" s="20">
        <f>handsmoothed!L46^2</f>
        <v>324</v>
      </c>
      <c r="AA46" s="20">
        <f>handsmoothed!M46^2</f>
        <v>324</v>
      </c>
      <c r="AB46" s="20">
        <f>handsmoothed!N46^2</f>
        <v>324</v>
      </c>
    </row>
    <row r="47" spans="1:28" ht="12.75" x14ac:dyDescent="0.2">
      <c r="A47" s="21">
        <v>45</v>
      </c>
      <c r="B47" s="22" t="s">
        <v>70</v>
      </c>
      <c r="C47" s="22" t="s">
        <v>70</v>
      </c>
      <c r="D47" s="22" t="s">
        <v>70</v>
      </c>
      <c r="E47" s="22" t="s">
        <v>70</v>
      </c>
      <c r="F47" s="22" t="s">
        <v>70</v>
      </c>
      <c r="G47" s="22">
        <v>1</v>
      </c>
      <c r="H47" s="22" t="s">
        <v>70</v>
      </c>
      <c r="I47" s="22">
        <v>1</v>
      </c>
      <c r="J47" s="22">
        <v>1</v>
      </c>
      <c r="K47" s="22" t="s">
        <v>70</v>
      </c>
      <c r="L47" s="22" t="s">
        <v>70</v>
      </c>
      <c r="M47" s="22" t="s">
        <v>70</v>
      </c>
      <c r="N47" s="22">
        <v>1</v>
      </c>
      <c r="O47" s="20" t="s">
        <v>42</v>
      </c>
      <c r="P47" s="20">
        <f>handsmoothed!B47^2</f>
        <v>361</v>
      </c>
      <c r="Q47" s="20">
        <f>handsmoothed!C47^2</f>
        <v>361</v>
      </c>
      <c r="R47" s="20">
        <f>handsmoothed!D47^2</f>
        <v>361</v>
      </c>
      <c r="S47" s="20">
        <f>handsmoothed!E47^2</f>
        <v>361</v>
      </c>
      <c r="T47" s="20">
        <f>handsmoothed!F47^2</f>
        <v>361</v>
      </c>
      <c r="U47" s="20">
        <f>handsmoothed!G47^2</f>
        <v>361</v>
      </c>
      <c r="V47" s="20">
        <f>handsmoothed!H47^2</f>
        <v>361</v>
      </c>
      <c r="W47" s="20">
        <f>handsmoothed!I47^2</f>
        <v>361</v>
      </c>
      <c r="X47" s="20">
        <f>handsmoothed!J47^2</f>
        <v>361</v>
      </c>
      <c r="Y47" s="20">
        <f>handsmoothed!K47^2</f>
        <v>361</v>
      </c>
      <c r="Z47" s="20">
        <f>handsmoothed!L47^2</f>
        <v>361</v>
      </c>
      <c r="AA47" s="20">
        <f>handsmoothed!M47^2</f>
        <v>361</v>
      </c>
      <c r="AB47" s="20">
        <f>handsmoothed!N47^2</f>
        <v>361</v>
      </c>
    </row>
    <row r="48" spans="1:28" ht="12.75" x14ac:dyDescent="0.2">
      <c r="A48" s="21" t="s">
        <v>42</v>
      </c>
      <c r="B48" s="22">
        <f>SUMPRODUCT(B2:B47,handsmoothed!B2:B47)</f>
        <v>1750</v>
      </c>
      <c r="C48" s="22">
        <f>SUMPRODUCT(C2:C47,handsmoothed!C2:C47)</f>
        <v>1793</v>
      </c>
      <c r="D48" s="22">
        <f>SUMPRODUCT(D2:D47,handsmoothed!D2:D47)</f>
        <v>1846</v>
      </c>
      <c r="E48" s="22">
        <f>SUMPRODUCT(E2:E47,handsmoothed!E2:E47)</f>
        <v>1821</v>
      </c>
      <c r="F48" s="22">
        <f>SUMPRODUCT(F2:F47,handsmoothed!F2:F47)</f>
        <v>1808</v>
      </c>
      <c r="G48" s="22">
        <f>SUMPRODUCT(G2:G47,handsmoothed!G2:G47)</f>
        <v>1756</v>
      </c>
      <c r="H48" s="22">
        <f>SUMPRODUCT(H2:H47,handsmoothed!H2:H47)</f>
        <v>1810</v>
      </c>
      <c r="I48" s="22">
        <f>SUMPRODUCT(I2:I47,handsmoothed!I2:I47)</f>
        <v>1783</v>
      </c>
      <c r="J48" s="22">
        <f>SUMPRODUCT(J2:J47,handsmoothed!J2:J47)</f>
        <v>1819</v>
      </c>
      <c r="K48" s="22">
        <f>SUMPRODUCT(K2:K47,handsmoothed!K2:K47)</f>
        <v>999</v>
      </c>
      <c r="L48" s="22">
        <f>SUMPRODUCT(L2:L47,handsmoothed!L2:L47)</f>
        <v>1047</v>
      </c>
      <c r="M48" s="22">
        <f>SUMPRODUCT(M2:M47,handsmoothed!M2:M47)</f>
        <v>982</v>
      </c>
      <c r="N48" s="22">
        <f>SUMPRODUCT(N2:N47,handsmoothed!N2:N47)</f>
        <v>990</v>
      </c>
      <c r="O48" s="20">
        <f>SUM(B48:N48)</f>
        <v>20204</v>
      </c>
      <c r="P48" s="20" t="s">
        <v>42</v>
      </c>
      <c r="Q48" s="20" t="s">
        <v>42</v>
      </c>
      <c r="R48" s="20" t="s">
        <v>42</v>
      </c>
      <c r="S48" s="20" t="s">
        <v>42</v>
      </c>
      <c r="T48" s="20" t="s">
        <v>42</v>
      </c>
      <c r="U48" s="20" t="s">
        <v>42</v>
      </c>
      <c r="V48" s="20" t="s">
        <v>42</v>
      </c>
      <c r="W48" s="20" t="s">
        <v>42</v>
      </c>
      <c r="X48" s="20" t="s">
        <v>42</v>
      </c>
      <c r="Y48" s="20" t="s">
        <v>42</v>
      </c>
      <c r="Z48" s="20" t="s">
        <v>42</v>
      </c>
      <c r="AA48" s="20" t="s">
        <v>42</v>
      </c>
      <c r="AB48" s="20" t="s">
        <v>42</v>
      </c>
    </row>
    <row r="49" spans="1:28" ht="12.75" x14ac:dyDescent="0.2">
      <c r="A49" s="21" t="s">
        <v>42</v>
      </c>
      <c r="B49" s="22">
        <f t="shared" ref="B49:N49" si="0">SUMPRODUCT(B2:B47,P2:P47)</f>
        <v>18646</v>
      </c>
      <c r="C49" s="22">
        <f t="shared" si="0"/>
        <v>19639</v>
      </c>
      <c r="D49" s="22">
        <f t="shared" si="0"/>
        <v>20424</v>
      </c>
      <c r="E49" s="22">
        <f t="shared" si="0"/>
        <v>19885</v>
      </c>
      <c r="F49" s="22">
        <f t="shared" si="0"/>
        <v>19954</v>
      </c>
      <c r="G49" s="22">
        <f t="shared" si="0"/>
        <v>18678</v>
      </c>
      <c r="H49" s="22">
        <f t="shared" si="0"/>
        <v>19716</v>
      </c>
      <c r="I49" s="22">
        <f t="shared" si="0"/>
        <v>19603</v>
      </c>
      <c r="J49" s="22">
        <f t="shared" si="0"/>
        <v>19929</v>
      </c>
      <c r="K49" s="22">
        <f t="shared" si="0"/>
        <v>10741</v>
      </c>
      <c r="L49" s="22">
        <f t="shared" si="0"/>
        <v>11791</v>
      </c>
      <c r="M49" s="22">
        <f t="shared" si="0"/>
        <v>10506</v>
      </c>
      <c r="N49" s="22">
        <f t="shared" si="0"/>
        <v>10668</v>
      </c>
      <c r="O49" s="20">
        <f>SUM(B49:N49)</f>
        <v>220180</v>
      </c>
      <c r="P49" s="20" t="s">
        <v>42</v>
      </c>
      <c r="Q49" s="20" t="s">
        <v>42</v>
      </c>
      <c r="R49" s="20" t="s">
        <v>42</v>
      </c>
      <c r="S49" s="20" t="s">
        <v>42</v>
      </c>
      <c r="T49" s="20" t="s">
        <v>42</v>
      </c>
      <c r="U49" s="20" t="s">
        <v>42</v>
      </c>
      <c r="V49" s="20" t="s">
        <v>42</v>
      </c>
      <c r="W49" s="20" t="s">
        <v>42</v>
      </c>
      <c r="X49" s="20" t="s">
        <v>42</v>
      </c>
      <c r="Y49" s="20" t="s">
        <v>42</v>
      </c>
      <c r="Z49" s="20" t="s">
        <v>42</v>
      </c>
      <c r="AA49" s="20" t="s">
        <v>42</v>
      </c>
      <c r="AB49" s="20" t="s">
        <v>42</v>
      </c>
    </row>
    <row r="50" spans="1:28" ht="12.75" x14ac:dyDescent="0.2">
      <c r="A50" s="21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</row>
    <row r="51" spans="1:28" ht="12.75" x14ac:dyDescent="0.2">
      <c r="A51" s="21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</row>
    <row r="52" spans="1:28" ht="12.75" x14ac:dyDescent="0.2">
      <c r="A52" s="21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</row>
    <row r="53" spans="1:28" ht="12.75" x14ac:dyDescent="0.2">
      <c r="A53" s="21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</row>
    <row r="54" spans="1:28" ht="12.75" x14ac:dyDescent="0.2">
      <c r="A54" s="21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</row>
    <row r="55" spans="1:28" ht="12.75" x14ac:dyDescent="0.2">
      <c r="A55" s="21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</row>
    <row r="56" spans="1:28" ht="12.75" x14ac:dyDescent="0.2">
      <c r="A56" s="21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</row>
    <row r="57" spans="1:28" ht="12.75" x14ac:dyDescent="0.2">
      <c r="A57" s="21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</row>
    <row r="58" spans="1:28" ht="12.75" x14ac:dyDescent="0.2">
      <c r="A58" s="21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</row>
    <row r="59" spans="1:28" ht="12.75" x14ac:dyDescent="0.2">
      <c r="A59" s="21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</row>
    <row r="60" spans="1:28" ht="12.75" x14ac:dyDescent="0.2">
      <c r="A60" s="21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</row>
    <row r="61" spans="1:28" ht="12.75" x14ac:dyDescent="0.2">
      <c r="A61" s="21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</row>
    <row r="62" spans="1:28" ht="12.75" x14ac:dyDescent="0.2">
      <c r="A62" s="21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</row>
    <row r="63" spans="1:28" ht="12.75" x14ac:dyDescent="0.2">
      <c r="A63" s="21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</row>
    <row r="64" spans="1:28" ht="12.75" x14ac:dyDescent="0.2">
      <c r="A64" s="21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</row>
    <row r="65" spans="1:14" ht="12.75" x14ac:dyDescent="0.2">
      <c r="A65" s="21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</row>
    <row r="66" spans="1:14" ht="12.75" x14ac:dyDescent="0.2">
      <c r="A66" s="21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</row>
    <row r="67" spans="1:14" ht="12.75" x14ac:dyDescent="0.2">
      <c r="A67" s="21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</row>
    <row r="68" spans="1:14" ht="12.75" x14ac:dyDescent="0.2">
      <c r="A68" s="21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</row>
    <row r="69" spans="1:14" ht="12.75" x14ac:dyDescent="0.2"/>
    <row r="70" spans="1:14" ht="12.75" x14ac:dyDescent="0.2"/>
  </sheetData>
  <phoneticPr fontId="5" type="noConversion"/>
  <pageMargins left="0.05" right="0.05" top="0.5" bottom="0.5" header="0" footer="0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9B5EE-7935-44F3-9145-87DBF5B90E0C}">
  <dimension ref="A1:R58"/>
  <sheetViews>
    <sheetView workbookViewId="0">
      <selection activeCell="O24" sqref="O24"/>
    </sheetView>
  </sheetViews>
  <sheetFormatPr defaultColWidth="8.7109375" defaultRowHeight="12.75" x14ac:dyDescent="0.2"/>
  <cols>
    <col min="1" max="16384" width="8.7109375" style="3"/>
  </cols>
  <sheetData>
    <row r="1" spans="1:16" x14ac:dyDescent="0.2">
      <c r="A1" s="3" t="s">
        <v>103</v>
      </c>
      <c r="L1" s="3" t="s">
        <v>112</v>
      </c>
    </row>
    <row r="3" spans="1:16" x14ac:dyDescent="0.2">
      <c r="A3" s="3" t="s">
        <v>104</v>
      </c>
      <c r="L3" s="3" t="s">
        <v>104</v>
      </c>
    </row>
    <row r="5" spans="1:16" ht="12.75" customHeight="1" x14ac:dyDescent="0.2">
      <c r="A5" s="3" t="s">
        <v>105</v>
      </c>
      <c r="L5" s="3" t="s">
        <v>105</v>
      </c>
    </row>
    <row r="6" spans="1:16" x14ac:dyDescent="0.2">
      <c r="A6" s="3" t="s">
        <v>44</v>
      </c>
      <c r="B6" s="3" t="s">
        <v>106</v>
      </c>
      <c r="C6" s="3" t="s">
        <v>107</v>
      </c>
      <c r="D6" s="3" t="s">
        <v>108</v>
      </c>
      <c r="E6" s="3" t="s">
        <v>109</v>
      </c>
      <c r="L6" s="3" t="s">
        <v>44</v>
      </c>
      <c r="M6" s="3" t="s">
        <v>106</v>
      </c>
      <c r="N6" s="3" t="s">
        <v>107</v>
      </c>
      <c r="O6" s="3" t="s">
        <v>108</v>
      </c>
      <c r="P6" s="3" t="s">
        <v>109</v>
      </c>
    </row>
    <row r="7" spans="1:16" x14ac:dyDescent="0.2">
      <c r="A7" s="3">
        <v>2020</v>
      </c>
      <c r="B7" s="3">
        <v>10.007425700000001</v>
      </c>
      <c r="C7" s="3">
        <v>2.9724580999999999</v>
      </c>
      <c r="D7" s="3">
        <v>1</v>
      </c>
      <c r="E7" s="3">
        <v>19</v>
      </c>
      <c r="L7" s="3">
        <v>2020</v>
      </c>
      <c r="M7" s="3">
        <v>10.0019802</v>
      </c>
      <c r="N7" s="3">
        <v>2.9941325999999999</v>
      </c>
      <c r="O7" s="3">
        <v>1</v>
      </c>
      <c r="P7" s="3">
        <v>19</v>
      </c>
    </row>
    <row r="12" spans="1:16" x14ac:dyDescent="0.2">
      <c r="A12" s="3" t="s">
        <v>103</v>
      </c>
      <c r="L12" s="3" t="s">
        <v>112</v>
      </c>
    </row>
    <row r="14" spans="1:16" x14ac:dyDescent="0.2">
      <c r="A14" s="3" t="s">
        <v>104</v>
      </c>
      <c r="L14" s="3" t="s">
        <v>104</v>
      </c>
    </row>
    <row r="16" spans="1:16" ht="12.75" customHeight="1" x14ac:dyDescent="0.2">
      <c r="A16" s="3" t="s">
        <v>105</v>
      </c>
      <c r="L16" s="3" t="s">
        <v>105</v>
      </c>
    </row>
    <row r="17" spans="1:18" x14ac:dyDescent="0.2">
      <c r="A17" s="3" t="s">
        <v>110</v>
      </c>
      <c r="B17" s="3" t="s">
        <v>111</v>
      </c>
      <c r="C17" s="3" t="s">
        <v>44</v>
      </c>
      <c r="D17" s="3" t="s">
        <v>106</v>
      </c>
      <c r="E17" s="3" t="s">
        <v>107</v>
      </c>
      <c r="F17" s="3" t="s">
        <v>108</v>
      </c>
      <c r="G17" s="3" t="s">
        <v>109</v>
      </c>
      <c r="L17" s="3" t="s">
        <v>110</v>
      </c>
      <c r="M17" s="3" t="s">
        <v>111</v>
      </c>
      <c r="N17" s="3" t="s">
        <v>44</v>
      </c>
      <c r="O17" s="3" t="s">
        <v>106</v>
      </c>
      <c r="P17" s="3" t="s">
        <v>107</v>
      </c>
      <c r="Q17" s="3" t="s">
        <v>108</v>
      </c>
      <c r="R17" s="3" t="s">
        <v>109</v>
      </c>
    </row>
    <row r="18" spans="1:18" x14ac:dyDescent="0.2">
      <c r="A18" s="3">
        <v>1</v>
      </c>
      <c r="B18" s="3">
        <v>180</v>
      </c>
      <c r="C18" s="3">
        <v>180</v>
      </c>
      <c r="D18" s="3">
        <v>9.6666667000000004</v>
      </c>
      <c r="E18" s="3">
        <v>3.0120800000000001</v>
      </c>
      <c r="F18" s="3">
        <v>4</v>
      </c>
      <c r="G18" s="3">
        <v>18</v>
      </c>
      <c r="L18" s="3">
        <v>1</v>
      </c>
      <c r="M18" s="3">
        <v>180</v>
      </c>
      <c r="N18" s="3">
        <v>180</v>
      </c>
      <c r="O18" s="3">
        <v>9.7222221999999991</v>
      </c>
      <c r="P18" s="3">
        <v>3.0195926000000002</v>
      </c>
      <c r="Q18" s="3">
        <v>5</v>
      </c>
      <c r="R18" s="3">
        <v>18</v>
      </c>
    </row>
    <row r="19" spans="1:18" x14ac:dyDescent="0.2">
      <c r="A19" s="3">
        <v>2</v>
      </c>
      <c r="B19" s="3">
        <v>180</v>
      </c>
      <c r="C19" s="3">
        <v>180</v>
      </c>
      <c r="D19" s="3">
        <v>10.0555556</v>
      </c>
      <c r="E19" s="3">
        <v>3.1137149000000002</v>
      </c>
      <c r="F19" s="3">
        <v>3</v>
      </c>
      <c r="G19" s="3">
        <v>19</v>
      </c>
      <c r="L19" s="3">
        <v>2</v>
      </c>
      <c r="M19" s="3">
        <v>180</v>
      </c>
      <c r="N19" s="3">
        <v>180</v>
      </c>
      <c r="O19" s="3">
        <v>9.9611111000000001</v>
      </c>
      <c r="P19" s="3">
        <v>3.1523050000000001</v>
      </c>
      <c r="Q19" s="3">
        <v>3</v>
      </c>
      <c r="R19" s="3">
        <v>18</v>
      </c>
    </row>
    <row r="20" spans="1:18" x14ac:dyDescent="0.2">
      <c r="A20" s="3">
        <v>3</v>
      </c>
      <c r="B20" s="3">
        <v>180</v>
      </c>
      <c r="C20" s="3">
        <v>180</v>
      </c>
      <c r="D20" s="3">
        <v>10.494444400000001</v>
      </c>
      <c r="E20" s="3">
        <v>2.8195193999999999</v>
      </c>
      <c r="F20" s="3">
        <v>4</v>
      </c>
      <c r="G20" s="3">
        <v>19</v>
      </c>
      <c r="L20" s="3">
        <v>3</v>
      </c>
      <c r="M20" s="3">
        <v>180</v>
      </c>
      <c r="N20" s="3">
        <v>180</v>
      </c>
      <c r="O20" s="3">
        <v>10.255555599999999</v>
      </c>
      <c r="P20" s="3">
        <v>2.8873104000000001</v>
      </c>
      <c r="Q20" s="3">
        <v>4</v>
      </c>
      <c r="R20" s="3">
        <v>18</v>
      </c>
    </row>
    <row r="21" spans="1:18" x14ac:dyDescent="0.2">
      <c r="A21" s="3">
        <v>4</v>
      </c>
      <c r="B21" s="3">
        <v>180</v>
      </c>
      <c r="C21" s="3">
        <v>180</v>
      </c>
      <c r="D21" s="3">
        <v>10.066666700000001</v>
      </c>
      <c r="E21" s="3">
        <v>2.7454380999999999</v>
      </c>
      <c r="F21" s="3">
        <v>2</v>
      </c>
      <c r="G21" s="3">
        <v>19</v>
      </c>
      <c r="L21" s="3">
        <v>4</v>
      </c>
      <c r="M21" s="3">
        <v>180</v>
      </c>
      <c r="N21" s="3">
        <v>180</v>
      </c>
      <c r="O21" s="3">
        <v>10.1166667</v>
      </c>
      <c r="P21" s="3">
        <v>2.8584385000000001</v>
      </c>
      <c r="Q21" s="3">
        <v>2</v>
      </c>
      <c r="R21" s="3">
        <v>19</v>
      </c>
    </row>
    <row r="22" spans="1:18" x14ac:dyDescent="0.2">
      <c r="A22" s="3">
        <v>5</v>
      </c>
      <c r="B22" s="3">
        <v>180</v>
      </c>
      <c r="C22" s="3">
        <v>180</v>
      </c>
      <c r="D22" s="3">
        <v>9.8833333000000003</v>
      </c>
      <c r="E22" s="3">
        <v>3.0162965000000002</v>
      </c>
      <c r="F22" s="3">
        <v>1</v>
      </c>
      <c r="G22" s="3">
        <v>18</v>
      </c>
      <c r="L22" s="3">
        <v>5</v>
      </c>
      <c r="M22" s="3">
        <v>180</v>
      </c>
      <c r="N22" s="3">
        <v>180</v>
      </c>
      <c r="O22" s="3">
        <v>10.0444444</v>
      </c>
      <c r="P22" s="3">
        <v>3.1654952000000001</v>
      </c>
      <c r="Q22" s="3">
        <v>1</v>
      </c>
      <c r="R22" s="3">
        <v>18</v>
      </c>
    </row>
    <row r="23" spans="1:18" x14ac:dyDescent="0.2">
      <c r="A23" s="3">
        <v>6</v>
      </c>
      <c r="B23" s="3">
        <v>180</v>
      </c>
      <c r="C23" s="3">
        <v>180</v>
      </c>
      <c r="D23" s="3">
        <v>9.6555555999999996</v>
      </c>
      <c r="E23" s="3">
        <v>2.8012811000000002</v>
      </c>
      <c r="F23" s="3">
        <v>3</v>
      </c>
      <c r="G23" s="3">
        <v>18</v>
      </c>
      <c r="L23" s="3">
        <v>6</v>
      </c>
      <c r="M23" s="3">
        <v>180</v>
      </c>
      <c r="N23" s="3">
        <v>180</v>
      </c>
      <c r="O23" s="3">
        <v>9.7555555999999992</v>
      </c>
      <c r="P23" s="3">
        <v>2.9400379999999999</v>
      </c>
      <c r="Q23" s="3">
        <v>3</v>
      </c>
      <c r="R23" s="3">
        <v>19</v>
      </c>
    </row>
    <row r="24" spans="1:18" x14ac:dyDescent="0.2">
      <c r="A24" s="3">
        <v>7</v>
      </c>
      <c r="B24" s="3">
        <v>180</v>
      </c>
      <c r="C24" s="3">
        <v>180</v>
      </c>
      <c r="D24" s="3">
        <v>10.105555600000001</v>
      </c>
      <c r="E24" s="3">
        <v>2.7876368</v>
      </c>
      <c r="F24" s="3">
        <v>3</v>
      </c>
      <c r="G24" s="3">
        <v>17</v>
      </c>
      <c r="L24" s="3">
        <v>7</v>
      </c>
      <c r="M24" s="3">
        <v>180</v>
      </c>
      <c r="N24" s="3">
        <v>180</v>
      </c>
      <c r="O24" s="3">
        <v>10.0555556</v>
      </c>
      <c r="P24" s="3">
        <v>2.9096684000000002</v>
      </c>
      <c r="Q24" s="3">
        <v>3</v>
      </c>
      <c r="R24" s="3">
        <v>18</v>
      </c>
    </row>
    <row r="25" spans="1:18" x14ac:dyDescent="0.2">
      <c r="A25" s="3">
        <v>8</v>
      </c>
      <c r="B25" s="3">
        <v>180</v>
      </c>
      <c r="C25" s="3">
        <v>180</v>
      </c>
      <c r="D25" s="3">
        <v>10.033333300000001</v>
      </c>
      <c r="E25" s="3">
        <v>3.2024781</v>
      </c>
      <c r="F25" s="3">
        <v>2</v>
      </c>
      <c r="G25" s="3">
        <v>18</v>
      </c>
      <c r="L25" s="3">
        <v>8</v>
      </c>
      <c r="M25" s="3">
        <v>180</v>
      </c>
      <c r="N25" s="3">
        <v>180</v>
      </c>
      <c r="O25" s="3">
        <v>9.9055555999999996</v>
      </c>
      <c r="P25" s="3">
        <v>3.2932929999999998</v>
      </c>
      <c r="Q25" s="3">
        <v>2</v>
      </c>
      <c r="R25" s="3">
        <v>19</v>
      </c>
    </row>
    <row r="26" spans="1:18" x14ac:dyDescent="0.2">
      <c r="A26" s="3">
        <v>9</v>
      </c>
      <c r="B26" s="3">
        <v>180</v>
      </c>
      <c r="C26" s="3">
        <v>180</v>
      </c>
      <c r="D26" s="3">
        <v>10.216666699999999</v>
      </c>
      <c r="E26" s="3">
        <v>3.0731763999999999</v>
      </c>
      <c r="F26" s="3">
        <v>3</v>
      </c>
      <c r="G26" s="3">
        <v>18</v>
      </c>
      <c r="L26" s="3">
        <v>9</v>
      </c>
      <c r="M26" s="3">
        <v>180</v>
      </c>
      <c r="N26" s="3">
        <v>180</v>
      </c>
      <c r="O26" s="3">
        <v>10.105555600000001</v>
      </c>
      <c r="P26" s="3">
        <v>2.9398005</v>
      </c>
      <c r="Q26" s="3">
        <v>3</v>
      </c>
      <c r="R26" s="3">
        <v>19</v>
      </c>
    </row>
    <row r="27" spans="1:18" x14ac:dyDescent="0.2">
      <c r="A27" s="3">
        <v>10</v>
      </c>
      <c r="B27" s="3">
        <v>100</v>
      </c>
      <c r="C27" s="3">
        <v>100</v>
      </c>
      <c r="D27" s="3">
        <v>10.11</v>
      </c>
      <c r="E27" s="3">
        <v>2.8423031000000001</v>
      </c>
      <c r="F27" s="3">
        <v>4</v>
      </c>
      <c r="G27" s="3">
        <v>18</v>
      </c>
      <c r="L27" s="3">
        <v>10</v>
      </c>
      <c r="M27" s="3">
        <v>100</v>
      </c>
      <c r="N27" s="3">
        <v>100</v>
      </c>
      <c r="O27" s="3">
        <v>9.99</v>
      </c>
      <c r="P27" s="3">
        <v>2.7725021000000001</v>
      </c>
      <c r="Q27" s="3">
        <v>4</v>
      </c>
      <c r="R27" s="3">
        <v>18</v>
      </c>
    </row>
    <row r="28" spans="1:18" x14ac:dyDescent="0.2">
      <c r="A28" s="3">
        <v>11</v>
      </c>
      <c r="B28" s="3">
        <v>100</v>
      </c>
      <c r="C28" s="3">
        <v>100</v>
      </c>
      <c r="D28" s="3">
        <v>10.59</v>
      </c>
      <c r="E28" s="3">
        <v>3.0187795999999998</v>
      </c>
      <c r="F28" s="3">
        <v>4</v>
      </c>
      <c r="G28" s="3">
        <v>18</v>
      </c>
      <c r="L28" s="3">
        <v>11</v>
      </c>
      <c r="M28" s="3">
        <v>100</v>
      </c>
      <c r="N28" s="3">
        <v>100</v>
      </c>
      <c r="O28" s="3">
        <v>10.47</v>
      </c>
      <c r="P28" s="3">
        <v>2.8935840000000002</v>
      </c>
      <c r="Q28" s="3">
        <v>4</v>
      </c>
      <c r="R28" s="3">
        <v>18</v>
      </c>
    </row>
    <row r="29" spans="1:18" x14ac:dyDescent="0.2">
      <c r="A29" s="3">
        <v>12</v>
      </c>
      <c r="B29" s="3">
        <v>100</v>
      </c>
      <c r="C29" s="3">
        <v>100</v>
      </c>
      <c r="D29" s="3">
        <v>9.65</v>
      </c>
      <c r="E29" s="3">
        <v>3.0989570999999998</v>
      </c>
      <c r="F29" s="3">
        <v>3</v>
      </c>
      <c r="G29" s="3">
        <v>17</v>
      </c>
      <c r="L29" s="3">
        <v>12</v>
      </c>
      <c r="M29" s="3">
        <v>100</v>
      </c>
      <c r="N29" s="3">
        <v>100</v>
      </c>
      <c r="O29" s="3">
        <v>9.82</v>
      </c>
      <c r="P29" s="3">
        <v>2.9520751000000001</v>
      </c>
      <c r="Q29" s="3">
        <v>4</v>
      </c>
      <c r="R29" s="3">
        <v>17</v>
      </c>
    </row>
    <row r="30" spans="1:18" x14ac:dyDescent="0.2">
      <c r="A30" s="3">
        <v>13</v>
      </c>
      <c r="B30" s="3">
        <v>100</v>
      </c>
      <c r="C30" s="3">
        <v>100</v>
      </c>
      <c r="D30" s="3">
        <v>9.48</v>
      </c>
      <c r="E30" s="3">
        <v>3.0632391999999999</v>
      </c>
      <c r="F30" s="3">
        <v>4</v>
      </c>
      <c r="G30" s="3">
        <v>19</v>
      </c>
      <c r="L30" s="3">
        <v>13</v>
      </c>
      <c r="M30" s="3">
        <v>100</v>
      </c>
      <c r="N30" s="3">
        <v>100</v>
      </c>
      <c r="O30" s="3">
        <v>9.9</v>
      </c>
      <c r="P30" s="3">
        <v>2.9593202000000001</v>
      </c>
      <c r="Q30" s="3">
        <v>5</v>
      </c>
      <c r="R30" s="3">
        <v>19</v>
      </c>
    </row>
    <row r="35" spans="1:18" x14ac:dyDescent="0.2">
      <c r="A35" s="3" t="s">
        <v>112</v>
      </c>
      <c r="L35" s="3" t="s">
        <v>112</v>
      </c>
    </row>
    <row r="37" spans="1:18" x14ac:dyDescent="0.2">
      <c r="A37" s="3" t="s">
        <v>73</v>
      </c>
      <c r="B37" s="3" t="s">
        <v>113</v>
      </c>
      <c r="C37" s="3" t="s">
        <v>114</v>
      </c>
      <c r="D37" s="3" t="s">
        <v>115</v>
      </c>
      <c r="E37" s="3" t="s">
        <v>116</v>
      </c>
      <c r="F37" s="3" t="s">
        <v>117</v>
      </c>
      <c r="L37" s="3" t="s">
        <v>73</v>
      </c>
      <c r="M37" s="3" t="s">
        <v>113</v>
      </c>
      <c r="N37" s="3" t="s">
        <v>114</v>
      </c>
      <c r="O37" s="3" t="s">
        <v>115</v>
      </c>
      <c r="P37" s="3" t="s">
        <v>116</v>
      </c>
      <c r="Q37" s="3" t="s">
        <v>117</v>
      </c>
    </row>
    <row r="38" spans="1:18" x14ac:dyDescent="0.2">
      <c r="A38" s="3">
        <v>1</v>
      </c>
      <c r="B38" s="3">
        <v>4</v>
      </c>
      <c r="C38" s="3">
        <v>7</v>
      </c>
      <c r="D38" s="3">
        <v>10</v>
      </c>
      <c r="E38" s="3">
        <v>13</v>
      </c>
      <c r="F38" s="3">
        <v>16</v>
      </c>
      <c r="L38" s="3">
        <v>1</v>
      </c>
      <c r="M38" s="3">
        <v>4</v>
      </c>
      <c r="N38" s="3">
        <v>7</v>
      </c>
      <c r="O38" s="3">
        <v>10</v>
      </c>
      <c r="P38" s="3">
        <v>13</v>
      </c>
      <c r="Q38" s="3">
        <v>16</v>
      </c>
    </row>
    <row r="43" spans="1:18" x14ac:dyDescent="0.2">
      <c r="A43" s="3" t="s">
        <v>112</v>
      </c>
      <c r="L43" s="3" t="s">
        <v>112</v>
      </c>
    </row>
    <row r="45" spans="1:18" x14ac:dyDescent="0.2">
      <c r="A45" s="3" t="s">
        <v>73</v>
      </c>
      <c r="B45" s="3" t="s">
        <v>110</v>
      </c>
      <c r="C45" s="3" t="s">
        <v>113</v>
      </c>
      <c r="D45" s="3" t="s">
        <v>114</v>
      </c>
      <c r="E45" s="3" t="s">
        <v>115</v>
      </c>
      <c r="F45" s="3" t="s">
        <v>116</v>
      </c>
      <c r="G45" s="3" t="s">
        <v>117</v>
      </c>
      <c r="L45" s="3" t="s">
        <v>73</v>
      </c>
      <c r="M45" s="3" t="s">
        <v>110</v>
      </c>
      <c r="N45" s="3" t="s">
        <v>113</v>
      </c>
      <c r="O45" s="3" t="s">
        <v>114</v>
      </c>
      <c r="P45" s="3" t="s">
        <v>115</v>
      </c>
      <c r="Q45" s="3" t="s">
        <v>116</v>
      </c>
      <c r="R45" s="3" t="s">
        <v>117</v>
      </c>
    </row>
    <row r="46" spans="1:18" x14ac:dyDescent="0.2">
      <c r="A46" s="3">
        <v>1</v>
      </c>
      <c r="B46" s="3">
        <v>1</v>
      </c>
      <c r="C46" s="3">
        <v>5</v>
      </c>
      <c r="D46" s="3">
        <v>6</v>
      </c>
      <c r="E46" s="3">
        <v>10</v>
      </c>
      <c r="F46" s="3">
        <v>13</v>
      </c>
      <c r="G46" s="3">
        <v>15</v>
      </c>
      <c r="L46" s="3">
        <v>1</v>
      </c>
      <c r="M46" s="3">
        <v>1</v>
      </c>
      <c r="N46" s="3">
        <v>5</v>
      </c>
      <c r="O46" s="3">
        <v>6</v>
      </c>
      <c r="P46" s="3">
        <v>10</v>
      </c>
      <c r="Q46" s="3">
        <v>13</v>
      </c>
      <c r="R46" s="3">
        <v>16</v>
      </c>
    </row>
    <row r="47" spans="1:18" x14ac:dyDescent="0.2">
      <c r="A47" s="3">
        <v>2</v>
      </c>
      <c r="B47" s="3">
        <v>2</v>
      </c>
      <c r="C47" s="3">
        <v>5</v>
      </c>
      <c r="D47" s="3">
        <v>6</v>
      </c>
      <c r="E47" s="3">
        <v>10</v>
      </c>
      <c r="F47" s="3">
        <v>13</v>
      </c>
      <c r="G47" s="3">
        <v>16</v>
      </c>
      <c r="L47" s="3">
        <v>2</v>
      </c>
      <c r="M47" s="3">
        <v>2</v>
      </c>
      <c r="N47" s="3">
        <v>4</v>
      </c>
      <c r="O47" s="3">
        <v>6</v>
      </c>
      <c r="P47" s="3">
        <v>10</v>
      </c>
      <c r="Q47" s="3">
        <v>13</v>
      </c>
      <c r="R47" s="3">
        <v>16</v>
      </c>
    </row>
    <row r="48" spans="1:18" x14ac:dyDescent="0.2">
      <c r="A48" s="3">
        <v>3</v>
      </c>
      <c r="B48" s="3">
        <v>3</v>
      </c>
      <c r="C48" s="3">
        <v>5</v>
      </c>
      <c r="D48" s="3">
        <v>8</v>
      </c>
      <c r="E48" s="3">
        <v>11</v>
      </c>
      <c r="F48" s="3">
        <v>13</v>
      </c>
      <c r="G48" s="3">
        <v>16</v>
      </c>
      <c r="L48" s="3">
        <v>3</v>
      </c>
      <c r="M48" s="3">
        <v>3</v>
      </c>
      <c r="N48" s="3">
        <v>4</v>
      </c>
      <c r="O48" s="3">
        <v>8</v>
      </c>
      <c r="P48" s="3">
        <v>10</v>
      </c>
      <c r="Q48" s="3">
        <v>13</v>
      </c>
      <c r="R48" s="3">
        <v>16</v>
      </c>
    </row>
    <row r="49" spans="1:18" x14ac:dyDescent="0.2">
      <c r="A49" s="3">
        <v>4</v>
      </c>
      <c r="B49" s="3">
        <v>4</v>
      </c>
      <c r="C49" s="3">
        <v>5</v>
      </c>
      <c r="D49" s="3">
        <v>7</v>
      </c>
      <c r="E49" s="3">
        <v>10</v>
      </c>
      <c r="F49" s="3">
        <v>13</v>
      </c>
      <c r="G49" s="3">
        <v>16</v>
      </c>
      <c r="L49" s="3">
        <v>4</v>
      </c>
      <c r="M49" s="3">
        <v>4</v>
      </c>
      <c r="N49" s="3">
        <v>4</v>
      </c>
      <c r="O49" s="3">
        <v>7</v>
      </c>
      <c r="P49" s="3">
        <v>10</v>
      </c>
      <c r="Q49" s="3">
        <v>13</v>
      </c>
      <c r="R49" s="3">
        <v>16</v>
      </c>
    </row>
    <row r="50" spans="1:18" x14ac:dyDescent="0.2">
      <c r="A50" s="3">
        <v>5</v>
      </c>
      <c r="B50" s="3">
        <v>5</v>
      </c>
      <c r="C50" s="3">
        <v>3</v>
      </c>
      <c r="D50" s="3">
        <v>7</v>
      </c>
      <c r="E50" s="3">
        <v>10</v>
      </c>
      <c r="F50" s="3">
        <v>13</v>
      </c>
      <c r="G50" s="3">
        <v>16</v>
      </c>
      <c r="L50" s="3">
        <v>5</v>
      </c>
      <c r="M50" s="3">
        <v>5</v>
      </c>
      <c r="N50" s="3">
        <v>3</v>
      </c>
      <c r="O50" s="3">
        <v>7</v>
      </c>
      <c r="P50" s="3">
        <v>10</v>
      </c>
      <c r="Q50" s="3">
        <v>13</v>
      </c>
      <c r="R50" s="3">
        <v>16</v>
      </c>
    </row>
    <row r="51" spans="1:18" x14ac:dyDescent="0.2">
      <c r="A51" s="3">
        <v>6</v>
      </c>
      <c r="B51" s="3">
        <v>6</v>
      </c>
      <c r="C51" s="3">
        <v>4</v>
      </c>
      <c r="D51" s="3">
        <v>7</v>
      </c>
      <c r="E51" s="3">
        <v>10</v>
      </c>
      <c r="F51" s="3">
        <v>12</v>
      </c>
      <c r="G51" s="3">
        <v>16</v>
      </c>
      <c r="L51" s="3">
        <v>6</v>
      </c>
      <c r="M51" s="3">
        <v>6</v>
      </c>
      <c r="N51" s="3">
        <v>4</v>
      </c>
      <c r="O51" s="3">
        <v>7</v>
      </c>
      <c r="P51" s="3">
        <v>10</v>
      </c>
      <c r="Q51" s="3">
        <v>13</v>
      </c>
      <c r="R51" s="3">
        <v>16</v>
      </c>
    </row>
    <row r="52" spans="1:18" x14ac:dyDescent="0.2">
      <c r="A52" s="3">
        <v>7</v>
      </c>
      <c r="B52" s="3">
        <v>7</v>
      </c>
      <c r="C52" s="3">
        <v>4</v>
      </c>
      <c r="D52" s="3">
        <v>7</v>
      </c>
      <c r="E52" s="3">
        <v>10</v>
      </c>
      <c r="F52" s="3">
        <v>13</v>
      </c>
      <c r="G52" s="3">
        <v>15</v>
      </c>
      <c r="L52" s="3">
        <v>7</v>
      </c>
      <c r="M52" s="3">
        <v>7</v>
      </c>
      <c r="N52" s="3">
        <v>4</v>
      </c>
      <c r="O52" s="3">
        <v>7</v>
      </c>
      <c r="P52" s="3">
        <v>10</v>
      </c>
      <c r="Q52" s="3">
        <v>13</v>
      </c>
      <c r="R52" s="3">
        <v>16</v>
      </c>
    </row>
    <row r="53" spans="1:18" x14ac:dyDescent="0.2">
      <c r="A53" s="3">
        <v>8</v>
      </c>
      <c r="B53" s="3">
        <v>8</v>
      </c>
      <c r="C53" s="3">
        <v>3</v>
      </c>
      <c r="D53" s="3">
        <v>6</v>
      </c>
      <c r="E53" s="3">
        <v>11</v>
      </c>
      <c r="F53" s="3">
        <v>13</v>
      </c>
      <c r="G53" s="3">
        <v>17</v>
      </c>
      <c r="L53" s="3">
        <v>8</v>
      </c>
      <c r="M53" s="3">
        <v>8</v>
      </c>
      <c r="N53" s="3">
        <v>3</v>
      </c>
      <c r="O53" s="3">
        <v>6</v>
      </c>
      <c r="P53" s="3">
        <v>11</v>
      </c>
      <c r="Q53" s="3">
        <v>13</v>
      </c>
      <c r="R53" s="3">
        <v>17</v>
      </c>
    </row>
    <row r="54" spans="1:18" x14ac:dyDescent="0.2">
      <c r="A54" s="3">
        <v>9</v>
      </c>
      <c r="B54" s="3">
        <v>9</v>
      </c>
      <c r="C54" s="3">
        <v>3</v>
      </c>
      <c r="D54" s="3">
        <v>7</v>
      </c>
      <c r="E54" s="3">
        <v>10</v>
      </c>
      <c r="F54" s="3">
        <v>13</v>
      </c>
      <c r="G54" s="3">
        <v>16</v>
      </c>
      <c r="L54" s="3">
        <v>9</v>
      </c>
      <c r="M54" s="3">
        <v>9</v>
      </c>
      <c r="N54" s="3">
        <v>4</v>
      </c>
      <c r="O54" s="3">
        <v>7</v>
      </c>
      <c r="P54" s="3">
        <v>10</v>
      </c>
      <c r="Q54" s="3">
        <v>13</v>
      </c>
      <c r="R54" s="3">
        <v>16</v>
      </c>
    </row>
    <row r="55" spans="1:18" x14ac:dyDescent="0.2">
      <c r="A55" s="3">
        <v>10</v>
      </c>
      <c r="B55" s="3">
        <v>10</v>
      </c>
      <c r="C55" s="3">
        <v>4</v>
      </c>
      <c r="D55" s="3">
        <v>8</v>
      </c>
      <c r="E55" s="3">
        <v>10</v>
      </c>
      <c r="F55" s="3">
        <v>12.5</v>
      </c>
      <c r="G55" s="3">
        <v>16</v>
      </c>
      <c r="L55" s="3">
        <v>10</v>
      </c>
      <c r="M55" s="3">
        <v>10</v>
      </c>
      <c r="N55" s="3">
        <v>4</v>
      </c>
      <c r="O55" s="3">
        <v>7.5</v>
      </c>
      <c r="P55" s="3">
        <v>10</v>
      </c>
      <c r="Q55" s="3">
        <v>12</v>
      </c>
      <c r="R55" s="3">
        <v>16</v>
      </c>
    </row>
    <row r="56" spans="1:18" x14ac:dyDescent="0.2">
      <c r="A56" s="3">
        <v>11</v>
      </c>
      <c r="B56" s="3">
        <v>11</v>
      </c>
      <c r="C56" s="3">
        <v>4.5</v>
      </c>
      <c r="D56" s="3">
        <v>8</v>
      </c>
      <c r="E56" s="3">
        <v>11</v>
      </c>
      <c r="F56" s="3">
        <v>13</v>
      </c>
      <c r="G56" s="3">
        <v>17</v>
      </c>
      <c r="L56" s="3">
        <v>11</v>
      </c>
      <c r="M56" s="3">
        <v>11</v>
      </c>
      <c r="N56" s="3">
        <v>4.5</v>
      </c>
      <c r="O56" s="3">
        <v>8</v>
      </c>
      <c r="P56" s="3">
        <v>11</v>
      </c>
      <c r="Q56" s="3">
        <v>13</v>
      </c>
      <c r="R56" s="3">
        <v>16.5</v>
      </c>
    </row>
    <row r="57" spans="1:18" x14ac:dyDescent="0.2">
      <c r="A57" s="3">
        <v>12</v>
      </c>
      <c r="B57" s="3">
        <v>12</v>
      </c>
      <c r="C57" s="3">
        <v>5</v>
      </c>
      <c r="D57" s="3">
        <v>6</v>
      </c>
      <c r="E57" s="3">
        <v>10</v>
      </c>
      <c r="F57" s="3">
        <v>13</v>
      </c>
      <c r="G57" s="3">
        <v>16</v>
      </c>
      <c r="L57" s="3">
        <v>12</v>
      </c>
      <c r="M57" s="3">
        <v>12</v>
      </c>
      <c r="N57" s="3">
        <v>5</v>
      </c>
      <c r="O57" s="3">
        <v>7</v>
      </c>
      <c r="P57" s="3">
        <v>10</v>
      </c>
      <c r="Q57" s="3">
        <v>13</v>
      </c>
      <c r="R57" s="3">
        <v>16</v>
      </c>
    </row>
    <row r="58" spans="1:18" x14ac:dyDescent="0.2">
      <c r="A58" s="3">
        <v>13</v>
      </c>
      <c r="B58" s="3">
        <v>13</v>
      </c>
      <c r="C58" s="3">
        <v>5</v>
      </c>
      <c r="D58" s="3">
        <v>6</v>
      </c>
      <c r="E58" s="3">
        <v>10</v>
      </c>
      <c r="F58" s="3">
        <v>12</v>
      </c>
      <c r="G58" s="3">
        <v>17.5</v>
      </c>
      <c r="L58" s="3">
        <v>13</v>
      </c>
      <c r="M58" s="3">
        <v>13</v>
      </c>
      <c r="N58" s="3">
        <v>5</v>
      </c>
      <c r="O58" s="3">
        <v>7</v>
      </c>
      <c r="P58" s="3">
        <v>10</v>
      </c>
      <c r="Q58" s="3">
        <v>13</v>
      </c>
      <c r="R58" s="3">
        <v>17.5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6F345-8294-4CFB-912D-8B8CEB0C0A91}">
  <dimension ref="A1:N47"/>
  <sheetViews>
    <sheetView topLeftCell="A25" workbookViewId="0">
      <selection activeCell="S30" sqref="S30"/>
    </sheetView>
  </sheetViews>
  <sheetFormatPr defaultRowHeight="12.75" x14ac:dyDescent="0.2"/>
  <cols>
    <col min="1" max="1" width="13.140625" style="17" bestFit="1" customWidth="1"/>
    <col min="2" max="14" width="5.42578125" style="17" customWidth="1"/>
    <col min="15" max="16384" width="9.140625" style="3"/>
  </cols>
  <sheetData>
    <row r="1" spans="1:14" x14ac:dyDescent="0.2">
      <c r="A1" s="23" t="s">
        <v>102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</row>
    <row r="2" spans="1:14" x14ac:dyDescent="0.2">
      <c r="A2" s="17">
        <f>handsmoothed!A2</f>
        <v>0</v>
      </c>
      <c r="B2" s="17">
        <f>handsmoothed!B2</f>
        <v>1</v>
      </c>
      <c r="C2" s="17">
        <f>handsmoothed!C2</f>
        <v>1</v>
      </c>
      <c r="D2" s="17">
        <f>handsmoothed!D2</f>
        <v>1</v>
      </c>
      <c r="E2" s="17">
        <f>handsmoothed!E2</f>
        <v>1</v>
      </c>
      <c r="F2" s="17">
        <f>handsmoothed!F2</f>
        <v>1</v>
      </c>
      <c r="G2" s="17">
        <f>handsmoothed!G2</f>
        <v>1</v>
      </c>
      <c r="H2" s="17">
        <f>handsmoothed!H2</f>
        <v>1</v>
      </c>
      <c r="I2" s="17">
        <f>handsmoothed!I2</f>
        <v>1</v>
      </c>
      <c r="J2" s="17">
        <f>handsmoothed!J2</f>
        <v>1</v>
      </c>
      <c r="K2" s="17">
        <f>handsmoothed!K2</f>
        <v>1</v>
      </c>
      <c r="L2" s="17">
        <f>handsmoothed!L2</f>
        <v>1</v>
      </c>
      <c r="M2" s="17">
        <f>handsmoothed!M2</f>
        <v>1</v>
      </c>
      <c r="N2" s="17">
        <f>handsmoothed!N2</f>
        <v>1</v>
      </c>
    </row>
    <row r="3" spans="1:14" x14ac:dyDescent="0.2">
      <c r="A3" s="17">
        <f>handsmoothed!A3</f>
        <v>1</v>
      </c>
      <c r="B3" s="17">
        <f>handsmoothed!B3</f>
        <v>1</v>
      </c>
      <c r="C3" s="17">
        <f>handsmoothed!C3</f>
        <v>1</v>
      </c>
      <c r="D3" s="17">
        <f>handsmoothed!D3</f>
        <v>1</v>
      </c>
      <c r="E3" s="17">
        <f>handsmoothed!E3</f>
        <v>1</v>
      </c>
      <c r="F3" s="17">
        <f>handsmoothed!F3</f>
        <v>1</v>
      </c>
      <c r="G3" s="17">
        <f>handsmoothed!G3</f>
        <v>1</v>
      </c>
      <c r="H3" s="17">
        <f>handsmoothed!H3</f>
        <v>1</v>
      </c>
      <c r="I3" s="17">
        <f>handsmoothed!I3</f>
        <v>1</v>
      </c>
      <c r="J3" s="17">
        <f>handsmoothed!J3</f>
        <v>1</v>
      </c>
      <c r="K3" s="17">
        <f>handsmoothed!K3</f>
        <v>1</v>
      </c>
      <c r="L3" s="17">
        <f>handsmoothed!L3</f>
        <v>1</v>
      </c>
      <c r="M3" s="17">
        <f>handsmoothed!M3</f>
        <v>1</v>
      </c>
      <c r="N3" s="17">
        <f>handsmoothed!N3</f>
        <v>1</v>
      </c>
    </row>
    <row r="4" spans="1:14" x14ac:dyDescent="0.2">
      <c r="A4" s="17">
        <f>handsmoothed!A4</f>
        <v>2</v>
      </c>
      <c r="B4" s="17">
        <f>handsmoothed!B4</f>
        <v>2</v>
      </c>
      <c r="C4" s="17">
        <f>handsmoothed!C4</f>
        <v>1</v>
      </c>
      <c r="D4" s="17">
        <f>handsmoothed!D4</f>
        <v>1</v>
      </c>
      <c r="E4" s="17">
        <f>handsmoothed!E4</f>
        <v>1</v>
      </c>
      <c r="F4" s="17">
        <f>handsmoothed!F4</f>
        <v>1</v>
      </c>
      <c r="G4" s="17">
        <f>handsmoothed!G4</f>
        <v>1</v>
      </c>
      <c r="H4" s="17">
        <f>handsmoothed!H4</f>
        <v>1</v>
      </c>
      <c r="I4" s="17">
        <f>handsmoothed!I4</f>
        <v>1</v>
      </c>
      <c r="J4" s="17">
        <f>handsmoothed!J4</f>
        <v>1</v>
      </c>
      <c r="K4" s="17">
        <f>handsmoothed!K4</f>
        <v>1</v>
      </c>
      <c r="L4" s="17">
        <f>handsmoothed!L4</f>
        <v>1</v>
      </c>
      <c r="M4" s="17">
        <f>handsmoothed!M4</f>
        <v>1</v>
      </c>
      <c r="N4" s="17">
        <f>handsmoothed!N4</f>
        <v>2</v>
      </c>
    </row>
    <row r="5" spans="1:14" x14ac:dyDescent="0.2">
      <c r="A5" s="17">
        <f>handsmoothed!A5</f>
        <v>3</v>
      </c>
      <c r="B5" s="17">
        <f>handsmoothed!B5</f>
        <v>2</v>
      </c>
      <c r="C5" s="17">
        <f>handsmoothed!C5</f>
        <v>2</v>
      </c>
      <c r="D5" s="17">
        <f>handsmoothed!D5</f>
        <v>1</v>
      </c>
      <c r="E5" s="17">
        <f>handsmoothed!E5</f>
        <v>1</v>
      </c>
      <c r="F5" s="17">
        <f>handsmoothed!F5</f>
        <v>1</v>
      </c>
      <c r="G5" s="17">
        <f>handsmoothed!G5</f>
        <v>1</v>
      </c>
      <c r="H5" s="17">
        <f>handsmoothed!H5</f>
        <v>1</v>
      </c>
      <c r="I5" s="17">
        <f>handsmoothed!I5</f>
        <v>1</v>
      </c>
      <c r="J5" s="17">
        <f>handsmoothed!J5</f>
        <v>2</v>
      </c>
      <c r="K5" s="17">
        <f>handsmoothed!K5</f>
        <v>2</v>
      </c>
      <c r="L5" s="17">
        <f>handsmoothed!L5</f>
        <v>2</v>
      </c>
      <c r="M5" s="17">
        <f>handsmoothed!M5</f>
        <v>2</v>
      </c>
      <c r="N5" s="17">
        <f>handsmoothed!N5</f>
        <v>2</v>
      </c>
    </row>
    <row r="6" spans="1:14" x14ac:dyDescent="0.2">
      <c r="A6" s="17">
        <f>handsmoothed!A6</f>
        <v>4</v>
      </c>
      <c r="B6" s="17">
        <f>handsmoothed!B6</f>
        <v>3</v>
      </c>
      <c r="C6" s="17">
        <f>handsmoothed!C6</f>
        <v>2</v>
      </c>
      <c r="D6" s="17">
        <f>handsmoothed!D6</f>
        <v>2</v>
      </c>
      <c r="E6" s="17">
        <f>handsmoothed!E6</f>
        <v>2</v>
      </c>
      <c r="F6" s="17">
        <f>handsmoothed!F6</f>
        <v>2</v>
      </c>
      <c r="G6" s="17">
        <f>handsmoothed!G6</f>
        <v>2</v>
      </c>
      <c r="H6" s="17">
        <f>handsmoothed!H6</f>
        <v>2</v>
      </c>
      <c r="I6" s="17">
        <f>handsmoothed!I6</f>
        <v>2</v>
      </c>
      <c r="J6" s="17">
        <f>handsmoothed!J6</f>
        <v>2</v>
      </c>
      <c r="K6" s="17">
        <f>handsmoothed!K6</f>
        <v>2</v>
      </c>
      <c r="L6" s="17">
        <f>handsmoothed!L6</f>
        <v>2</v>
      </c>
      <c r="M6" s="17">
        <f>handsmoothed!M6</f>
        <v>2</v>
      </c>
      <c r="N6" s="17">
        <f>handsmoothed!N6</f>
        <v>3</v>
      </c>
    </row>
    <row r="7" spans="1:14" x14ac:dyDescent="0.2">
      <c r="A7" s="17">
        <f>handsmoothed!A7</f>
        <v>5</v>
      </c>
      <c r="B7" s="17">
        <f>handsmoothed!B7</f>
        <v>3</v>
      </c>
      <c r="C7" s="17">
        <f>handsmoothed!C7</f>
        <v>3</v>
      </c>
      <c r="D7" s="17">
        <f>handsmoothed!D7</f>
        <v>2</v>
      </c>
      <c r="E7" s="17">
        <f>handsmoothed!E7</f>
        <v>2</v>
      </c>
      <c r="F7" s="17">
        <f>handsmoothed!F7</f>
        <v>2</v>
      </c>
      <c r="G7" s="17">
        <f>handsmoothed!G7</f>
        <v>2</v>
      </c>
      <c r="H7" s="17">
        <f>handsmoothed!H7</f>
        <v>2</v>
      </c>
      <c r="I7" s="17">
        <f>handsmoothed!I7</f>
        <v>2</v>
      </c>
      <c r="J7" s="17">
        <f>handsmoothed!J7</f>
        <v>3</v>
      </c>
      <c r="K7" s="17">
        <f>handsmoothed!K7</f>
        <v>3</v>
      </c>
      <c r="L7" s="17">
        <f>handsmoothed!L7</f>
        <v>3</v>
      </c>
      <c r="M7" s="17">
        <f>handsmoothed!M7</f>
        <v>3</v>
      </c>
      <c r="N7" s="17">
        <f>handsmoothed!N7</f>
        <v>3</v>
      </c>
    </row>
    <row r="8" spans="1:14" x14ac:dyDescent="0.2">
      <c r="A8" s="17">
        <f>handsmoothed!A8</f>
        <v>6</v>
      </c>
      <c r="B8" s="17">
        <f>handsmoothed!B8</f>
        <v>4</v>
      </c>
      <c r="C8" s="17">
        <f>handsmoothed!C8</f>
        <v>3</v>
      </c>
      <c r="D8" s="17">
        <f>handsmoothed!D8</f>
        <v>3</v>
      </c>
      <c r="E8" s="17">
        <f>handsmoothed!E8</f>
        <v>3</v>
      </c>
      <c r="F8" s="17">
        <f>handsmoothed!F8</f>
        <v>3</v>
      </c>
      <c r="G8" s="17">
        <f>handsmoothed!G8</f>
        <v>3</v>
      </c>
      <c r="H8" s="17">
        <f>handsmoothed!H8</f>
        <v>3</v>
      </c>
      <c r="I8" s="17">
        <f>handsmoothed!I8</f>
        <v>3</v>
      </c>
      <c r="J8" s="17">
        <f>handsmoothed!J8</f>
        <v>3</v>
      </c>
      <c r="K8" s="17">
        <f>handsmoothed!K8</f>
        <v>3</v>
      </c>
      <c r="L8" s="17">
        <f>handsmoothed!L8</f>
        <v>3</v>
      </c>
      <c r="M8" s="17">
        <f>handsmoothed!M8</f>
        <v>3</v>
      </c>
      <c r="N8" s="17">
        <f>handsmoothed!N8</f>
        <v>3</v>
      </c>
    </row>
    <row r="9" spans="1:14" x14ac:dyDescent="0.2">
      <c r="A9" s="17">
        <f>handsmoothed!A9</f>
        <v>7</v>
      </c>
      <c r="B9" s="17">
        <f>handsmoothed!B9</f>
        <v>4</v>
      </c>
      <c r="C9" s="17">
        <f>handsmoothed!C9</f>
        <v>3</v>
      </c>
      <c r="D9" s="17">
        <f>handsmoothed!D9</f>
        <v>3</v>
      </c>
      <c r="E9" s="17">
        <f>handsmoothed!E9</f>
        <v>3</v>
      </c>
      <c r="F9" s="17">
        <f>handsmoothed!F9</f>
        <v>3</v>
      </c>
      <c r="G9" s="17">
        <f>handsmoothed!G9</f>
        <v>3</v>
      </c>
      <c r="H9" s="17">
        <f>handsmoothed!H9</f>
        <v>3</v>
      </c>
      <c r="I9" s="17">
        <f>handsmoothed!I9</f>
        <v>3</v>
      </c>
      <c r="J9" s="17">
        <f>handsmoothed!J9</f>
        <v>3</v>
      </c>
      <c r="K9" s="17">
        <f>handsmoothed!K9</f>
        <v>3</v>
      </c>
      <c r="L9" s="17">
        <f>handsmoothed!L9</f>
        <v>3</v>
      </c>
      <c r="M9" s="17">
        <f>handsmoothed!M9</f>
        <v>3</v>
      </c>
      <c r="N9" s="17">
        <f>handsmoothed!N9</f>
        <v>4</v>
      </c>
    </row>
    <row r="10" spans="1:14" x14ac:dyDescent="0.2">
      <c r="A10" s="17">
        <f>handsmoothed!A10</f>
        <v>8</v>
      </c>
      <c r="B10" s="17">
        <f>handsmoothed!B10</f>
        <v>4</v>
      </c>
      <c r="C10" s="17">
        <f>handsmoothed!C10</f>
        <v>4</v>
      </c>
      <c r="D10" s="17">
        <f>handsmoothed!D10</f>
        <v>3</v>
      </c>
      <c r="E10" s="17">
        <f>handsmoothed!E10</f>
        <v>3</v>
      </c>
      <c r="F10" s="17">
        <f>handsmoothed!F10</f>
        <v>3</v>
      </c>
      <c r="G10" s="17">
        <f>handsmoothed!G10</f>
        <v>3</v>
      </c>
      <c r="H10" s="17">
        <f>handsmoothed!H10</f>
        <v>3</v>
      </c>
      <c r="I10" s="17">
        <f>handsmoothed!I10</f>
        <v>3</v>
      </c>
      <c r="J10" s="17">
        <f>handsmoothed!J10</f>
        <v>4</v>
      </c>
      <c r="K10" s="17">
        <f>handsmoothed!K10</f>
        <v>4</v>
      </c>
      <c r="L10" s="17">
        <f>handsmoothed!L10</f>
        <v>4</v>
      </c>
      <c r="M10" s="17">
        <f>handsmoothed!M10</f>
        <v>4</v>
      </c>
      <c r="N10" s="17">
        <f>handsmoothed!N10</f>
        <v>4</v>
      </c>
    </row>
    <row r="11" spans="1:14" x14ac:dyDescent="0.2">
      <c r="A11" s="17">
        <f>handsmoothed!A11</f>
        <v>9</v>
      </c>
      <c r="B11" s="17">
        <f>handsmoothed!B11</f>
        <v>5</v>
      </c>
      <c r="C11" s="17">
        <f>handsmoothed!C11</f>
        <v>4</v>
      </c>
      <c r="D11" s="17">
        <f>handsmoothed!D11</f>
        <v>4</v>
      </c>
      <c r="E11" s="17">
        <f>handsmoothed!E11</f>
        <v>4</v>
      </c>
      <c r="F11" s="17">
        <f>handsmoothed!F11</f>
        <v>4</v>
      </c>
      <c r="G11" s="17">
        <f>handsmoothed!G11</f>
        <v>4</v>
      </c>
      <c r="H11" s="17">
        <f>handsmoothed!H11</f>
        <v>4</v>
      </c>
      <c r="I11" s="17">
        <f>handsmoothed!I11</f>
        <v>4</v>
      </c>
      <c r="J11" s="17">
        <f>handsmoothed!J11</f>
        <v>4</v>
      </c>
      <c r="K11" s="17">
        <f>handsmoothed!K11</f>
        <v>4</v>
      </c>
      <c r="L11" s="17">
        <f>handsmoothed!L11</f>
        <v>4</v>
      </c>
      <c r="M11" s="17">
        <f>handsmoothed!M11</f>
        <v>4</v>
      </c>
      <c r="N11" s="17">
        <f>handsmoothed!N11</f>
        <v>4</v>
      </c>
    </row>
    <row r="12" spans="1:14" x14ac:dyDescent="0.2">
      <c r="A12" s="17">
        <f>handsmoothed!A12</f>
        <v>10</v>
      </c>
      <c r="B12" s="17">
        <f>handsmoothed!B12</f>
        <v>5</v>
      </c>
      <c r="C12" s="17">
        <f>handsmoothed!C12</f>
        <v>4</v>
      </c>
      <c r="D12" s="17">
        <f>handsmoothed!D12</f>
        <v>4</v>
      </c>
      <c r="E12" s="17">
        <f>handsmoothed!E12</f>
        <v>4</v>
      </c>
      <c r="F12" s="17">
        <f>handsmoothed!F12</f>
        <v>4</v>
      </c>
      <c r="G12" s="17">
        <f>handsmoothed!G12</f>
        <v>4</v>
      </c>
      <c r="H12" s="17">
        <f>handsmoothed!H12</f>
        <v>4</v>
      </c>
      <c r="I12" s="17">
        <f>handsmoothed!I12</f>
        <v>4</v>
      </c>
      <c r="J12" s="17">
        <f>handsmoothed!J12</f>
        <v>4</v>
      </c>
      <c r="K12" s="17">
        <f>handsmoothed!K12</f>
        <v>4</v>
      </c>
      <c r="L12" s="17">
        <f>handsmoothed!L12</f>
        <v>4</v>
      </c>
      <c r="M12" s="17">
        <f>handsmoothed!M12</f>
        <v>4</v>
      </c>
      <c r="N12" s="17">
        <f>handsmoothed!N12</f>
        <v>5</v>
      </c>
    </row>
    <row r="13" spans="1:14" x14ac:dyDescent="0.2">
      <c r="A13" s="17">
        <f>handsmoothed!A13</f>
        <v>11</v>
      </c>
      <c r="B13" s="17">
        <f>handsmoothed!B13</f>
        <v>5</v>
      </c>
      <c r="C13" s="17">
        <f>handsmoothed!C13</f>
        <v>5</v>
      </c>
      <c r="D13" s="17">
        <f>handsmoothed!D13</f>
        <v>4</v>
      </c>
      <c r="E13" s="17">
        <f>handsmoothed!E13</f>
        <v>4</v>
      </c>
      <c r="F13" s="17">
        <f>handsmoothed!F13</f>
        <v>4</v>
      </c>
      <c r="G13" s="17">
        <f>handsmoothed!G13</f>
        <v>4</v>
      </c>
      <c r="H13" s="17">
        <f>handsmoothed!H13</f>
        <v>4</v>
      </c>
      <c r="I13" s="17">
        <f>handsmoothed!I13</f>
        <v>4</v>
      </c>
      <c r="J13" s="17">
        <f>handsmoothed!J13</f>
        <v>4</v>
      </c>
      <c r="K13" s="17">
        <f>handsmoothed!K13</f>
        <v>4</v>
      </c>
      <c r="L13" s="17">
        <f>handsmoothed!L13</f>
        <v>4</v>
      </c>
      <c r="M13" s="17">
        <f>handsmoothed!M13</f>
        <v>5</v>
      </c>
      <c r="N13" s="17">
        <f>handsmoothed!N13</f>
        <v>5</v>
      </c>
    </row>
    <row r="14" spans="1:14" x14ac:dyDescent="0.2">
      <c r="A14" s="17">
        <f>handsmoothed!A14</f>
        <v>12</v>
      </c>
      <c r="B14" s="17">
        <f>handsmoothed!B14</f>
        <v>6</v>
      </c>
      <c r="C14" s="17">
        <f>handsmoothed!C14</f>
        <v>5</v>
      </c>
      <c r="D14" s="17">
        <f>handsmoothed!D14</f>
        <v>5</v>
      </c>
      <c r="E14" s="17">
        <f>handsmoothed!E14</f>
        <v>5</v>
      </c>
      <c r="F14" s="17">
        <f>handsmoothed!F14</f>
        <v>5</v>
      </c>
      <c r="G14" s="17">
        <f>handsmoothed!G14</f>
        <v>5</v>
      </c>
      <c r="H14" s="17">
        <f>handsmoothed!H14</f>
        <v>5</v>
      </c>
      <c r="I14" s="17">
        <f>handsmoothed!I14</f>
        <v>5</v>
      </c>
      <c r="J14" s="17">
        <f>handsmoothed!J14</f>
        <v>5</v>
      </c>
      <c r="K14" s="17">
        <f>handsmoothed!K14</f>
        <v>5</v>
      </c>
      <c r="L14" s="17">
        <f>handsmoothed!L14</f>
        <v>5</v>
      </c>
      <c r="M14" s="17">
        <f>handsmoothed!M14</f>
        <v>5</v>
      </c>
      <c r="N14" s="17">
        <f>handsmoothed!N14</f>
        <v>6</v>
      </c>
    </row>
    <row r="15" spans="1:14" x14ac:dyDescent="0.2">
      <c r="A15" s="17">
        <f>handsmoothed!A15</f>
        <v>13</v>
      </c>
      <c r="B15" s="17">
        <f>handsmoothed!B15</f>
        <v>6</v>
      </c>
      <c r="C15" s="17">
        <f>handsmoothed!C15</f>
        <v>6</v>
      </c>
      <c r="D15" s="17">
        <f>handsmoothed!D15</f>
        <v>5</v>
      </c>
      <c r="E15" s="17">
        <f>handsmoothed!E15</f>
        <v>5</v>
      </c>
      <c r="F15" s="17">
        <f>handsmoothed!F15</f>
        <v>5</v>
      </c>
      <c r="G15" s="17">
        <f>handsmoothed!G15</f>
        <v>5</v>
      </c>
      <c r="H15" s="17">
        <f>handsmoothed!H15</f>
        <v>5</v>
      </c>
      <c r="I15" s="17">
        <f>handsmoothed!I15</f>
        <v>5</v>
      </c>
      <c r="J15" s="17">
        <f>handsmoothed!J15</f>
        <v>5</v>
      </c>
      <c r="K15" s="17">
        <f>handsmoothed!K15</f>
        <v>5</v>
      </c>
      <c r="L15" s="17">
        <f>handsmoothed!L15</f>
        <v>5</v>
      </c>
      <c r="M15" s="17">
        <f>handsmoothed!M15</f>
        <v>6</v>
      </c>
      <c r="N15" s="17">
        <f>handsmoothed!N15</f>
        <v>6</v>
      </c>
    </row>
    <row r="16" spans="1:14" x14ac:dyDescent="0.2">
      <c r="A16" s="17">
        <f>handsmoothed!A16</f>
        <v>14</v>
      </c>
      <c r="B16" s="17">
        <f>handsmoothed!B16</f>
        <v>7</v>
      </c>
      <c r="C16" s="17">
        <f>handsmoothed!C16</f>
        <v>6</v>
      </c>
      <c r="D16" s="17">
        <f>handsmoothed!D16</f>
        <v>6</v>
      </c>
      <c r="E16" s="17">
        <f>handsmoothed!E16</f>
        <v>5</v>
      </c>
      <c r="F16" s="17">
        <f>handsmoothed!F16</f>
        <v>5</v>
      </c>
      <c r="G16" s="17">
        <f>handsmoothed!G16</f>
        <v>5</v>
      </c>
      <c r="H16" s="17">
        <f>handsmoothed!H16</f>
        <v>5</v>
      </c>
      <c r="I16" s="17">
        <f>handsmoothed!I16</f>
        <v>5</v>
      </c>
      <c r="J16" s="17">
        <f>handsmoothed!J16</f>
        <v>5</v>
      </c>
      <c r="K16" s="17">
        <f>handsmoothed!K16</f>
        <v>5</v>
      </c>
      <c r="L16" s="17">
        <f>handsmoothed!L16</f>
        <v>5</v>
      </c>
      <c r="M16" s="17">
        <f>handsmoothed!M16</f>
        <v>6</v>
      </c>
      <c r="N16" s="17">
        <f>handsmoothed!N16</f>
        <v>6</v>
      </c>
    </row>
    <row r="17" spans="1:14" x14ac:dyDescent="0.2">
      <c r="A17" s="17">
        <f>handsmoothed!A17</f>
        <v>15</v>
      </c>
      <c r="B17" s="17">
        <f>handsmoothed!B17</f>
        <v>7</v>
      </c>
      <c r="C17" s="17">
        <f>handsmoothed!C17</f>
        <v>7</v>
      </c>
      <c r="D17" s="17">
        <f>handsmoothed!D17</f>
        <v>6</v>
      </c>
      <c r="E17" s="17">
        <f>handsmoothed!E17</f>
        <v>6</v>
      </c>
      <c r="F17" s="17">
        <f>handsmoothed!F17</f>
        <v>6</v>
      </c>
      <c r="G17" s="17">
        <f>handsmoothed!G17</f>
        <v>6</v>
      </c>
      <c r="H17" s="17">
        <f>handsmoothed!H17</f>
        <v>5</v>
      </c>
      <c r="I17" s="17">
        <f>handsmoothed!I17</f>
        <v>5</v>
      </c>
      <c r="J17" s="17">
        <f>handsmoothed!J17</f>
        <v>6</v>
      </c>
      <c r="K17" s="17">
        <f>handsmoothed!K17</f>
        <v>6</v>
      </c>
      <c r="L17" s="17">
        <f>handsmoothed!L17</f>
        <v>6</v>
      </c>
      <c r="M17" s="17">
        <f>handsmoothed!M17</f>
        <v>6</v>
      </c>
      <c r="N17" s="17">
        <f>handsmoothed!N17</f>
        <v>7</v>
      </c>
    </row>
    <row r="18" spans="1:14" x14ac:dyDescent="0.2">
      <c r="A18" s="17">
        <f>handsmoothed!A18</f>
        <v>16</v>
      </c>
      <c r="B18" s="17">
        <f>handsmoothed!B18</f>
        <v>8</v>
      </c>
      <c r="C18" s="17">
        <f>handsmoothed!C18</f>
        <v>7</v>
      </c>
      <c r="D18" s="17">
        <f>handsmoothed!D18</f>
        <v>7</v>
      </c>
      <c r="E18" s="17">
        <f>handsmoothed!E18</f>
        <v>6</v>
      </c>
      <c r="F18" s="17">
        <f>handsmoothed!F18</f>
        <v>6</v>
      </c>
      <c r="G18" s="17">
        <f>handsmoothed!G18</f>
        <v>6</v>
      </c>
      <c r="H18" s="17">
        <f>handsmoothed!H18</f>
        <v>6</v>
      </c>
      <c r="I18" s="17">
        <f>handsmoothed!I18</f>
        <v>6</v>
      </c>
      <c r="J18" s="17">
        <f>handsmoothed!J18</f>
        <v>6</v>
      </c>
      <c r="K18" s="17">
        <f>handsmoothed!K18</f>
        <v>6</v>
      </c>
      <c r="L18" s="17">
        <f>handsmoothed!L18</f>
        <v>6</v>
      </c>
      <c r="M18" s="17">
        <f>handsmoothed!M18</f>
        <v>7</v>
      </c>
      <c r="N18" s="17">
        <f>handsmoothed!N18</f>
        <v>7</v>
      </c>
    </row>
    <row r="19" spans="1:14" x14ac:dyDescent="0.2">
      <c r="A19" s="17">
        <f>handsmoothed!A19</f>
        <v>17</v>
      </c>
      <c r="B19" s="17">
        <f>handsmoothed!B19</f>
        <v>8</v>
      </c>
      <c r="C19" s="17">
        <f>handsmoothed!C19</f>
        <v>8</v>
      </c>
      <c r="D19" s="17">
        <f>handsmoothed!D19</f>
        <v>7</v>
      </c>
      <c r="E19" s="17">
        <f>handsmoothed!E19</f>
        <v>7</v>
      </c>
      <c r="F19" s="17">
        <f>handsmoothed!F19</f>
        <v>6</v>
      </c>
      <c r="G19" s="17">
        <f>handsmoothed!G19</f>
        <v>6</v>
      </c>
      <c r="H19" s="17">
        <f>handsmoothed!H19</f>
        <v>6</v>
      </c>
      <c r="I19" s="17">
        <f>handsmoothed!I19</f>
        <v>6</v>
      </c>
      <c r="J19" s="17">
        <f>handsmoothed!J19</f>
        <v>6</v>
      </c>
      <c r="K19" s="17">
        <f>handsmoothed!K19</f>
        <v>6</v>
      </c>
      <c r="L19" s="17">
        <f>handsmoothed!L19</f>
        <v>6</v>
      </c>
      <c r="M19" s="17">
        <f>handsmoothed!M19</f>
        <v>7</v>
      </c>
      <c r="N19" s="17">
        <f>handsmoothed!N19</f>
        <v>7</v>
      </c>
    </row>
    <row r="20" spans="1:14" x14ac:dyDescent="0.2">
      <c r="A20" s="17">
        <f>handsmoothed!A20</f>
        <v>18</v>
      </c>
      <c r="B20" s="17">
        <f>handsmoothed!B20</f>
        <v>9</v>
      </c>
      <c r="C20" s="17">
        <f>handsmoothed!C20</f>
        <v>8</v>
      </c>
      <c r="D20" s="17">
        <f>handsmoothed!D20</f>
        <v>7</v>
      </c>
      <c r="E20" s="17">
        <f>handsmoothed!E20</f>
        <v>7</v>
      </c>
      <c r="F20" s="17">
        <f>handsmoothed!F20</f>
        <v>7</v>
      </c>
      <c r="G20" s="17">
        <f>handsmoothed!G20</f>
        <v>6</v>
      </c>
      <c r="H20" s="17">
        <f>handsmoothed!H20</f>
        <v>6</v>
      </c>
      <c r="I20" s="17">
        <f>handsmoothed!I20</f>
        <v>6</v>
      </c>
      <c r="J20" s="17">
        <f>handsmoothed!J20</f>
        <v>7</v>
      </c>
      <c r="K20" s="17">
        <f>handsmoothed!K20</f>
        <v>7</v>
      </c>
      <c r="L20" s="17">
        <f>handsmoothed!L20</f>
        <v>7</v>
      </c>
      <c r="M20" s="17">
        <f>handsmoothed!M20</f>
        <v>7</v>
      </c>
      <c r="N20" s="17">
        <f>handsmoothed!N20</f>
        <v>7</v>
      </c>
    </row>
    <row r="21" spans="1:14" x14ac:dyDescent="0.2">
      <c r="A21" s="17">
        <f>handsmoothed!A21</f>
        <v>19</v>
      </c>
      <c r="B21" s="17">
        <f>handsmoothed!B21</f>
        <v>9</v>
      </c>
      <c r="C21" s="17">
        <f>handsmoothed!C21</f>
        <v>8</v>
      </c>
      <c r="D21" s="17">
        <f>handsmoothed!D21</f>
        <v>8</v>
      </c>
      <c r="E21" s="17">
        <f>handsmoothed!E21</f>
        <v>7</v>
      </c>
      <c r="F21" s="17">
        <f>handsmoothed!F21</f>
        <v>7</v>
      </c>
      <c r="G21" s="17">
        <f>handsmoothed!G21</f>
        <v>7</v>
      </c>
      <c r="H21" s="17">
        <f>handsmoothed!H21</f>
        <v>7</v>
      </c>
      <c r="I21" s="17">
        <f>handsmoothed!I21</f>
        <v>7</v>
      </c>
      <c r="J21" s="17">
        <f>handsmoothed!J21</f>
        <v>7</v>
      </c>
      <c r="K21" s="17">
        <f>handsmoothed!K21</f>
        <v>7</v>
      </c>
      <c r="L21" s="17">
        <f>handsmoothed!L21</f>
        <v>7</v>
      </c>
      <c r="M21" s="17">
        <f>handsmoothed!M21</f>
        <v>7</v>
      </c>
      <c r="N21" s="17">
        <f>handsmoothed!N21</f>
        <v>8</v>
      </c>
    </row>
    <row r="22" spans="1:14" x14ac:dyDescent="0.2">
      <c r="A22" s="17">
        <f>handsmoothed!A22</f>
        <v>20</v>
      </c>
      <c r="B22" s="17">
        <f>handsmoothed!B22</f>
        <v>9</v>
      </c>
      <c r="C22" s="17">
        <f>handsmoothed!C22</f>
        <v>9</v>
      </c>
      <c r="D22" s="17">
        <f>handsmoothed!D22</f>
        <v>8</v>
      </c>
      <c r="E22" s="17">
        <f>handsmoothed!E22</f>
        <v>8</v>
      </c>
      <c r="F22" s="17">
        <f>handsmoothed!F22</f>
        <v>7</v>
      </c>
      <c r="G22" s="17">
        <f>handsmoothed!G22</f>
        <v>7</v>
      </c>
      <c r="H22" s="17">
        <f>handsmoothed!H22</f>
        <v>7</v>
      </c>
      <c r="I22" s="17">
        <f>handsmoothed!I22</f>
        <v>7</v>
      </c>
      <c r="J22" s="17">
        <f>handsmoothed!J22</f>
        <v>7</v>
      </c>
      <c r="K22" s="17">
        <f>handsmoothed!K22</f>
        <v>7</v>
      </c>
      <c r="L22" s="17">
        <f>handsmoothed!L22</f>
        <v>7</v>
      </c>
      <c r="M22" s="17">
        <f>handsmoothed!M22</f>
        <v>8</v>
      </c>
      <c r="N22" s="17">
        <f>handsmoothed!N22</f>
        <v>8</v>
      </c>
    </row>
    <row r="23" spans="1:14" x14ac:dyDescent="0.2">
      <c r="A23" s="17">
        <f>handsmoothed!A23</f>
        <v>21</v>
      </c>
      <c r="B23" s="17">
        <f>handsmoothed!B23</f>
        <v>10</v>
      </c>
      <c r="C23" s="17">
        <f>handsmoothed!C23</f>
        <v>9</v>
      </c>
      <c r="D23" s="17">
        <f>handsmoothed!D23</f>
        <v>8</v>
      </c>
      <c r="E23" s="17">
        <f>handsmoothed!E23</f>
        <v>8</v>
      </c>
      <c r="F23" s="17">
        <f>handsmoothed!F23</f>
        <v>8</v>
      </c>
      <c r="G23" s="17">
        <f>handsmoothed!G23</f>
        <v>7</v>
      </c>
      <c r="H23" s="17">
        <f>handsmoothed!H23</f>
        <v>7</v>
      </c>
      <c r="I23" s="17">
        <f>handsmoothed!I23</f>
        <v>7</v>
      </c>
      <c r="J23" s="17">
        <f>handsmoothed!J23</f>
        <v>7</v>
      </c>
      <c r="K23" s="17">
        <f>handsmoothed!K23</f>
        <v>7</v>
      </c>
      <c r="L23" s="17">
        <f>handsmoothed!L23</f>
        <v>8</v>
      </c>
      <c r="M23" s="17">
        <f>handsmoothed!M23</f>
        <v>8</v>
      </c>
      <c r="N23" s="17">
        <f>handsmoothed!N23</f>
        <v>8</v>
      </c>
    </row>
    <row r="24" spans="1:14" x14ac:dyDescent="0.2">
      <c r="A24" s="17">
        <f>handsmoothed!A24</f>
        <v>22</v>
      </c>
      <c r="B24" s="17">
        <f>handsmoothed!B24</f>
        <v>10</v>
      </c>
      <c r="C24" s="17">
        <f>handsmoothed!C24</f>
        <v>9</v>
      </c>
      <c r="D24" s="17">
        <f>handsmoothed!D24</f>
        <v>9</v>
      </c>
      <c r="E24" s="17">
        <f>handsmoothed!E24</f>
        <v>8</v>
      </c>
      <c r="F24" s="17">
        <f>handsmoothed!F24</f>
        <v>8</v>
      </c>
      <c r="G24" s="17">
        <f>handsmoothed!G24</f>
        <v>8</v>
      </c>
      <c r="H24" s="17">
        <f>handsmoothed!H24</f>
        <v>7</v>
      </c>
      <c r="I24" s="17">
        <f>handsmoothed!I24</f>
        <v>7</v>
      </c>
      <c r="J24" s="17">
        <f>handsmoothed!J24</f>
        <v>8</v>
      </c>
      <c r="K24" s="17">
        <f>handsmoothed!K24</f>
        <v>8</v>
      </c>
      <c r="L24" s="17">
        <f>handsmoothed!L24</f>
        <v>8</v>
      </c>
      <c r="M24" s="17">
        <f>handsmoothed!M24</f>
        <v>8</v>
      </c>
      <c r="N24" s="17">
        <f>handsmoothed!N24</f>
        <v>8</v>
      </c>
    </row>
    <row r="25" spans="1:14" x14ac:dyDescent="0.2">
      <c r="A25" s="17">
        <f>handsmoothed!A25</f>
        <v>23</v>
      </c>
      <c r="B25" s="17">
        <f>handsmoothed!B25</f>
        <v>10</v>
      </c>
      <c r="C25" s="17">
        <f>handsmoothed!C25</f>
        <v>10</v>
      </c>
      <c r="D25" s="17">
        <f>handsmoothed!D25</f>
        <v>9</v>
      </c>
      <c r="E25" s="17">
        <f>handsmoothed!E25</f>
        <v>9</v>
      </c>
      <c r="F25" s="17">
        <f>handsmoothed!F25</f>
        <v>8</v>
      </c>
      <c r="G25" s="17">
        <f>handsmoothed!G25</f>
        <v>8</v>
      </c>
      <c r="H25" s="17">
        <f>handsmoothed!H25</f>
        <v>8</v>
      </c>
      <c r="I25" s="17">
        <f>handsmoothed!I25</f>
        <v>8</v>
      </c>
      <c r="J25" s="17">
        <f>handsmoothed!J25</f>
        <v>8</v>
      </c>
      <c r="K25" s="17">
        <f>handsmoothed!K25</f>
        <v>8</v>
      </c>
      <c r="L25" s="17">
        <f>handsmoothed!L25</f>
        <v>8</v>
      </c>
      <c r="M25" s="17">
        <f>handsmoothed!M25</f>
        <v>8</v>
      </c>
      <c r="N25" s="17">
        <f>handsmoothed!N25</f>
        <v>9</v>
      </c>
    </row>
    <row r="26" spans="1:14" x14ac:dyDescent="0.2">
      <c r="A26" s="17">
        <f>handsmoothed!A26</f>
        <v>24</v>
      </c>
      <c r="B26" s="17">
        <f>handsmoothed!B26</f>
        <v>11</v>
      </c>
      <c r="C26" s="17">
        <f>handsmoothed!C26</f>
        <v>10</v>
      </c>
      <c r="D26" s="17">
        <f>handsmoothed!D26</f>
        <v>9</v>
      </c>
      <c r="E26" s="17">
        <f>handsmoothed!E26</f>
        <v>9</v>
      </c>
      <c r="F26" s="17">
        <f>handsmoothed!F26</f>
        <v>9</v>
      </c>
      <c r="G26" s="17">
        <f>handsmoothed!G26</f>
        <v>8</v>
      </c>
      <c r="H26" s="17">
        <f>handsmoothed!H26</f>
        <v>8</v>
      </c>
      <c r="I26" s="17">
        <f>handsmoothed!I26</f>
        <v>8</v>
      </c>
      <c r="J26" s="17">
        <f>handsmoothed!J26</f>
        <v>8</v>
      </c>
      <c r="K26" s="17">
        <f>handsmoothed!K26</f>
        <v>8</v>
      </c>
      <c r="L26" s="17">
        <f>handsmoothed!L26</f>
        <v>9</v>
      </c>
      <c r="M26" s="17">
        <f>handsmoothed!M26</f>
        <v>9</v>
      </c>
      <c r="N26" s="17">
        <f>handsmoothed!N26</f>
        <v>9</v>
      </c>
    </row>
    <row r="27" spans="1:14" x14ac:dyDescent="0.2">
      <c r="A27" s="17">
        <f>handsmoothed!A27</f>
        <v>25</v>
      </c>
      <c r="B27" s="17">
        <f>handsmoothed!B27</f>
        <v>11</v>
      </c>
      <c r="C27" s="17">
        <f>handsmoothed!C27</f>
        <v>10</v>
      </c>
      <c r="D27" s="17">
        <f>handsmoothed!D27</f>
        <v>10</v>
      </c>
      <c r="E27" s="17">
        <f>handsmoothed!E27</f>
        <v>9</v>
      </c>
      <c r="F27" s="17">
        <f>handsmoothed!F27</f>
        <v>9</v>
      </c>
      <c r="G27" s="17">
        <f>handsmoothed!G27</f>
        <v>9</v>
      </c>
      <c r="H27" s="17">
        <f>handsmoothed!H27</f>
        <v>8</v>
      </c>
      <c r="I27" s="17">
        <f>handsmoothed!I27</f>
        <v>8</v>
      </c>
      <c r="J27" s="17">
        <f>handsmoothed!J27</f>
        <v>9</v>
      </c>
      <c r="K27" s="17">
        <f>handsmoothed!K27</f>
        <v>9</v>
      </c>
      <c r="L27" s="17">
        <f>handsmoothed!L27</f>
        <v>9</v>
      </c>
      <c r="M27" s="17">
        <f>handsmoothed!M27</f>
        <v>9</v>
      </c>
      <c r="N27" s="17">
        <f>handsmoothed!N27</f>
        <v>9</v>
      </c>
    </row>
    <row r="28" spans="1:14" x14ac:dyDescent="0.2">
      <c r="A28" s="17">
        <f>handsmoothed!A28</f>
        <v>26</v>
      </c>
      <c r="B28" s="17">
        <f>handsmoothed!B28</f>
        <v>12</v>
      </c>
      <c r="C28" s="17">
        <f>handsmoothed!C28</f>
        <v>11</v>
      </c>
      <c r="D28" s="17">
        <f>handsmoothed!D28</f>
        <v>10</v>
      </c>
      <c r="E28" s="17">
        <f>handsmoothed!E28</f>
        <v>10</v>
      </c>
      <c r="F28" s="17">
        <f>handsmoothed!F28</f>
        <v>9</v>
      </c>
      <c r="G28" s="17">
        <f>handsmoothed!G28</f>
        <v>9</v>
      </c>
      <c r="H28" s="17">
        <f>handsmoothed!H28</f>
        <v>9</v>
      </c>
      <c r="I28" s="17">
        <f>handsmoothed!I28</f>
        <v>9</v>
      </c>
      <c r="J28" s="17">
        <f>handsmoothed!J28</f>
        <v>9</v>
      </c>
      <c r="K28" s="17">
        <f>handsmoothed!K28</f>
        <v>9</v>
      </c>
      <c r="L28" s="17">
        <f>handsmoothed!L28</f>
        <v>9</v>
      </c>
      <c r="M28" s="17">
        <f>handsmoothed!M28</f>
        <v>9</v>
      </c>
      <c r="N28" s="17">
        <f>handsmoothed!N28</f>
        <v>10</v>
      </c>
    </row>
    <row r="29" spans="1:14" x14ac:dyDescent="0.2">
      <c r="A29" s="17">
        <f>handsmoothed!A29</f>
        <v>27</v>
      </c>
      <c r="B29" s="17">
        <f>handsmoothed!B29</f>
        <v>12</v>
      </c>
      <c r="C29" s="17">
        <f>handsmoothed!C29</f>
        <v>11</v>
      </c>
      <c r="D29" s="17">
        <f>handsmoothed!D29</f>
        <v>10</v>
      </c>
      <c r="E29" s="17">
        <f>handsmoothed!E29</f>
        <v>10</v>
      </c>
      <c r="F29" s="17">
        <f>handsmoothed!F29</f>
        <v>10</v>
      </c>
      <c r="G29" s="17">
        <f>handsmoothed!G29</f>
        <v>9</v>
      </c>
      <c r="H29" s="17">
        <f>handsmoothed!H29</f>
        <v>9</v>
      </c>
      <c r="I29" s="17">
        <f>handsmoothed!I29</f>
        <v>9</v>
      </c>
      <c r="J29" s="17">
        <f>handsmoothed!J29</f>
        <v>9</v>
      </c>
      <c r="K29" s="17">
        <f>handsmoothed!K29</f>
        <v>9</v>
      </c>
      <c r="L29" s="17">
        <f>handsmoothed!L29</f>
        <v>10</v>
      </c>
      <c r="M29" s="17">
        <f>handsmoothed!M29</f>
        <v>10</v>
      </c>
      <c r="N29" s="17">
        <f>handsmoothed!N29</f>
        <v>10</v>
      </c>
    </row>
    <row r="30" spans="1:14" x14ac:dyDescent="0.2">
      <c r="A30" s="17">
        <f>handsmoothed!A30</f>
        <v>28</v>
      </c>
      <c r="B30" s="17">
        <f>handsmoothed!B30</f>
        <v>13</v>
      </c>
      <c r="C30" s="17">
        <f>handsmoothed!C30</f>
        <v>12</v>
      </c>
      <c r="D30" s="17">
        <f>handsmoothed!D30</f>
        <v>11</v>
      </c>
      <c r="E30" s="17">
        <f>handsmoothed!E30</f>
        <v>10</v>
      </c>
      <c r="F30" s="17">
        <f>handsmoothed!F30</f>
        <v>10</v>
      </c>
      <c r="G30" s="17">
        <f>handsmoothed!G30</f>
        <v>10</v>
      </c>
      <c r="H30" s="17">
        <f>handsmoothed!H30</f>
        <v>10</v>
      </c>
      <c r="I30" s="17">
        <f>handsmoothed!I30</f>
        <v>10</v>
      </c>
      <c r="J30" s="17">
        <f>handsmoothed!J30</f>
        <v>10</v>
      </c>
      <c r="K30" s="17">
        <f>handsmoothed!K30</f>
        <v>10</v>
      </c>
      <c r="L30" s="17">
        <f>handsmoothed!L30</f>
        <v>10</v>
      </c>
      <c r="M30" s="17">
        <f>handsmoothed!M30</f>
        <v>10</v>
      </c>
      <c r="N30" s="17">
        <f>handsmoothed!N30</f>
        <v>10</v>
      </c>
    </row>
    <row r="31" spans="1:14" x14ac:dyDescent="0.2">
      <c r="A31" s="17">
        <f>handsmoothed!A31</f>
        <v>29</v>
      </c>
      <c r="B31" s="17">
        <f>handsmoothed!B31</f>
        <v>13</v>
      </c>
      <c r="C31" s="17">
        <f>handsmoothed!C31</f>
        <v>12</v>
      </c>
      <c r="D31" s="17">
        <f>handsmoothed!D31</f>
        <v>11</v>
      </c>
      <c r="E31" s="17">
        <f>handsmoothed!E31</f>
        <v>11</v>
      </c>
      <c r="F31" s="17">
        <f>handsmoothed!F31</f>
        <v>10</v>
      </c>
      <c r="G31" s="17">
        <f>handsmoothed!G31</f>
        <v>10</v>
      </c>
      <c r="H31" s="17">
        <f>handsmoothed!H31</f>
        <v>10</v>
      </c>
      <c r="I31" s="17">
        <f>handsmoothed!I31</f>
        <v>10</v>
      </c>
      <c r="J31" s="17">
        <f>handsmoothed!J31</f>
        <v>10</v>
      </c>
      <c r="K31" s="17">
        <f>handsmoothed!K31</f>
        <v>10</v>
      </c>
      <c r="L31" s="17">
        <f>handsmoothed!L31</f>
        <v>10</v>
      </c>
      <c r="M31" s="17">
        <f>handsmoothed!M31</f>
        <v>10</v>
      </c>
      <c r="N31" s="17">
        <f>handsmoothed!N31</f>
        <v>11</v>
      </c>
    </row>
    <row r="32" spans="1:14" x14ac:dyDescent="0.2">
      <c r="A32" s="17">
        <f>handsmoothed!A32</f>
        <v>30</v>
      </c>
      <c r="B32" s="17">
        <f>handsmoothed!B32</f>
        <v>14</v>
      </c>
      <c r="C32" s="17">
        <f>handsmoothed!C32</f>
        <v>13</v>
      </c>
      <c r="D32" s="17">
        <f>handsmoothed!D32</f>
        <v>12</v>
      </c>
      <c r="E32" s="17">
        <f>handsmoothed!E32</f>
        <v>11</v>
      </c>
      <c r="F32" s="17">
        <f>handsmoothed!F32</f>
        <v>11</v>
      </c>
      <c r="G32" s="17">
        <f>handsmoothed!G32</f>
        <v>10</v>
      </c>
      <c r="H32" s="17">
        <f>handsmoothed!H32</f>
        <v>10</v>
      </c>
      <c r="I32" s="17">
        <f>handsmoothed!I32</f>
        <v>10</v>
      </c>
      <c r="J32" s="17">
        <f>handsmoothed!J32</f>
        <v>10</v>
      </c>
      <c r="K32" s="17">
        <f>handsmoothed!K32</f>
        <v>10</v>
      </c>
      <c r="L32" s="17">
        <f>handsmoothed!L32</f>
        <v>11</v>
      </c>
      <c r="M32" s="17">
        <f>handsmoothed!M32</f>
        <v>11</v>
      </c>
      <c r="N32" s="17">
        <f>handsmoothed!N32</f>
        <v>11</v>
      </c>
    </row>
    <row r="33" spans="1:14" x14ac:dyDescent="0.2">
      <c r="A33" s="17">
        <f>handsmoothed!A33</f>
        <v>31</v>
      </c>
      <c r="B33" s="17">
        <f>handsmoothed!B33</f>
        <v>14</v>
      </c>
      <c r="C33" s="17">
        <f>handsmoothed!C33</f>
        <v>13</v>
      </c>
      <c r="D33" s="17">
        <f>handsmoothed!D33</f>
        <v>12</v>
      </c>
      <c r="E33" s="17">
        <f>handsmoothed!E33</f>
        <v>12</v>
      </c>
      <c r="F33" s="17">
        <f>handsmoothed!F33</f>
        <v>11</v>
      </c>
      <c r="G33" s="17">
        <f>handsmoothed!G33</f>
        <v>11</v>
      </c>
      <c r="H33" s="17">
        <f>handsmoothed!H33</f>
        <v>11</v>
      </c>
      <c r="I33" s="17">
        <f>handsmoothed!I33</f>
        <v>11</v>
      </c>
      <c r="J33" s="17">
        <f>handsmoothed!J33</f>
        <v>11</v>
      </c>
      <c r="K33" s="17">
        <f>handsmoothed!K33</f>
        <v>11</v>
      </c>
      <c r="L33" s="17">
        <f>handsmoothed!L33</f>
        <v>11</v>
      </c>
      <c r="M33" s="17">
        <f>handsmoothed!M33</f>
        <v>11</v>
      </c>
      <c r="N33" s="17">
        <f>handsmoothed!N33</f>
        <v>12</v>
      </c>
    </row>
    <row r="34" spans="1:14" x14ac:dyDescent="0.2">
      <c r="A34" s="17">
        <f>handsmoothed!A34</f>
        <v>32</v>
      </c>
      <c r="B34" s="17">
        <f>handsmoothed!B34</f>
        <v>15</v>
      </c>
      <c r="C34" s="17">
        <f>handsmoothed!C34</f>
        <v>14</v>
      </c>
      <c r="D34" s="17">
        <f>handsmoothed!D34</f>
        <v>13</v>
      </c>
      <c r="E34" s="17">
        <f>handsmoothed!E34</f>
        <v>12</v>
      </c>
      <c r="F34" s="17">
        <f>handsmoothed!F34</f>
        <v>12</v>
      </c>
      <c r="G34" s="17">
        <f>handsmoothed!G34</f>
        <v>11</v>
      </c>
      <c r="H34" s="17">
        <f>handsmoothed!H34</f>
        <v>11</v>
      </c>
      <c r="I34" s="17">
        <f>handsmoothed!I34</f>
        <v>11</v>
      </c>
      <c r="J34" s="17">
        <f>handsmoothed!J34</f>
        <v>11</v>
      </c>
      <c r="K34" s="17">
        <f>handsmoothed!K34</f>
        <v>11</v>
      </c>
      <c r="L34" s="17">
        <f>handsmoothed!L34</f>
        <v>11</v>
      </c>
      <c r="M34" s="17">
        <f>handsmoothed!M34</f>
        <v>12</v>
      </c>
      <c r="N34" s="17">
        <f>handsmoothed!N34</f>
        <v>12</v>
      </c>
    </row>
    <row r="35" spans="1:14" x14ac:dyDescent="0.2">
      <c r="A35" s="17">
        <f>handsmoothed!A35</f>
        <v>33</v>
      </c>
      <c r="B35" s="17">
        <f>handsmoothed!B35</f>
        <v>16</v>
      </c>
      <c r="C35" s="17">
        <f>handsmoothed!C35</f>
        <v>14</v>
      </c>
      <c r="D35" s="17">
        <f>handsmoothed!D35</f>
        <v>13</v>
      </c>
      <c r="E35" s="17">
        <f>handsmoothed!E35</f>
        <v>13</v>
      </c>
      <c r="F35" s="17">
        <f>handsmoothed!F35</f>
        <v>12</v>
      </c>
      <c r="G35" s="17">
        <f>handsmoothed!G35</f>
        <v>12</v>
      </c>
      <c r="H35" s="17">
        <f>handsmoothed!H35</f>
        <v>11</v>
      </c>
      <c r="I35" s="17">
        <f>handsmoothed!I35</f>
        <v>11</v>
      </c>
      <c r="J35" s="17">
        <f>handsmoothed!J35</f>
        <v>12</v>
      </c>
      <c r="K35" s="17">
        <f>handsmoothed!K35</f>
        <v>12</v>
      </c>
      <c r="L35" s="17">
        <f>handsmoothed!L35</f>
        <v>12</v>
      </c>
      <c r="M35" s="17">
        <f>handsmoothed!M35</f>
        <v>12</v>
      </c>
      <c r="N35" s="17">
        <f>handsmoothed!N35</f>
        <v>13</v>
      </c>
    </row>
    <row r="36" spans="1:14" x14ac:dyDescent="0.2">
      <c r="A36" s="17">
        <f>handsmoothed!A36</f>
        <v>34</v>
      </c>
      <c r="B36" s="17">
        <f>handsmoothed!B36</f>
        <v>16</v>
      </c>
      <c r="C36" s="17">
        <f>handsmoothed!C36</f>
        <v>15</v>
      </c>
      <c r="D36" s="17">
        <f>handsmoothed!D36</f>
        <v>14</v>
      </c>
      <c r="E36" s="17">
        <f>handsmoothed!E36</f>
        <v>13</v>
      </c>
      <c r="F36" s="17">
        <f>handsmoothed!F36</f>
        <v>13</v>
      </c>
      <c r="G36" s="17">
        <f>handsmoothed!G36</f>
        <v>12</v>
      </c>
      <c r="H36" s="17">
        <f>handsmoothed!H36</f>
        <v>12</v>
      </c>
      <c r="I36" s="17">
        <f>handsmoothed!I36</f>
        <v>12</v>
      </c>
      <c r="J36" s="17">
        <f>handsmoothed!J36</f>
        <v>12</v>
      </c>
      <c r="K36" s="17">
        <f>handsmoothed!K36</f>
        <v>12</v>
      </c>
      <c r="L36" s="17">
        <f>handsmoothed!L36</f>
        <v>12</v>
      </c>
      <c r="M36" s="17">
        <f>handsmoothed!M36</f>
        <v>12</v>
      </c>
      <c r="N36" s="17">
        <f>handsmoothed!N36</f>
        <v>13</v>
      </c>
    </row>
    <row r="37" spans="1:14" x14ac:dyDescent="0.2">
      <c r="A37" s="17">
        <f>handsmoothed!A37</f>
        <v>35</v>
      </c>
      <c r="B37" s="17">
        <f>handsmoothed!B37</f>
        <v>17</v>
      </c>
      <c r="C37" s="17">
        <f>handsmoothed!C37</f>
        <v>16</v>
      </c>
      <c r="D37" s="17">
        <f>handsmoothed!D37</f>
        <v>15</v>
      </c>
      <c r="E37" s="17">
        <f>handsmoothed!E37</f>
        <v>14</v>
      </c>
      <c r="F37" s="17">
        <f>handsmoothed!F37</f>
        <v>13</v>
      </c>
      <c r="G37" s="17">
        <f>handsmoothed!G37</f>
        <v>13</v>
      </c>
      <c r="H37" s="17">
        <f>handsmoothed!H37</f>
        <v>12</v>
      </c>
      <c r="I37" s="17">
        <f>handsmoothed!I37</f>
        <v>12</v>
      </c>
      <c r="J37" s="17">
        <f>handsmoothed!J37</f>
        <v>12</v>
      </c>
      <c r="K37" s="17">
        <f>handsmoothed!K37</f>
        <v>12</v>
      </c>
      <c r="L37" s="17">
        <f>handsmoothed!L37</f>
        <v>12</v>
      </c>
      <c r="M37" s="17">
        <f>handsmoothed!M37</f>
        <v>13</v>
      </c>
      <c r="N37" s="17">
        <f>handsmoothed!N37</f>
        <v>14</v>
      </c>
    </row>
    <row r="38" spans="1:14" x14ac:dyDescent="0.2">
      <c r="A38" s="17">
        <f>handsmoothed!A38</f>
        <v>36</v>
      </c>
      <c r="B38" s="17">
        <f>handsmoothed!B38</f>
        <v>17</v>
      </c>
      <c r="C38" s="17">
        <f>handsmoothed!C38</f>
        <v>16</v>
      </c>
      <c r="D38" s="17">
        <f>handsmoothed!D38</f>
        <v>15</v>
      </c>
      <c r="E38" s="17">
        <f>handsmoothed!E38</f>
        <v>14</v>
      </c>
      <c r="F38" s="17">
        <f>handsmoothed!F38</f>
        <v>14</v>
      </c>
      <c r="G38" s="17">
        <f>handsmoothed!G38</f>
        <v>13</v>
      </c>
      <c r="H38" s="17">
        <f>handsmoothed!H38</f>
        <v>13</v>
      </c>
      <c r="I38" s="17">
        <f>handsmoothed!I38</f>
        <v>13</v>
      </c>
      <c r="J38" s="17">
        <f>handsmoothed!J38</f>
        <v>13</v>
      </c>
      <c r="K38" s="17">
        <f>handsmoothed!K38</f>
        <v>13</v>
      </c>
      <c r="L38" s="17">
        <f>handsmoothed!L38</f>
        <v>13</v>
      </c>
      <c r="M38" s="17">
        <f>handsmoothed!M38</f>
        <v>13</v>
      </c>
      <c r="N38" s="17">
        <f>handsmoothed!N38</f>
        <v>14</v>
      </c>
    </row>
    <row r="39" spans="1:14" x14ac:dyDescent="0.2">
      <c r="A39" s="17">
        <f>handsmoothed!A39</f>
        <v>37</v>
      </c>
      <c r="B39" s="17">
        <f>handsmoothed!B39</f>
        <v>18</v>
      </c>
      <c r="C39" s="17">
        <f>handsmoothed!C39</f>
        <v>17</v>
      </c>
      <c r="D39" s="17">
        <f>handsmoothed!D39</f>
        <v>16</v>
      </c>
      <c r="E39" s="17">
        <f>handsmoothed!E39</f>
        <v>15</v>
      </c>
      <c r="F39" s="17">
        <f>handsmoothed!F39</f>
        <v>14</v>
      </c>
      <c r="G39" s="17">
        <f>handsmoothed!G39</f>
        <v>14</v>
      </c>
      <c r="H39" s="17">
        <f>handsmoothed!H39</f>
        <v>13</v>
      </c>
      <c r="I39" s="17">
        <f>handsmoothed!I39</f>
        <v>13</v>
      </c>
      <c r="J39" s="17">
        <f>handsmoothed!J39</f>
        <v>13</v>
      </c>
      <c r="K39" s="17">
        <f>handsmoothed!K39</f>
        <v>13</v>
      </c>
      <c r="L39" s="17">
        <f>handsmoothed!L39</f>
        <v>13</v>
      </c>
      <c r="M39" s="17">
        <f>handsmoothed!M39</f>
        <v>14</v>
      </c>
      <c r="N39" s="17">
        <f>handsmoothed!N39</f>
        <v>15</v>
      </c>
    </row>
    <row r="40" spans="1:14" x14ac:dyDescent="0.2">
      <c r="A40" s="17">
        <f>handsmoothed!A40</f>
        <v>38</v>
      </c>
      <c r="B40" s="17">
        <f>handsmoothed!B40</f>
        <v>18</v>
      </c>
      <c r="C40" s="17">
        <f>handsmoothed!C40</f>
        <v>17</v>
      </c>
      <c r="D40" s="17">
        <f>handsmoothed!D40</f>
        <v>16</v>
      </c>
      <c r="E40" s="17">
        <f>handsmoothed!E40</f>
        <v>15</v>
      </c>
      <c r="F40" s="17">
        <f>handsmoothed!F40</f>
        <v>15</v>
      </c>
      <c r="G40" s="17">
        <f>handsmoothed!G40</f>
        <v>14</v>
      </c>
      <c r="H40" s="17">
        <f>handsmoothed!H40</f>
        <v>14</v>
      </c>
      <c r="I40" s="17">
        <f>handsmoothed!I40</f>
        <v>14</v>
      </c>
      <c r="J40" s="17">
        <f>handsmoothed!J40</f>
        <v>14</v>
      </c>
      <c r="K40" s="17">
        <f>handsmoothed!K40</f>
        <v>14</v>
      </c>
      <c r="L40" s="17">
        <f>handsmoothed!L40</f>
        <v>14</v>
      </c>
      <c r="M40" s="17">
        <f>handsmoothed!M40</f>
        <v>15</v>
      </c>
      <c r="N40" s="17">
        <f>handsmoothed!N40</f>
        <v>15</v>
      </c>
    </row>
    <row r="41" spans="1:14" x14ac:dyDescent="0.2">
      <c r="A41" s="17">
        <f>handsmoothed!A41</f>
        <v>39</v>
      </c>
      <c r="B41" s="17">
        <f>handsmoothed!B41</f>
        <v>18</v>
      </c>
      <c r="C41" s="17">
        <f>handsmoothed!C41</f>
        <v>18</v>
      </c>
      <c r="D41" s="17">
        <f>handsmoothed!D41</f>
        <v>17</v>
      </c>
      <c r="E41" s="17">
        <f>handsmoothed!E41</f>
        <v>16</v>
      </c>
      <c r="F41" s="17">
        <f>handsmoothed!F41</f>
        <v>15</v>
      </c>
      <c r="G41" s="17">
        <f>handsmoothed!G41</f>
        <v>15</v>
      </c>
      <c r="H41" s="17">
        <f>handsmoothed!H41</f>
        <v>14</v>
      </c>
      <c r="I41" s="17">
        <f>handsmoothed!I41</f>
        <v>14</v>
      </c>
      <c r="J41" s="17">
        <f>handsmoothed!J41</f>
        <v>14</v>
      </c>
      <c r="K41" s="17">
        <f>handsmoothed!K41</f>
        <v>14</v>
      </c>
      <c r="L41" s="17">
        <f>handsmoothed!L41</f>
        <v>14</v>
      </c>
      <c r="M41" s="17">
        <f>handsmoothed!M41</f>
        <v>15</v>
      </c>
      <c r="N41" s="17">
        <f>handsmoothed!N41</f>
        <v>16</v>
      </c>
    </row>
    <row r="42" spans="1:14" x14ac:dyDescent="0.2">
      <c r="A42" s="17">
        <f>handsmoothed!A42</f>
        <v>40</v>
      </c>
      <c r="B42" s="17">
        <f>handsmoothed!B42</f>
        <v>19</v>
      </c>
      <c r="C42" s="17">
        <f>handsmoothed!C42</f>
        <v>18</v>
      </c>
      <c r="D42" s="17">
        <f>handsmoothed!D42</f>
        <v>17</v>
      </c>
      <c r="E42" s="17">
        <f>handsmoothed!E42</f>
        <v>16</v>
      </c>
      <c r="F42" s="17">
        <f>handsmoothed!F42</f>
        <v>16</v>
      </c>
      <c r="G42" s="17">
        <f>handsmoothed!G42</f>
        <v>15</v>
      </c>
      <c r="H42" s="17">
        <f>handsmoothed!H42</f>
        <v>15</v>
      </c>
      <c r="I42" s="17">
        <f>handsmoothed!I42</f>
        <v>15</v>
      </c>
      <c r="J42" s="17">
        <f>handsmoothed!J42</f>
        <v>15</v>
      </c>
      <c r="K42" s="17">
        <f>handsmoothed!K42</f>
        <v>15</v>
      </c>
      <c r="L42" s="17">
        <f>handsmoothed!L42</f>
        <v>15</v>
      </c>
      <c r="M42" s="17">
        <f>handsmoothed!M42</f>
        <v>16</v>
      </c>
      <c r="N42" s="17">
        <f>handsmoothed!N42</f>
        <v>16</v>
      </c>
    </row>
    <row r="43" spans="1:14" x14ac:dyDescent="0.2">
      <c r="A43" s="17">
        <f>handsmoothed!A43</f>
        <v>41</v>
      </c>
      <c r="B43" s="17">
        <f>handsmoothed!B43</f>
        <v>19</v>
      </c>
      <c r="C43" s="17">
        <f>handsmoothed!C43</f>
        <v>18</v>
      </c>
      <c r="D43" s="17">
        <f>handsmoothed!D43</f>
        <v>18</v>
      </c>
      <c r="E43" s="17">
        <f>handsmoothed!E43</f>
        <v>17</v>
      </c>
      <c r="F43" s="17">
        <f>handsmoothed!F43</f>
        <v>16</v>
      </c>
      <c r="G43" s="17">
        <f>handsmoothed!G43</f>
        <v>16</v>
      </c>
      <c r="H43" s="17">
        <f>handsmoothed!H43</f>
        <v>16</v>
      </c>
      <c r="I43" s="17">
        <f>handsmoothed!I43</f>
        <v>16</v>
      </c>
      <c r="J43" s="17">
        <f>handsmoothed!J43</f>
        <v>16</v>
      </c>
      <c r="K43" s="17">
        <f>handsmoothed!K43</f>
        <v>16</v>
      </c>
      <c r="L43" s="17">
        <f>handsmoothed!L43</f>
        <v>16</v>
      </c>
      <c r="M43" s="17">
        <f>handsmoothed!M43</f>
        <v>16</v>
      </c>
      <c r="N43" s="17">
        <f>handsmoothed!N43</f>
        <v>17</v>
      </c>
    </row>
    <row r="44" spans="1:14" x14ac:dyDescent="0.2">
      <c r="A44" s="17">
        <f>handsmoothed!A44</f>
        <v>42</v>
      </c>
      <c r="B44" s="17">
        <f>handsmoothed!B44</f>
        <v>19</v>
      </c>
      <c r="C44" s="17">
        <f>handsmoothed!C44</f>
        <v>19</v>
      </c>
      <c r="D44" s="17">
        <f>handsmoothed!D44</f>
        <v>18</v>
      </c>
      <c r="E44" s="17">
        <f>handsmoothed!E44</f>
        <v>18</v>
      </c>
      <c r="F44" s="17">
        <f>handsmoothed!F44</f>
        <v>17</v>
      </c>
      <c r="G44" s="17">
        <f>handsmoothed!G44</f>
        <v>16</v>
      </c>
      <c r="H44" s="17">
        <f>handsmoothed!H44</f>
        <v>16</v>
      </c>
      <c r="I44" s="17">
        <f>handsmoothed!I44</f>
        <v>16</v>
      </c>
      <c r="J44" s="17">
        <f>handsmoothed!J44</f>
        <v>16</v>
      </c>
      <c r="K44" s="17">
        <f>handsmoothed!K44</f>
        <v>16</v>
      </c>
      <c r="L44" s="17">
        <f>handsmoothed!L44</f>
        <v>16</v>
      </c>
      <c r="M44" s="17">
        <f>handsmoothed!M44</f>
        <v>17</v>
      </c>
      <c r="N44" s="17">
        <f>handsmoothed!N44</f>
        <v>17</v>
      </c>
    </row>
    <row r="45" spans="1:14" x14ac:dyDescent="0.2">
      <c r="A45" s="17">
        <f>handsmoothed!A45</f>
        <v>43</v>
      </c>
      <c r="B45" s="17">
        <f>handsmoothed!B45</f>
        <v>19</v>
      </c>
      <c r="C45" s="17">
        <f>handsmoothed!C45</f>
        <v>19</v>
      </c>
      <c r="D45" s="17">
        <f>handsmoothed!D45</f>
        <v>19</v>
      </c>
      <c r="E45" s="17">
        <f>handsmoothed!E45</f>
        <v>18</v>
      </c>
      <c r="F45" s="17">
        <f>handsmoothed!F45</f>
        <v>18</v>
      </c>
      <c r="G45" s="17">
        <f>handsmoothed!G45</f>
        <v>17</v>
      </c>
      <c r="H45" s="17">
        <f>handsmoothed!H45</f>
        <v>17</v>
      </c>
      <c r="I45" s="17">
        <f>handsmoothed!I45</f>
        <v>17</v>
      </c>
      <c r="J45" s="17">
        <f>handsmoothed!J45</f>
        <v>17</v>
      </c>
      <c r="K45" s="17">
        <f>handsmoothed!K45</f>
        <v>17</v>
      </c>
      <c r="L45" s="17">
        <f>handsmoothed!L45</f>
        <v>17</v>
      </c>
      <c r="M45" s="17">
        <f>handsmoothed!M45</f>
        <v>17</v>
      </c>
      <c r="N45" s="17">
        <f>handsmoothed!N45</f>
        <v>18</v>
      </c>
    </row>
    <row r="46" spans="1:14" x14ac:dyDescent="0.2">
      <c r="A46" s="17">
        <f>handsmoothed!A46</f>
        <v>44</v>
      </c>
      <c r="B46" s="17">
        <f>handsmoothed!B46</f>
        <v>19</v>
      </c>
      <c r="C46" s="17">
        <f>handsmoothed!C46</f>
        <v>19</v>
      </c>
      <c r="D46" s="17">
        <f>handsmoothed!D46</f>
        <v>19</v>
      </c>
      <c r="E46" s="17">
        <f>handsmoothed!E46</f>
        <v>19</v>
      </c>
      <c r="F46" s="17">
        <f>handsmoothed!F46</f>
        <v>18</v>
      </c>
      <c r="G46" s="17">
        <f>handsmoothed!G46</f>
        <v>18</v>
      </c>
      <c r="H46" s="17">
        <f>handsmoothed!H46</f>
        <v>18</v>
      </c>
      <c r="I46" s="17">
        <f>handsmoothed!I46</f>
        <v>18</v>
      </c>
      <c r="J46" s="17">
        <f>handsmoothed!J46</f>
        <v>18</v>
      </c>
      <c r="K46" s="17">
        <f>handsmoothed!K46</f>
        <v>18</v>
      </c>
      <c r="L46" s="17">
        <f>handsmoothed!L46</f>
        <v>18</v>
      </c>
      <c r="M46" s="17">
        <f>handsmoothed!M46</f>
        <v>18</v>
      </c>
      <c r="N46" s="17">
        <f>handsmoothed!N46</f>
        <v>18</v>
      </c>
    </row>
    <row r="47" spans="1:14" x14ac:dyDescent="0.2">
      <c r="A47" s="17">
        <f>handsmoothed!A47</f>
        <v>45</v>
      </c>
      <c r="B47" s="17">
        <f>handsmoothed!B47</f>
        <v>19</v>
      </c>
      <c r="C47" s="17">
        <f>handsmoothed!C47</f>
        <v>19</v>
      </c>
      <c r="D47" s="17">
        <f>handsmoothed!D47</f>
        <v>19</v>
      </c>
      <c r="E47" s="17">
        <f>handsmoothed!E47</f>
        <v>19</v>
      </c>
      <c r="F47" s="17">
        <f>handsmoothed!F47</f>
        <v>19</v>
      </c>
      <c r="G47" s="17">
        <f>handsmoothed!G47</f>
        <v>19</v>
      </c>
      <c r="H47" s="17">
        <f>handsmoothed!H47</f>
        <v>19</v>
      </c>
      <c r="I47" s="17">
        <f>handsmoothed!I47</f>
        <v>19</v>
      </c>
      <c r="J47" s="17">
        <f>handsmoothed!J47</f>
        <v>19</v>
      </c>
      <c r="K47" s="17">
        <f>handsmoothed!K47</f>
        <v>19</v>
      </c>
      <c r="L47" s="17">
        <f>handsmoothed!L47</f>
        <v>19</v>
      </c>
      <c r="M47" s="17">
        <f>handsmoothed!M47</f>
        <v>19</v>
      </c>
      <c r="N47" s="17">
        <f>handsmoothed!N47</f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6</vt:i4>
      </vt:variant>
      <vt:variant>
        <vt:lpstr>Charts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control</vt:lpstr>
      <vt:lpstr>handsmoothed</vt:lpstr>
      <vt:lpstr>checksmooth</vt:lpstr>
      <vt:lpstr>freq</vt:lpstr>
      <vt:lpstr>QA</vt:lpstr>
      <vt:lpstr>out</vt:lpstr>
      <vt:lpstr>1-7</vt:lpstr>
      <vt:lpstr>7-13</vt:lpstr>
      <vt:lpstr>QA!IDX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The SAS System</dc:title>
  <dc:creator>UCOURTR</dc:creator>
  <cp:lastModifiedBy>Troy Courville</cp:lastModifiedBy>
  <cp:revision>1</cp:revision>
  <dcterms:created xsi:type="dcterms:W3CDTF">2024-02-15T16:12:11Z</dcterms:created>
  <dcterms:modified xsi:type="dcterms:W3CDTF">2024-02-16T18:22:54Z</dcterms:modified>
</cp:coreProperties>
</file>