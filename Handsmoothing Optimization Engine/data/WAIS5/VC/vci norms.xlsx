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Clinical Psychometrics\ongoing projects\WAIS5\stdz\norms\4_Composite_norms\"/>
    </mc:Choice>
  </mc:AlternateContent>
  <xr:revisionPtr revIDLastSave="0" documentId="13_ncr:1_{17E85502-8981-4FDC-8BE9-9F70CF56E1C9}" xr6:coauthVersionLast="47" xr6:coauthVersionMax="47" xr10:uidLastSave="{00000000-0000-0000-0000-000000000000}"/>
  <bookViews>
    <workbookView xWindow="-120" yWindow="-120" windowWidth="29040" windowHeight="15720" activeTab="2" xr2:uid="{2DC7D587-F4BC-4E7D-9A6D-89D2608AD834}"/>
  </bookViews>
  <sheets>
    <sheet name="Chart1" sheetId="2" r:id="rId1"/>
    <sheet name="handsmooth" sheetId="1" r:id="rId2"/>
    <sheet name="o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3" l="1"/>
  <c r="B37" i="3"/>
  <c r="C37" i="3" s="1"/>
  <c r="A38" i="3"/>
  <c r="B38" i="3"/>
  <c r="C38" i="3" s="1"/>
  <c r="A35" i="3"/>
  <c r="B35" i="3"/>
  <c r="C35" i="3" s="1"/>
  <c r="A36" i="3"/>
  <c r="B36" i="3"/>
  <c r="C36" i="3" s="1"/>
  <c r="D36" i="3"/>
  <c r="E36" i="3"/>
  <c r="A33" i="3"/>
  <c r="B33" i="3"/>
  <c r="C33" i="3" s="1"/>
  <c r="A34" i="3"/>
  <c r="B34" i="3"/>
  <c r="E34" i="3" s="1"/>
  <c r="A3" i="3"/>
  <c r="B3" i="3"/>
  <c r="D3" i="3" s="1"/>
  <c r="A4" i="3"/>
  <c r="B4" i="3"/>
  <c r="C4" i="3" s="1"/>
  <c r="A5" i="3"/>
  <c r="B5" i="3"/>
  <c r="D5" i="3" s="1"/>
  <c r="A6" i="3"/>
  <c r="B6" i="3"/>
  <c r="C6" i="3" s="1"/>
  <c r="A7" i="3"/>
  <c r="B7" i="3"/>
  <c r="C7" i="3" s="1"/>
  <c r="A8" i="3"/>
  <c r="B8" i="3"/>
  <c r="C8" i="3" s="1"/>
  <c r="A9" i="3"/>
  <c r="B9" i="3"/>
  <c r="D9" i="3" s="1"/>
  <c r="A10" i="3"/>
  <c r="B10" i="3"/>
  <c r="C10" i="3" s="1"/>
  <c r="A11" i="3"/>
  <c r="B11" i="3"/>
  <c r="C11" i="3" s="1"/>
  <c r="A12" i="3"/>
  <c r="B12" i="3"/>
  <c r="D12" i="3" s="1"/>
  <c r="A13" i="3"/>
  <c r="B13" i="3"/>
  <c r="D13" i="3" s="1"/>
  <c r="A14" i="3"/>
  <c r="B14" i="3"/>
  <c r="C14" i="3" s="1"/>
  <c r="A15" i="3"/>
  <c r="B15" i="3"/>
  <c r="C15" i="3" s="1"/>
  <c r="A16" i="3"/>
  <c r="B16" i="3"/>
  <c r="C16" i="3" s="1"/>
  <c r="A17" i="3"/>
  <c r="B17" i="3"/>
  <c r="D17" i="3" s="1"/>
  <c r="A18" i="3"/>
  <c r="B18" i="3"/>
  <c r="C18" i="3" s="1"/>
  <c r="A19" i="3"/>
  <c r="B19" i="3"/>
  <c r="E19" i="3" s="1"/>
  <c r="A20" i="3"/>
  <c r="B20" i="3"/>
  <c r="C20" i="3" s="1"/>
  <c r="A21" i="3"/>
  <c r="B21" i="3"/>
  <c r="D21" i="3" s="1"/>
  <c r="A22" i="3"/>
  <c r="B22" i="3"/>
  <c r="C22" i="3" s="1"/>
  <c r="A23" i="3"/>
  <c r="B23" i="3"/>
  <c r="C23" i="3" s="1"/>
  <c r="E23" i="3"/>
  <c r="A24" i="3"/>
  <c r="B24" i="3"/>
  <c r="E24" i="3" s="1"/>
  <c r="A25" i="3"/>
  <c r="B25" i="3"/>
  <c r="D25" i="3" s="1"/>
  <c r="A26" i="3"/>
  <c r="B26" i="3"/>
  <c r="C26" i="3" s="1"/>
  <c r="A27" i="3"/>
  <c r="B27" i="3"/>
  <c r="C27" i="3" s="1"/>
  <c r="A28" i="3"/>
  <c r="B28" i="3"/>
  <c r="C28" i="3" s="1"/>
  <c r="D28" i="3"/>
  <c r="A29" i="3"/>
  <c r="B29" i="3"/>
  <c r="D29" i="3" s="1"/>
  <c r="C29" i="3"/>
  <c r="A30" i="3"/>
  <c r="B30" i="3"/>
  <c r="C30" i="3" s="1"/>
  <c r="A31" i="3"/>
  <c r="B31" i="3"/>
  <c r="C31" i="3" s="1"/>
  <c r="A32" i="3"/>
  <c r="B32" i="3"/>
  <c r="E32" i="3" s="1"/>
  <c r="B2" i="3"/>
  <c r="E2" i="3" s="1"/>
  <c r="A2" i="3"/>
  <c r="G2" i="1"/>
  <c r="I2" i="1"/>
  <c r="G3" i="1"/>
  <c r="I3" i="1"/>
  <c r="G4" i="1"/>
  <c r="I4" i="1"/>
  <c r="G5" i="1"/>
  <c r="I5" i="1"/>
  <c r="G6" i="1"/>
  <c r="I6" i="1"/>
  <c r="G7" i="1"/>
  <c r="I7" i="1"/>
  <c r="G8" i="1"/>
  <c r="I8" i="1"/>
  <c r="G9" i="1"/>
  <c r="I9" i="1"/>
  <c r="G10" i="1"/>
  <c r="I10" i="1"/>
  <c r="G11" i="1"/>
  <c r="I11" i="1"/>
  <c r="G12" i="1"/>
  <c r="I12" i="1"/>
  <c r="G13" i="1"/>
  <c r="I13" i="1"/>
  <c r="G14" i="1"/>
  <c r="I14" i="1"/>
  <c r="G15" i="1"/>
  <c r="I15" i="1"/>
  <c r="G16" i="1"/>
  <c r="I16" i="1"/>
  <c r="G17" i="1"/>
  <c r="I17" i="1"/>
  <c r="G18" i="1"/>
  <c r="I18" i="1"/>
  <c r="G19" i="1"/>
  <c r="I19" i="1"/>
  <c r="G20" i="1"/>
  <c r="I20" i="1"/>
  <c r="G21" i="1"/>
  <c r="I21" i="1"/>
  <c r="G22" i="1"/>
  <c r="I22" i="1"/>
  <c r="G23" i="1"/>
  <c r="I23" i="1"/>
  <c r="G24" i="1"/>
  <c r="I24" i="1"/>
  <c r="G25" i="1"/>
  <c r="I25" i="1"/>
  <c r="G26" i="1"/>
  <c r="I26" i="1"/>
  <c r="G27" i="1"/>
  <c r="I27" i="1"/>
  <c r="G28" i="1"/>
  <c r="I28" i="1"/>
  <c r="G29" i="1"/>
  <c r="I29" i="1"/>
  <c r="G30" i="1"/>
  <c r="I30" i="1"/>
  <c r="G31" i="1"/>
  <c r="I31" i="1"/>
  <c r="G32" i="1"/>
  <c r="I32" i="1"/>
  <c r="G33" i="1"/>
  <c r="I33" i="1"/>
  <c r="G34" i="1"/>
  <c r="I34" i="1"/>
  <c r="G35" i="1"/>
  <c r="I35" i="1"/>
  <c r="G36" i="1"/>
  <c r="I36" i="1"/>
  <c r="G37" i="1"/>
  <c r="I37" i="1"/>
  <c r="I38" i="1"/>
  <c r="B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E15" i="3" l="1"/>
  <c r="D15" i="3"/>
  <c r="D32" i="3"/>
  <c r="E27" i="3"/>
  <c r="D27" i="3"/>
  <c r="C21" i="3"/>
  <c r="D19" i="3"/>
  <c r="C19" i="3"/>
  <c r="D16" i="3"/>
  <c r="E12" i="3"/>
  <c r="C9" i="3"/>
  <c r="E3" i="3"/>
  <c r="C12" i="3"/>
  <c r="C5" i="3"/>
  <c r="C3" i="3"/>
  <c r="E4" i="3"/>
  <c r="D4" i="3"/>
  <c r="C32" i="3"/>
  <c r="C25" i="3"/>
  <c r="D23" i="3"/>
  <c r="E20" i="3"/>
  <c r="C13" i="3"/>
  <c r="E11" i="3"/>
  <c r="D34" i="3"/>
  <c r="E38" i="3"/>
  <c r="D20" i="3"/>
  <c r="D11" i="3"/>
  <c r="C34" i="3"/>
  <c r="D38" i="3"/>
  <c r="D8" i="3"/>
  <c r="D24" i="3"/>
  <c r="E31" i="3"/>
  <c r="D31" i="3"/>
  <c r="E28" i="3"/>
  <c r="C24" i="3"/>
  <c r="C17" i="3"/>
  <c r="E33" i="3"/>
  <c r="E7" i="3"/>
  <c r="D33" i="3"/>
  <c r="D7" i="3"/>
  <c r="D37" i="3"/>
  <c r="E37" i="3"/>
  <c r="D35" i="3"/>
  <c r="E35" i="3"/>
  <c r="E26" i="3"/>
  <c r="E18" i="3"/>
  <c r="E10" i="3"/>
  <c r="E29" i="3"/>
  <c r="D26" i="3"/>
  <c r="E21" i="3"/>
  <c r="D18" i="3"/>
  <c r="E13" i="3"/>
  <c r="D10" i="3"/>
  <c r="E5" i="3"/>
  <c r="E16" i="3"/>
  <c r="E8" i="3"/>
  <c r="E22" i="3"/>
  <c r="E14" i="3"/>
  <c r="E6" i="3"/>
  <c r="E30" i="3"/>
  <c r="D30" i="3"/>
  <c r="D14" i="3"/>
  <c r="E9" i="3"/>
  <c r="D6" i="3"/>
  <c r="E25" i="3"/>
  <c r="D22" i="3"/>
  <c r="E17" i="3"/>
  <c r="D2" i="3"/>
  <c r="C2" i="3"/>
  <c r="I46" i="1"/>
  <c r="R46" i="1" s="1"/>
  <c r="I47" i="1"/>
  <c r="J47" i="1" s="1"/>
  <c r="I45" i="1"/>
  <c r="R45" i="1" s="1"/>
  <c r="I41" i="1"/>
  <c r="Q41" i="1" s="1"/>
  <c r="I43" i="1"/>
  <c r="J43" i="1" s="1"/>
  <c r="I44" i="1"/>
  <c r="Q44" i="1" s="1"/>
  <c r="I48" i="1"/>
  <c r="R48" i="1" s="1"/>
  <c r="I40" i="1"/>
  <c r="Q40" i="1" s="1"/>
  <c r="I42" i="1"/>
  <c r="R42" i="1" s="1"/>
  <c r="B40" i="1"/>
  <c r="B41" i="1" s="1"/>
  <c r="B45" i="1"/>
  <c r="B48" i="1"/>
  <c r="B42" i="1"/>
  <c r="Q45" i="1" l="1"/>
  <c r="J45" i="1"/>
  <c r="J40" i="1"/>
  <c r="Q42" i="1"/>
  <c r="Q46" i="1"/>
  <c r="J46" i="1"/>
  <c r="J48" i="1"/>
  <c r="Q48" i="1"/>
  <c r="J41" i="1"/>
  <c r="Q47" i="1"/>
  <c r="R40" i="1"/>
  <c r="J42" i="1"/>
  <c r="B49" i="1"/>
  <c r="R47" i="1"/>
  <c r="B46" i="1"/>
  <c r="R41" i="1"/>
  <c r="R44" i="1"/>
  <c r="R43" i="1"/>
  <c r="Q43" i="1"/>
  <c r="B43" i="1"/>
  <c r="J44" i="1"/>
  <c r="B44" i="1"/>
  <c r="B47" i="1"/>
  <c r="B50" i="1"/>
  <c r="P40" i="1" l="1"/>
  <c r="P48" i="1"/>
  <c r="O44" i="1"/>
  <c r="O43" i="1"/>
  <c r="P41" i="1"/>
  <c r="P44" i="1"/>
  <c r="P46" i="1"/>
  <c r="P45" i="1"/>
  <c r="P43" i="1"/>
  <c r="P42" i="1"/>
  <c r="O46" i="1"/>
  <c r="O48" i="1"/>
  <c r="O45" i="1"/>
  <c r="O40" i="1"/>
  <c r="O47" i="1"/>
  <c r="O42" i="1"/>
  <c r="P47" i="1"/>
  <c r="O41" i="1"/>
  <c r="N45" i="1" l="1"/>
  <c r="N44" i="1"/>
  <c r="N41" i="1"/>
  <c r="N47" i="1"/>
  <c r="N40" i="1"/>
  <c r="N48" i="1"/>
  <c r="N43" i="1"/>
  <c r="N46" i="1"/>
  <c r="N42" i="1"/>
  <c r="K40" i="1" l="1"/>
  <c r="K46" i="1"/>
  <c r="K45" i="1"/>
  <c r="K42" i="1"/>
  <c r="K47" i="1"/>
  <c r="K44" i="1"/>
  <c r="K43" i="1"/>
  <c r="K41" i="1"/>
  <c r="K48" i="1"/>
</calcChain>
</file>

<file path=xl/sharedStrings.xml><?xml version="1.0" encoding="utf-8"?>
<sst xmlns="http://schemas.openxmlformats.org/spreadsheetml/2006/main" count="633" uniqueCount="31">
  <si>
    <t>wais5_vci_sum</t>
  </si>
  <si>
    <t>g1</t>
  </si>
  <si>
    <t>freq</t>
  </si>
  <si>
    <t xml:space="preserve"> </t>
  </si>
  <si>
    <t>rev</t>
  </si>
  <si>
    <t>ssq1</t>
  </si>
  <si>
    <t>49-51</t>
  </si>
  <si>
    <t>66-68</t>
  </si>
  <si>
    <t>83-84</t>
  </si>
  <si>
    <t>116-117</t>
  </si>
  <si>
    <t>132-134</t>
  </si>
  <si>
    <t>149-151</t>
  </si>
  <si>
    <t>mean</t>
  </si>
  <si>
    <t>.</t>
  </si>
  <si>
    <t>Check</t>
  </si>
  <si>
    <t>N=2020</t>
  </si>
  <si>
    <t>Ideal</t>
  </si>
  <si>
    <t>Actual</t>
  </si>
  <si>
    <t>sd1</t>
  </si>
  <si>
    <t>too few</t>
  </si>
  <si>
    <t>sd2</t>
  </si>
  <si>
    <t>too many</t>
  </si>
  <si>
    <t>ideal</t>
  </si>
  <si>
    <t>standard</t>
  </si>
  <si>
    <t>exception</t>
  </si>
  <si>
    <t>90% CI</t>
  </si>
  <si>
    <t>95% CI</t>
  </si>
  <si>
    <t>%-tile</t>
  </si>
  <si>
    <t>composite reliability:</t>
  </si>
  <si>
    <t>NOTE: THIS PROGRAM USES ESTIMATED TRUE SCORES AND THE SEE.</t>
  </si>
  <si>
    <t>wais5_vci_ss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</si>
</sst>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rgb="FFFF0000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2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1" applyFont="1"/>
    <xf numFmtId="0" fontId="3" fillId="0" borderId="1" xfId="0" applyFont="1" applyBorder="1" applyAlignment="1">
      <alignment horizontal="center" vertical="top" wrapText="1"/>
    </xf>
    <xf numFmtId="0" fontId="1" fillId="0" borderId="0" xfId="1" applyAlignment="1">
      <alignment horizontal="center"/>
    </xf>
    <xf numFmtId="0" fontId="1" fillId="0" borderId="0" xfId="1"/>
    <xf numFmtId="0" fontId="4" fillId="0" borderId="0" xfId="1" applyFont="1"/>
    <xf numFmtId="0" fontId="1" fillId="2" borderId="0" xfId="1" applyFill="1"/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1" fillId="3" borderId="0" xfId="1" applyFont="1" applyFill="1"/>
  </cellXfs>
  <cellStyles count="2">
    <cellStyle name="Normal" xfId="0" builtinId="0"/>
    <cellStyle name="Normal 2" xfId="1" xr:uid="{F4E5F074-6153-4EE5-BC49-218C31EC7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handsmooth!$A$2:$A$38</c:f>
              <c:numCache>
                <c:formatCode>General</c:formatCode>
                <c:ptCount val="3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</c:numCache>
            </c:numRef>
          </c:xVal>
          <c:yVal>
            <c:numRef>
              <c:f>handsmooth!$B$2:$B$38</c:f>
              <c:numCache>
                <c:formatCode>General</c:formatCode>
                <c:ptCount val="37"/>
                <c:pt idx="0">
                  <c:v>45</c:v>
                </c:pt>
                <c:pt idx="1">
                  <c:v>49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63</c:v>
                </c:pt>
                <c:pt idx="6">
                  <c:v>66</c:v>
                </c:pt>
                <c:pt idx="7">
                  <c:v>69</c:v>
                </c:pt>
                <c:pt idx="8">
                  <c:v>73</c:v>
                </c:pt>
                <c:pt idx="9">
                  <c:v>76</c:v>
                </c:pt>
                <c:pt idx="10">
                  <c:v>79</c:v>
                </c:pt>
                <c:pt idx="11">
                  <c:v>81</c:v>
                </c:pt>
                <c:pt idx="12">
                  <c:v>84</c:v>
                </c:pt>
                <c:pt idx="13">
                  <c:v>87</c:v>
                </c:pt>
                <c:pt idx="14">
                  <c:v>89</c:v>
                </c:pt>
                <c:pt idx="15">
                  <c:v>92</c:v>
                </c:pt>
                <c:pt idx="16">
                  <c:v>95</c:v>
                </c:pt>
                <c:pt idx="17">
                  <c:v>98</c:v>
                </c:pt>
                <c:pt idx="18">
                  <c:v>100</c:v>
                </c:pt>
                <c:pt idx="19">
                  <c:v>102</c:v>
                </c:pt>
                <c:pt idx="20">
                  <c:v>105</c:v>
                </c:pt>
                <c:pt idx="21">
                  <c:v>108</c:v>
                </c:pt>
                <c:pt idx="22">
                  <c:v>111</c:v>
                </c:pt>
                <c:pt idx="23">
                  <c:v>114</c:v>
                </c:pt>
                <c:pt idx="24">
                  <c:v>116</c:v>
                </c:pt>
                <c:pt idx="25">
                  <c:v>119</c:v>
                </c:pt>
                <c:pt idx="26">
                  <c:v>121</c:v>
                </c:pt>
                <c:pt idx="27">
                  <c:v>124</c:v>
                </c:pt>
                <c:pt idx="28">
                  <c:v>127</c:v>
                </c:pt>
                <c:pt idx="29">
                  <c:v>130</c:v>
                </c:pt>
                <c:pt idx="30">
                  <c:v>133</c:v>
                </c:pt>
                <c:pt idx="31">
                  <c:v>136</c:v>
                </c:pt>
                <c:pt idx="32">
                  <c:v>140</c:v>
                </c:pt>
                <c:pt idx="33">
                  <c:v>144</c:v>
                </c:pt>
                <c:pt idx="34">
                  <c:v>147</c:v>
                </c:pt>
                <c:pt idx="35">
                  <c:v>151</c:v>
                </c:pt>
                <c:pt idx="36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3-418B-B356-31271B218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11024"/>
        <c:axId val="1106843584"/>
      </c:scatterChart>
      <c:valAx>
        <c:axId val="129451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43584"/>
        <c:crosses val="autoZero"/>
        <c:crossBetween val="midCat"/>
      </c:valAx>
      <c:valAx>
        <c:axId val="11068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CCAF32-A417-401C-8E38-C428A411F6F3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9A987-36D3-3E21-7AC5-4BFAE67129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0D84-ED3D-4779-A160-FA7FA604A0FA}">
  <dimension ref="A1:S50"/>
  <sheetViews>
    <sheetView topLeftCell="A25" workbookViewId="0">
      <selection activeCell="B31" sqref="B3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5</v>
      </c>
    </row>
    <row r="2" spans="1:19" x14ac:dyDescent="0.25">
      <c r="A2">
        <v>2</v>
      </c>
      <c r="B2">
        <v>45</v>
      </c>
      <c r="C2">
        <v>0</v>
      </c>
      <c r="D2" t="s">
        <v>6</v>
      </c>
      <c r="E2" t="s">
        <v>3</v>
      </c>
      <c r="F2" t="s">
        <v>3</v>
      </c>
      <c r="G2">
        <f t="shared" ref="G2:G37" si="0">B3-B2</f>
        <v>4</v>
      </c>
      <c r="H2" t="s">
        <v>3</v>
      </c>
      <c r="I2">
        <f t="shared" ref="I2:I38" si="1">B2^2</f>
        <v>2025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</row>
    <row r="3" spans="1:19" x14ac:dyDescent="0.25">
      <c r="A3">
        <v>3</v>
      </c>
      <c r="B3">
        <v>49</v>
      </c>
      <c r="C3">
        <v>4</v>
      </c>
      <c r="D3" t="s">
        <v>3</v>
      </c>
      <c r="E3" t="s">
        <v>3</v>
      </c>
      <c r="F3" t="s">
        <v>3</v>
      </c>
      <c r="G3">
        <f t="shared" si="0"/>
        <v>3</v>
      </c>
      <c r="H3" t="s">
        <v>3</v>
      </c>
      <c r="I3">
        <f t="shared" si="1"/>
        <v>2401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</row>
    <row r="4" spans="1:19" x14ac:dyDescent="0.25">
      <c r="A4">
        <v>4</v>
      </c>
      <c r="B4">
        <v>52</v>
      </c>
      <c r="C4">
        <v>2</v>
      </c>
      <c r="D4" t="s">
        <v>3</v>
      </c>
      <c r="E4" t="s">
        <v>3</v>
      </c>
      <c r="F4" t="s">
        <v>3</v>
      </c>
      <c r="G4">
        <f t="shared" si="0"/>
        <v>4</v>
      </c>
      <c r="H4" t="s">
        <v>3</v>
      </c>
      <c r="I4">
        <f t="shared" si="1"/>
        <v>2704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</row>
    <row r="5" spans="1:19" x14ac:dyDescent="0.25">
      <c r="A5">
        <v>5</v>
      </c>
      <c r="B5">
        <v>56</v>
      </c>
      <c r="C5">
        <v>3</v>
      </c>
      <c r="D5" t="s">
        <v>3</v>
      </c>
      <c r="E5" t="s">
        <v>3</v>
      </c>
      <c r="F5" t="s">
        <v>3</v>
      </c>
      <c r="G5">
        <f t="shared" si="0"/>
        <v>3</v>
      </c>
      <c r="H5" t="s">
        <v>3</v>
      </c>
      <c r="I5">
        <f t="shared" si="1"/>
        <v>3136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</row>
    <row r="6" spans="1:19" x14ac:dyDescent="0.25">
      <c r="A6">
        <v>6</v>
      </c>
      <c r="B6">
        <v>59</v>
      </c>
      <c r="C6">
        <v>3</v>
      </c>
      <c r="D6" t="s">
        <v>3</v>
      </c>
      <c r="E6" t="s">
        <v>3</v>
      </c>
      <c r="F6" t="s">
        <v>3</v>
      </c>
      <c r="G6">
        <f t="shared" si="0"/>
        <v>4</v>
      </c>
      <c r="H6" t="s">
        <v>3</v>
      </c>
      <c r="I6">
        <f t="shared" si="1"/>
        <v>3481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</row>
    <row r="7" spans="1:19" x14ac:dyDescent="0.25">
      <c r="A7">
        <v>7</v>
      </c>
      <c r="B7">
        <v>63</v>
      </c>
      <c r="C7">
        <v>7</v>
      </c>
      <c r="D7" t="s">
        <v>3</v>
      </c>
      <c r="E7" t="s">
        <v>3</v>
      </c>
      <c r="F7" t="s">
        <v>3</v>
      </c>
      <c r="G7">
        <f t="shared" si="0"/>
        <v>3</v>
      </c>
      <c r="H7" t="s">
        <v>3</v>
      </c>
      <c r="I7">
        <f t="shared" si="1"/>
        <v>3969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</row>
    <row r="8" spans="1:19" x14ac:dyDescent="0.25">
      <c r="A8">
        <v>8</v>
      </c>
      <c r="B8">
        <v>66</v>
      </c>
      <c r="C8">
        <v>13</v>
      </c>
      <c r="D8" t="s">
        <v>7</v>
      </c>
      <c r="E8" t="s">
        <v>3</v>
      </c>
      <c r="F8" t="s">
        <v>3</v>
      </c>
      <c r="G8">
        <f t="shared" si="0"/>
        <v>3</v>
      </c>
      <c r="H8" t="s">
        <v>3</v>
      </c>
      <c r="I8">
        <f t="shared" si="1"/>
        <v>4356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</row>
    <row r="9" spans="1:19" x14ac:dyDescent="0.25">
      <c r="A9">
        <v>9</v>
      </c>
      <c r="B9">
        <v>69</v>
      </c>
      <c r="C9">
        <v>28</v>
      </c>
      <c r="D9" t="s">
        <v>3</v>
      </c>
      <c r="E9" t="s">
        <v>3</v>
      </c>
      <c r="F9" t="s">
        <v>3</v>
      </c>
      <c r="G9">
        <f t="shared" si="0"/>
        <v>4</v>
      </c>
      <c r="H9" t="s">
        <v>3</v>
      </c>
      <c r="I9">
        <f t="shared" si="1"/>
        <v>4761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</row>
    <row r="10" spans="1:19" x14ac:dyDescent="0.25">
      <c r="A10">
        <v>10</v>
      </c>
      <c r="B10">
        <v>73</v>
      </c>
      <c r="C10">
        <v>41</v>
      </c>
      <c r="D10" t="s">
        <v>3</v>
      </c>
      <c r="E10" t="s">
        <v>3</v>
      </c>
      <c r="F10" t="s">
        <v>3</v>
      </c>
      <c r="G10">
        <f t="shared" si="0"/>
        <v>3</v>
      </c>
      <c r="H10" t="s">
        <v>3</v>
      </c>
      <c r="I10">
        <f t="shared" si="1"/>
        <v>5329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</row>
    <row r="11" spans="1:19" x14ac:dyDescent="0.25">
      <c r="A11">
        <v>11</v>
      </c>
      <c r="B11">
        <v>76</v>
      </c>
      <c r="C11">
        <v>39</v>
      </c>
      <c r="D11" t="s">
        <v>3</v>
      </c>
      <c r="E11" t="s">
        <v>3</v>
      </c>
      <c r="F11" t="s">
        <v>3</v>
      </c>
      <c r="G11">
        <f t="shared" si="0"/>
        <v>3</v>
      </c>
      <c r="H11" t="s">
        <v>3</v>
      </c>
      <c r="I11">
        <f t="shared" si="1"/>
        <v>5776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</row>
    <row r="12" spans="1:19" x14ac:dyDescent="0.25">
      <c r="A12">
        <v>12</v>
      </c>
      <c r="B12">
        <v>79</v>
      </c>
      <c r="C12">
        <v>47</v>
      </c>
      <c r="D12" t="s">
        <v>3</v>
      </c>
      <c r="E12" t="s">
        <v>3</v>
      </c>
      <c r="F12" t="s">
        <v>3</v>
      </c>
      <c r="G12">
        <f t="shared" si="0"/>
        <v>2</v>
      </c>
      <c r="H12" t="s">
        <v>3</v>
      </c>
      <c r="I12">
        <f t="shared" si="1"/>
        <v>6241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</row>
    <row r="13" spans="1:19" x14ac:dyDescent="0.25">
      <c r="A13">
        <v>13</v>
      </c>
      <c r="B13">
        <v>81</v>
      </c>
      <c r="C13">
        <v>56</v>
      </c>
      <c r="D13" t="s">
        <v>3</v>
      </c>
      <c r="E13" t="s">
        <v>3</v>
      </c>
      <c r="F13" t="s">
        <v>3</v>
      </c>
      <c r="G13">
        <f t="shared" si="0"/>
        <v>3</v>
      </c>
      <c r="H13" t="s">
        <v>3</v>
      </c>
      <c r="I13">
        <f t="shared" si="1"/>
        <v>6561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</row>
    <row r="14" spans="1:19" x14ac:dyDescent="0.25">
      <c r="A14">
        <v>14</v>
      </c>
      <c r="B14">
        <v>84</v>
      </c>
      <c r="C14">
        <v>72</v>
      </c>
      <c r="D14" t="s">
        <v>8</v>
      </c>
      <c r="E14" t="s">
        <v>3</v>
      </c>
      <c r="F14" t="s">
        <v>3</v>
      </c>
      <c r="G14">
        <f t="shared" si="0"/>
        <v>3</v>
      </c>
      <c r="H14" t="s">
        <v>3</v>
      </c>
      <c r="I14">
        <f t="shared" si="1"/>
        <v>7056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</row>
    <row r="15" spans="1:19" x14ac:dyDescent="0.25">
      <c r="A15">
        <v>15</v>
      </c>
      <c r="B15">
        <v>87</v>
      </c>
      <c r="C15">
        <v>94</v>
      </c>
      <c r="D15" t="s">
        <v>3</v>
      </c>
      <c r="E15" t="s">
        <v>3</v>
      </c>
      <c r="F15" t="s">
        <v>3</v>
      </c>
      <c r="G15">
        <f t="shared" si="0"/>
        <v>2</v>
      </c>
      <c r="H15" t="s">
        <v>3</v>
      </c>
      <c r="I15">
        <f t="shared" si="1"/>
        <v>7569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</row>
    <row r="16" spans="1:19" x14ac:dyDescent="0.25">
      <c r="A16">
        <v>16</v>
      </c>
      <c r="B16">
        <v>89</v>
      </c>
      <c r="C16">
        <v>115</v>
      </c>
      <c r="D16" t="s">
        <v>3</v>
      </c>
      <c r="E16" t="s">
        <v>3</v>
      </c>
      <c r="F16" t="s">
        <v>3</v>
      </c>
      <c r="G16">
        <f t="shared" si="0"/>
        <v>3</v>
      </c>
      <c r="H16" t="s">
        <v>3</v>
      </c>
      <c r="I16">
        <f t="shared" si="1"/>
        <v>7921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</row>
    <row r="17" spans="1:19" x14ac:dyDescent="0.25">
      <c r="A17">
        <v>17</v>
      </c>
      <c r="B17">
        <v>92</v>
      </c>
      <c r="C17">
        <v>124</v>
      </c>
      <c r="D17" t="s">
        <v>3</v>
      </c>
      <c r="E17" t="s">
        <v>3</v>
      </c>
      <c r="F17" t="s">
        <v>3</v>
      </c>
      <c r="G17">
        <f t="shared" si="0"/>
        <v>3</v>
      </c>
      <c r="H17" t="s">
        <v>3</v>
      </c>
      <c r="I17">
        <f t="shared" si="1"/>
        <v>8464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</row>
    <row r="18" spans="1:19" x14ac:dyDescent="0.25">
      <c r="A18">
        <v>18</v>
      </c>
      <c r="B18">
        <v>95</v>
      </c>
      <c r="C18">
        <v>138</v>
      </c>
      <c r="D18" t="s">
        <v>3</v>
      </c>
      <c r="E18" t="s">
        <v>3</v>
      </c>
      <c r="F18" t="s">
        <v>3</v>
      </c>
      <c r="G18">
        <f t="shared" si="0"/>
        <v>3</v>
      </c>
      <c r="H18" t="s">
        <v>3</v>
      </c>
      <c r="I18">
        <f t="shared" si="1"/>
        <v>9025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</row>
    <row r="19" spans="1:19" x14ac:dyDescent="0.25">
      <c r="A19">
        <v>19</v>
      </c>
      <c r="B19">
        <v>98</v>
      </c>
      <c r="C19">
        <v>143</v>
      </c>
      <c r="D19" t="s">
        <v>3</v>
      </c>
      <c r="E19" t="s">
        <v>3</v>
      </c>
      <c r="F19" t="s">
        <v>3</v>
      </c>
      <c r="G19">
        <f t="shared" si="0"/>
        <v>2</v>
      </c>
      <c r="H19" t="s">
        <v>3</v>
      </c>
      <c r="I19">
        <f t="shared" si="1"/>
        <v>9604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</row>
    <row r="20" spans="1:19" x14ac:dyDescent="0.25">
      <c r="A20">
        <v>20</v>
      </c>
      <c r="B20">
        <v>100</v>
      </c>
      <c r="C20">
        <v>143</v>
      </c>
      <c r="D20">
        <v>100</v>
      </c>
      <c r="E20" t="s">
        <v>3</v>
      </c>
      <c r="F20" t="s">
        <v>3</v>
      </c>
      <c r="G20">
        <f t="shared" si="0"/>
        <v>2</v>
      </c>
      <c r="H20" t="s">
        <v>3</v>
      </c>
      <c r="I20">
        <f t="shared" si="1"/>
        <v>10000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</row>
    <row r="21" spans="1:19" x14ac:dyDescent="0.25">
      <c r="A21">
        <v>21</v>
      </c>
      <c r="B21">
        <v>102</v>
      </c>
      <c r="C21">
        <v>133</v>
      </c>
      <c r="D21" t="s">
        <v>3</v>
      </c>
      <c r="E21" t="s">
        <v>3</v>
      </c>
      <c r="F21" t="s">
        <v>3</v>
      </c>
      <c r="G21">
        <f t="shared" si="0"/>
        <v>3</v>
      </c>
      <c r="H21" t="s">
        <v>3</v>
      </c>
      <c r="I21">
        <f t="shared" si="1"/>
        <v>10404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</row>
    <row r="22" spans="1:19" x14ac:dyDescent="0.25">
      <c r="A22">
        <v>22</v>
      </c>
      <c r="B22">
        <v>105</v>
      </c>
      <c r="C22">
        <v>155</v>
      </c>
      <c r="D22" t="s">
        <v>3</v>
      </c>
      <c r="E22" t="s">
        <v>3</v>
      </c>
      <c r="F22" t="s">
        <v>3</v>
      </c>
      <c r="G22">
        <f t="shared" si="0"/>
        <v>3</v>
      </c>
      <c r="H22" t="s">
        <v>3</v>
      </c>
      <c r="I22">
        <f t="shared" si="1"/>
        <v>11025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</row>
    <row r="23" spans="1:19" x14ac:dyDescent="0.25">
      <c r="A23">
        <v>23</v>
      </c>
      <c r="B23">
        <v>108</v>
      </c>
      <c r="C23">
        <v>128</v>
      </c>
      <c r="D23" t="s">
        <v>3</v>
      </c>
      <c r="E23" t="s">
        <v>3</v>
      </c>
      <c r="F23" t="s">
        <v>3</v>
      </c>
      <c r="G23">
        <f t="shared" si="0"/>
        <v>3</v>
      </c>
      <c r="H23" t="s">
        <v>3</v>
      </c>
      <c r="I23">
        <f t="shared" si="1"/>
        <v>11664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</row>
    <row r="24" spans="1:19" x14ac:dyDescent="0.25">
      <c r="A24">
        <v>24</v>
      </c>
      <c r="B24">
        <v>111</v>
      </c>
      <c r="C24">
        <v>121</v>
      </c>
      <c r="D24" t="s">
        <v>3</v>
      </c>
      <c r="E24" t="s">
        <v>3</v>
      </c>
      <c r="F24" t="s">
        <v>3</v>
      </c>
      <c r="G24">
        <f t="shared" si="0"/>
        <v>3</v>
      </c>
      <c r="H24" t="s">
        <v>3</v>
      </c>
      <c r="I24">
        <f t="shared" si="1"/>
        <v>12321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</row>
    <row r="25" spans="1:19" x14ac:dyDescent="0.25">
      <c r="A25">
        <v>25</v>
      </c>
      <c r="B25">
        <v>114</v>
      </c>
      <c r="C25">
        <v>83</v>
      </c>
      <c r="D25" t="s">
        <v>3</v>
      </c>
      <c r="E25" t="s">
        <v>3</v>
      </c>
      <c r="F25" t="s">
        <v>3</v>
      </c>
      <c r="G25">
        <f t="shared" si="0"/>
        <v>2</v>
      </c>
      <c r="H25" t="s">
        <v>3</v>
      </c>
      <c r="I25">
        <f t="shared" si="1"/>
        <v>12996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</row>
    <row r="26" spans="1:19" x14ac:dyDescent="0.25">
      <c r="A26">
        <v>26</v>
      </c>
      <c r="B26">
        <v>116</v>
      </c>
      <c r="C26">
        <v>92</v>
      </c>
      <c r="D26" t="s">
        <v>9</v>
      </c>
      <c r="E26" t="s">
        <v>3</v>
      </c>
      <c r="F26" t="s">
        <v>3</v>
      </c>
      <c r="G26">
        <f t="shared" si="0"/>
        <v>3</v>
      </c>
      <c r="H26" t="s">
        <v>3</v>
      </c>
      <c r="I26">
        <f t="shared" si="1"/>
        <v>13456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</row>
    <row r="27" spans="1:19" x14ac:dyDescent="0.25">
      <c r="A27">
        <v>27</v>
      </c>
      <c r="B27">
        <v>119</v>
      </c>
      <c r="C27">
        <v>73</v>
      </c>
      <c r="D27" t="s">
        <v>3</v>
      </c>
      <c r="E27" t="s">
        <v>3</v>
      </c>
      <c r="F27" t="s">
        <v>3</v>
      </c>
      <c r="G27">
        <f t="shared" si="0"/>
        <v>2</v>
      </c>
      <c r="H27" t="s">
        <v>3</v>
      </c>
      <c r="I27">
        <f t="shared" si="1"/>
        <v>14161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</row>
    <row r="28" spans="1:19" x14ac:dyDescent="0.25">
      <c r="A28">
        <v>28</v>
      </c>
      <c r="B28">
        <v>121</v>
      </c>
      <c r="C28">
        <v>54</v>
      </c>
      <c r="D28" t="s">
        <v>3</v>
      </c>
      <c r="E28" t="s">
        <v>3</v>
      </c>
      <c r="F28" t="s">
        <v>3</v>
      </c>
      <c r="G28">
        <f t="shared" si="0"/>
        <v>3</v>
      </c>
      <c r="H28" t="s">
        <v>3</v>
      </c>
      <c r="I28">
        <f t="shared" si="1"/>
        <v>14641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</row>
    <row r="29" spans="1:19" x14ac:dyDescent="0.25">
      <c r="A29">
        <v>29</v>
      </c>
      <c r="B29">
        <v>124</v>
      </c>
      <c r="C29">
        <v>26</v>
      </c>
      <c r="D29" t="s">
        <v>3</v>
      </c>
      <c r="E29" t="s">
        <v>3</v>
      </c>
      <c r="F29" t="s">
        <v>3</v>
      </c>
      <c r="G29">
        <f t="shared" si="0"/>
        <v>3</v>
      </c>
      <c r="H29" t="s">
        <v>3</v>
      </c>
      <c r="I29">
        <f t="shared" si="1"/>
        <v>15376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</row>
    <row r="30" spans="1:19" x14ac:dyDescent="0.25">
      <c r="A30">
        <v>30</v>
      </c>
      <c r="B30">
        <v>127</v>
      </c>
      <c r="C30">
        <v>31</v>
      </c>
      <c r="D30" t="s">
        <v>3</v>
      </c>
      <c r="E30" t="s">
        <v>3</v>
      </c>
      <c r="F30" t="s">
        <v>3</v>
      </c>
      <c r="G30">
        <f t="shared" si="0"/>
        <v>3</v>
      </c>
      <c r="H30" t="s">
        <v>3</v>
      </c>
      <c r="I30">
        <f t="shared" si="1"/>
        <v>16129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</row>
    <row r="31" spans="1:19" x14ac:dyDescent="0.25">
      <c r="A31">
        <v>31</v>
      </c>
      <c r="B31">
        <v>130</v>
      </c>
      <c r="C31">
        <v>18</v>
      </c>
      <c r="D31" t="s">
        <v>3</v>
      </c>
      <c r="E31" t="s">
        <v>3</v>
      </c>
      <c r="F31" t="s">
        <v>3</v>
      </c>
      <c r="G31">
        <f t="shared" si="0"/>
        <v>3</v>
      </c>
      <c r="H31" t="s">
        <v>3</v>
      </c>
      <c r="I31">
        <f t="shared" si="1"/>
        <v>16900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</row>
    <row r="32" spans="1:19" x14ac:dyDescent="0.25">
      <c r="A32">
        <v>32</v>
      </c>
      <c r="B32">
        <v>133</v>
      </c>
      <c r="C32">
        <v>11</v>
      </c>
      <c r="D32" t="s">
        <v>10</v>
      </c>
      <c r="E32" t="s">
        <v>3</v>
      </c>
      <c r="F32" t="s">
        <v>3</v>
      </c>
      <c r="G32">
        <f t="shared" si="0"/>
        <v>3</v>
      </c>
      <c r="H32" t="s">
        <v>3</v>
      </c>
      <c r="I32">
        <f t="shared" si="1"/>
        <v>17689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</row>
    <row r="33" spans="1:19" x14ac:dyDescent="0.25">
      <c r="A33">
        <v>33</v>
      </c>
      <c r="B33">
        <v>136</v>
      </c>
      <c r="C33">
        <v>9</v>
      </c>
      <c r="D33" t="s">
        <v>3</v>
      </c>
      <c r="E33" t="s">
        <v>3</v>
      </c>
      <c r="F33" t="s">
        <v>3</v>
      </c>
      <c r="G33">
        <f t="shared" si="0"/>
        <v>4</v>
      </c>
      <c r="H33" t="s">
        <v>3</v>
      </c>
      <c r="I33">
        <f t="shared" si="1"/>
        <v>18496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</row>
    <row r="34" spans="1:19" x14ac:dyDescent="0.25">
      <c r="A34">
        <v>34</v>
      </c>
      <c r="B34">
        <v>140</v>
      </c>
      <c r="C34">
        <v>2</v>
      </c>
      <c r="D34" t="s">
        <v>3</v>
      </c>
      <c r="E34" t="s">
        <v>3</v>
      </c>
      <c r="F34" t="s">
        <v>3</v>
      </c>
      <c r="G34">
        <f t="shared" si="0"/>
        <v>4</v>
      </c>
      <c r="H34" t="s">
        <v>3</v>
      </c>
      <c r="I34">
        <f t="shared" si="1"/>
        <v>19600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</row>
    <row r="35" spans="1:19" x14ac:dyDescent="0.25">
      <c r="A35">
        <v>35</v>
      </c>
      <c r="B35">
        <v>144</v>
      </c>
      <c r="C35">
        <v>8</v>
      </c>
      <c r="D35" t="s">
        <v>3</v>
      </c>
      <c r="E35" t="s">
        <v>3</v>
      </c>
      <c r="F35" t="s">
        <v>3</v>
      </c>
      <c r="G35">
        <f t="shared" si="0"/>
        <v>3</v>
      </c>
      <c r="H35" t="s">
        <v>3</v>
      </c>
      <c r="I35">
        <f t="shared" si="1"/>
        <v>20736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</row>
    <row r="36" spans="1:19" x14ac:dyDescent="0.25">
      <c r="A36">
        <v>36</v>
      </c>
      <c r="B36">
        <v>147</v>
      </c>
      <c r="C36">
        <v>2</v>
      </c>
      <c r="D36" t="s">
        <v>3</v>
      </c>
      <c r="E36" t="s">
        <v>3</v>
      </c>
      <c r="F36" t="s">
        <v>3</v>
      </c>
      <c r="G36">
        <f t="shared" si="0"/>
        <v>4</v>
      </c>
      <c r="H36" t="s">
        <v>3</v>
      </c>
      <c r="I36">
        <f t="shared" si="1"/>
        <v>21609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</row>
    <row r="37" spans="1:19" x14ac:dyDescent="0.25">
      <c r="A37">
        <v>37</v>
      </c>
      <c r="B37">
        <v>151</v>
      </c>
      <c r="C37">
        <v>1</v>
      </c>
      <c r="D37" t="s">
        <v>3</v>
      </c>
      <c r="E37" t="s">
        <v>3</v>
      </c>
      <c r="F37" t="s">
        <v>3</v>
      </c>
      <c r="G37">
        <f t="shared" si="0"/>
        <v>4</v>
      </c>
      <c r="H37" t="s">
        <v>3</v>
      </c>
      <c r="I37">
        <f t="shared" si="1"/>
        <v>22801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</row>
    <row r="38" spans="1:19" x14ac:dyDescent="0.25">
      <c r="A38">
        <v>38</v>
      </c>
      <c r="B38">
        <v>155</v>
      </c>
      <c r="C38">
        <v>1</v>
      </c>
      <c r="D38" t="s">
        <v>11</v>
      </c>
      <c r="E38" t="s">
        <v>3</v>
      </c>
      <c r="F38" t="s">
        <v>3</v>
      </c>
      <c r="G38" t="s">
        <v>3</v>
      </c>
      <c r="H38" t="s">
        <v>3</v>
      </c>
      <c r="I38">
        <f t="shared" si="1"/>
        <v>24025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</row>
    <row r="39" spans="1:19" x14ac:dyDescent="0.25">
      <c r="A39" t="s">
        <v>12</v>
      </c>
      <c r="B39">
        <f>SUMPRODUCT(B2:B38,C2:C38)/2020</f>
        <v>100.02277227722772</v>
      </c>
      <c r="C39" t="s">
        <v>13</v>
      </c>
      <c r="D39" t="s">
        <v>14</v>
      </c>
      <c r="E39" t="s">
        <v>3</v>
      </c>
      <c r="F39" t="s">
        <v>15</v>
      </c>
      <c r="G39" t="s">
        <v>16</v>
      </c>
      <c r="H39" t="s">
        <v>17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</row>
    <row r="40" spans="1:19" x14ac:dyDescent="0.25">
      <c r="A40" t="s">
        <v>18</v>
      </c>
      <c r="B40">
        <f>ROUND(SQRT(SUMPRODUCT(C2:C38,I2:I38)/2020-B39^2),2)</f>
        <v>15</v>
      </c>
      <c r="C40" t="s">
        <v>13</v>
      </c>
      <c r="D40">
        <v>130</v>
      </c>
      <c r="E40">
        <v>160</v>
      </c>
      <c r="F40" t="str">
        <f t="shared" ref="F40:F48" si="2">CONCATENATE(D40,"-",E40)</f>
        <v>130-160</v>
      </c>
      <c r="G40">
        <f t="shared" ref="G40:G48" si="3">ROUND((NORMDIST(E40+0.5,100,15,TRUE)-NORMDIST(D40-0.5,100,15,TRUE))*100,2)</f>
        <v>2.46</v>
      </c>
      <c r="H40">
        <f t="shared" ref="H40:H48" si="4">ROUND(100*(SUMIF(B$2:B$38,"&lt;="&amp;E40,C$2:C$38)-SUMIF(B$2:B$38,"&lt;"&amp;D40,C$2:C$38))/2020,2)</f>
        <v>2.57</v>
      </c>
      <c r="I40">
        <f t="shared" ref="I40:I48" si="5">G40-H40</f>
        <v>-0.10999999999999988</v>
      </c>
      <c r="J40" t="str">
        <f>CONCATENATE(ABS(ROUND(I40/100*2020,1)),"-",IF(I40/100*2020&lt;0,$S$41,$S$40))</f>
        <v>2.2-too many</v>
      </c>
      <c r="K40">
        <f>RANK(N40,N$40:N$50,-1)</f>
        <v>8</v>
      </c>
      <c r="L40" t="s">
        <v>3</v>
      </c>
      <c r="M40" t="s">
        <v>3</v>
      </c>
      <c r="N40">
        <f t="shared" ref="N40:N48" si="6">AVERAGE(O40,P40)</f>
        <v>8</v>
      </c>
      <c r="O40">
        <f t="shared" ref="O40:O48" si="7">RANK(R40,R$40:R$50)</f>
        <v>9</v>
      </c>
      <c r="P40">
        <f t="shared" ref="P40:P48" si="8">RANK(Q40,Q$40:Q$50)</f>
        <v>7</v>
      </c>
      <c r="Q40">
        <f t="shared" ref="Q40:Q48" si="9">ABS(I40/G40)</f>
        <v>4.4715447154471497E-2</v>
      </c>
      <c r="R40">
        <f t="shared" ref="R40:R48" si="10">ABS(I40)</f>
        <v>0.10999999999999988</v>
      </c>
      <c r="S40" t="s">
        <v>19</v>
      </c>
    </row>
    <row r="41" spans="1:19" x14ac:dyDescent="0.25">
      <c r="A41" t="s">
        <v>20</v>
      </c>
      <c r="B41">
        <f>ROUND(B40*SQRT(2020/(2020-1)),2)</f>
        <v>15</v>
      </c>
      <c r="C41" t="s">
        <v>13</v>
      </c>
      <c r="D41">
        <v>120</v>
      </c>
      <c r="E41">
        <v>129</v>
      </c>
      <c r="F41" t="str">
        <f t="shared" si="2"/>
        <v>120-129</v>
      </c>
      <c r="G41">
        <f t="shared" si="3"/>
        <v>7.22</v>
      </c>
      <c r="H41">
        <f t="shared" si="4"/>
        <v>5.5</v>
      </c>
      <c r="I41">
        <f t="shared" si="5"/>
        <v>1.7199999999999998</v>
      </c>
      <c r="J41" t="str">
        <f>CONCATENATE(ABS(ROUND(I41/100*2020,1)),"-",IF(I41/100*2020&lt;0,$S$41,$S$40))</f>
        <v>34.7-too few</v>
      </c>
      <c r="K41">
        <f t="shared" ref="K41:K48" si="11">RANK(N41,N$40:N$50)</f>
        <v>9</v>
      </c>
      <c r="L41" t="s">
        <v>3</v>
      </c>
      <c r="M41" t="s">
        <v>3</v>
      </c>
      <c r="N41">
        <f t="shared" si="6"/>
        <v>2</v>
      </c>
      <c r="O41">
        <f t="shared" si="7"/>
        <v>2</v>
      </c>
      <c r="P41">
        <f t="shared" si="8"/>
        <v>2</v>
      </c>
      <c r="Q41">
        <f t="shared" si="9"/>
        <v>0.23822714681440441</v>
      </c>
      <c r="R41">
        <f t="shared" si="10"/>
        <v>1.7199999999999998</v>
      </c>
      <c r="S41" t="s">
        <v>21</v>
      </c>
    </row>
    <row r="42" spans="1:19" x14ac:dyDescent="0.25">
      <c r="A42" t="s">
        <v>22</v>
      </c>
      <c r="B42">
        <f>0.2-ABS(100-ROUND(B39,2))</f>
        <v>0.18000000000000399</v>
      </c>
      <c r="C42" t="s">
        <v>13</v>
      </c>
      <c r="D42">
        <v>110</v>
      </c>
      <c r="E42">
        <v>119</v>
      </c>
      <c r="F42" t="str">
        <f t="shared" si="2"/>
        <v>110-119</v>
      </c>
      <c r="G42">
        <f t="shared" si="3"/>
        <v>16.649999999999999</v>
      </c>
      <c r="H42">
        <f t="shared" si="4"/>
        <v>18.27</v>
      </c>
      <c r="I42">
        <f t="shared" si="5"/>
        <v>-1.620000000000001</v>
      </c>
      <c r="J42" t="str">
        <f>CONCATENATE(ABS(ROUND(I42/100*2020,1)),"-",IF(I41/100*2020&lt;0,$S$41,$S$40))</f>
        <v>32.7-too few</v>
      </c>
      <c r="K42">
        <f t="shared" si="11"/>
        <v>8</v>
      </c>
      <c r="L42" t="s">
        <v>3</v>
      </c>
      <c r="M42" t="s">
        <v>3</v>
      </c>
      <c r="N42">
        <f t="shared" si="6"/>
        <v>3</v>
      </c>
      <c r="O42">
        <f t="shared" si="7"/>
        <v>3</v>
      </c>
      <c r="P42">
        <f t="shared" si="8"/>
        <v>3</v>
      </c>
      <c r="Q42">
        <f t="shared" si="9"/>
        <v>9.7297297297297372E-2</v>
      </c>
      <c r="R42">
        <f t="shared" si="10"/>
        <v>1.620000000000001</v>
      </c>
      <c r="S42" t="s">
        <v>3</v>
      </c>
    </row>
    <row r="43" spans="1:19" x14ac:dyDescent="0.25">
      <c r="A43" t="s">
        <v>3</v>
      </c>
      <c r="B43">
        <f>0.1-ABS(15-B40)</f>
        <v>0.1</v>
      </c>
      <c r="C43" t="s">
        <v>13</v>
      </c>
      <c r="D43">
        <v>90</v>
      </c>
      <c r="E43">
        <v>109</v>
      </c>
      <c r="F43" t="str">
        <f t="shared" si="2"/>
        <v>90-109</v>
      </c>
      <c r="G43">
        <f t="shared" si="3"/>
        <v>49.48</v>
      </c>
      <c r="H43">
        <f t="shared" si="4"/>
        <v>47.72</v>
      </c>
      <c r="I43">
        <f t="shared" si="5"/>
        <v>1.759999999999998</v>
      </c>
      <c r="J43" t="str">
        <f t="shared" ref="J43:J48" si="12">CONCATENATE(ABS(ROUND(I43/100*2020,1)),"-",IF(I43/100*2020&lt;0,$S$41,$S$40))</f>
        <v>35.6-too few</v>
      </c>
      <c r="K43">
        <f t="shared" si="11"/>
        <v>6</v>
      </c>
      <c r="L43" t="s">
        <v>3</v>
      </c>
      <c r="M43" t="s">
        <v>3</v>
      </c>
      <c r="N43">
        <f t="shared" si="6"/>
        <v>4.5</v>
      </c>
      <c r="O43">
        <f t="shared" si="7"/>
        <v>1</v>
      </c>
      <c r="P43">
        <f t="shared" si="8"/>
        <v>8</v>
      </c>
      <c r="Q43">
        <f t="shared" si="9"/>
        <v>3.55699272433306E-2</v>
      </c>
      <c r="R43">
        <f t="shared" si="10"/>
        <v>1.759999999999998</v>
      </c>
      <c r="S43" t="s">
        <v>3</v>
      </c>
    </row>
    <row r="44" spans="1:19" x14ac:dyDescent="0.25">
      <c r="A44" t="s">
        <v>3</v>
      </c>
      <c r="B44">
        <f>0.1-ABS(15-B41)</f>
        <v>0.1</v>
      </c>
      <c r="C44" t="s">
        <v>13</v>
      </c>
      <c r="D44">
        <v>80</v>
      </c>
      <c r="E44">
        <v>89</v>
      </c>
      <c r="F44" t="str">
        <f t="shared" si="2"/>
        <v>80-89</v>
      </c>
      <c r="G44">
        <f t="shared" si="3"/>
        <v>15.61</v>
      </c>
      <c r="H44">
        <f t="shared" si="4"/>
        <v>16.68</v>
      </c>
      <c r="I44">
        <f t="shared" si="5"/>
        <v>-1.0700000000000003</v>
      </c>
      <c r="J44" t="str">
        <f t="shared" si="12"/>
        <v>21.6-too many</v>
      </c>
      <c r="K44">
        <f t="shared" si="11"/>
        <v>4</v>
      </c>
      <c r="L44" t="s">
        <v>3</v>
      </c>
      <c r="M44" t="s">
        <v>3</v>
      </c>
      <c r="N44">
        <f t="shared" si="6"/>
        <v>5</v>
      </c>
      <c r="O44">
        <f t="shared" si="7"/>
        <v>5</v>
      </c>
      <c r="P44">
        <f t="shared" si="8"/>
        <v>5</v>
      </c>
      <c r="Q44">
        <f t="shared" si="9"/>
        <v>6.8545803971812966E-2</v>
      </c>
      <c r="R44">
        <f t="shared" si="10"/>
        <v>1.0700000000000003</v>
      </c>
      <c r="S44" t="s">
        <v>3</v>
      </c>
    </row>
    <row r="45" spans="1:19" x14ac:dyDescent="0.25">
      <c r="A45" t="s">
        <v>23</v>
      </c>
      <c r="B45">
        <f>0.4-ABS(100-ROUND(B39,2))</f>
        <v>0.380000000000004</v>
      </c>
      <c r="C45" t="s">
        <v>13</v>
      </c>
      <c r="D45">
        <v>70</v>
      </c>
      <c r="E45">
        <v>79</v>
      </c>
      <c r="F45" t="str">
        <f t="shared" si="2"/>
        <v>70-79</v>
      </c>
      <c r="G45">
        <f t="shared" si="3"/>
        <v>6.49</v>
      </c>
      <c r="H45">
        <f t="shared" si="4"/>
        <v>6.29</v>
      </c>
      <c r="I45">
        <f t="shared" si="5"/>
        <v>0.20000000000000018</v>
      </c>
      <c r="J45" t="str">
        <f t="shared" si="12"/>
        <v>4-too few</v>
      </c>
      <c r="K45">
        <f t="shared" si="11"/>
        <v>1</v>
      </c>
      <c r="L45" t="s">
        <v>3</v>
      </c>
      <c r="M45" t="s">
        <v>3</v>
      </c>
      <c r="N45">
        <f t="shared" si="6"/>
        <v>8.5</v>
      </c>
      <c r="O45">
        <f t="shared" si="7"/>
        <v>8</v>
      </c>
      <c r="P45">
        <f t="shared" si="8"/>
        <v>9</v>
      </c>
      <c r="Q45">
        <f t="shared" si="9"/>
        <v>3.081664098613254E-2</v>
      </c>
      <c r="R45">
        <f t="shared" si="10"/>
        <v>0.20000000000000018</v>
      </c>
      <c r="S45" t="s">
        <v>3</v>
      </c>
    </row>
    <row r="46" spans="1:19" x14ac:dyDescent="0.25">
      <c r="A46" t="s">
        <v>3</v>
      </c>
      <c r="B46">
        <f>0.2-ABS(15-B40)</f>
        <v>0.2</v>
      </c>
      <c r="C46" t="s">
        <v>13</v>
      </c>
      <c r="D46">
        <v>40</v>
      </c>
      <c r="E46">
        <v>69</v>
      </c>
      <c r="F46" t="str">
        <f t="shared" si="2"/>
        <v>40-69</v>
      </c>
      <c r="G46">
        <f t="shared" si="3"/>
        <v>2.1</v>
      </c>
      <c r="H46">
        <f t="shared" si="4"/>
        <v>2.97</v>
      </c>
      <c r="I46">
        <f t="shared" si="5"/>
        <v>-0.87000000000000011</v>
      </c>
      <c r="J46" t="str">
        <f t="shared" si="12"/>
        <v>17.6-too many</v>
      </c>
      <c r="K46">
        <f t="shared" si="11"/>
        <v>7</v>
      </c>
      <c r="L46" t="s">
        <v>3</v>
      </c>
      <c r="M46" t="s">
        <v>3</v>
      </c>
      <c r="N46">
        <f t="shared" si="6"/>
        <v>3.5</v>
      </c>
      <c r="O46">
        <f t="shared" si="7"/>
        <v>6</v>
      </c>
      <c r="P46">
        <f t="shared" si="8"/>
        <v>1</v>
      </c>
      <c r="Q46">
        <f t="shared" si="9"/>
        <v>0.41428571428571431</v>
      </c>
      <c r="R46">
        <f t="shared" si="10"/>
        <v>0.87000000000000011</v>
      </c>
      <c r="S46" t="s">
        <v>3</v>
      </c>
    </row>
    <row r="47" spans="1:19" x14ac:dyDescent="0.25">
      <c r="A47" t="s">
        <v>3</v>
      </c>
      <c r="B47">
        <f>0.2-ABS(15-B41)</f>
        <v>0.2</v>
      </c>
      <c r="C47" t="s">
        <v>13</v>
      </c>
      <c r="D47">
        <v>40</v>
      </c>
      <c r="E47">
        <v>85</v>
      </c>
      <c r="F47" t="str">
        <f t="shared" si="2"/>
        <v>40-85</v>
      </c>
      <c r="G47">
        <f t="shared" si="3"/>
        <v>16.68</v>
      </c>
      <c r="H47">
        <f t="shared" si="4"/>
        <v>15.59</v>
      </c>
      <c r="I47">
        <f t="shared" si="5"/>
        <v>1.0899999999999999</v>
      </c>
      <c r="J47" t="str">
        <f t="shared" si="12"/>
        <v>22-too few</v>
      </c>
      <c r="K47">
        <f t="shared" si="11"/>
        <v>4</v>
      </c>
      <c r="L47" t="s">
        <v>3</v>
      </c>
      <c r="M47" t="s">
        <v>3</v>
      </c>
      <c r="N47">
        <f t="shared" si="6"/>
        <v>5</v>
      </c>
      <c r="O47">
        <f t="shared" si="7"/>
        <v>4</v>
      </c>
      <c r="P47">
        <f t="shared" si="8"/>
        <v>6</v>
      </c>
      <c r="Q47">
        <f t="shared" si="9"/>
        <v>6.5347721822541963E-2</v>
      </c>
      <c r="R47">
        <f t="shared" si="10"/>
        <v>1.0899999999999999</v>
      </c>
      <c r="S47" t="s">
        <v>3</v>
      </c>
    </row>
    <row r="48" spans="1:19" x14ac:dyDescent="0.25">
      <c r="A48" t="s">
        <v>24</v>
      </c>
      <c r="B48">
        <f>1-ABS(100-ROUND(B39,2))</f>
        <v>0.98000000000000398</v>
      </c>
      <c r="C48" t="s">
        <v>13</v>
      </c>
      <c r="D48">
        <v>40</v>
      </c>
      <c r="E48">
        <v>78</v>
      </c>
      <c r="F48" t="str">
        <f t="shared" si="2"/>
        <v>40-78</v>
      </c>
      <c r="G48">
        <f t="shared" si="3"/>
        <v>7.59</v>
      </c>
      <c r="H48">
        <f t="shared" si="4"/>
        <v>6.93</v>
      </c>
      <c r="I48">
        <f t="shared" si="5"/>
        <v>0.66000000000000014</v>
      </c>
      <c r="J48" t="str">
        <f t="shared" si="12"/>
        <v>13.3-too few</v>
      </c>
      <c r="K48">
        <f t="shared" si="11"/>
        <v>3</v>
      </c>
      <c r="L48" t="s">
        <v>3</v>
      </c>
      <c r="M48" t="s">
        <v>3</v>
      </c>
      <c r="N48">
        <f t="shared" si="6"/>
        <v>5.5</v>
      </c>
      <c r="O48">
        <f t="shared" si="7"/>
        <v>7</v>
      </c>
      <c r="P48">
        <f t="shared" si="8"/>
        <v>4</v>
      </c>
      <c r="Q48">
        <f t="shared" si="9"/>
        <v>8.695652173913046E-2</v>
      </c>
      <c r="R48">
        <f t="shared" si="10"/>
        <v>0.66000000000000014</v>
      </c>
      <c r="S48" t="s">
        <v>3</v>
      </c>
    </row>
    <row r="49" spans="1:19" x14ac:dyDescent="0.25">
      <c r="A49" t="s">
        <v>3</v>
      </c>
      <c r="B49">
        <f>0.5-ABS(15-B40)</f>
        <v>0.5</v>
      </c>
      <c r="C49" t="s">
        <v>13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</row>
    <row r="50" spans="1:19" x14ac:dyDescent="0.25">
      <c r="A50" t="s">
        <v>3</v>
      </c>
      <c r="B50">
        <f>0.5-ABS(15-B41)</f>
        <v>0.5</v>
      </c>
      <c r="C50" t="s">
        <v>13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971B-BB17-4808-B56B-E9E23A70BBEC}">
  <dimension ref="A1:M139"/>
  <sheetViews>
    <sheetView tabSelected="1" workbookViewId="0">
      <selection activeCell="J3" sqref="J3"/>
    </sheetView>
  </sheetViews>
  <sheetFormatPr defaultRowHeight="15" x14ac:dyDescent="0.25"/>
  <cols>
    <col min="1" max="2" width="9.140625" style="10"/>
  </cols>
  <sheetData>
    <row r="1" spans="1:13" x14ac:dyDescent="0.25">
      <c r="A1" s="1" t="s">
        <v>0</v>
      </c>
      <c r="B1" s="1" t="s">
        <v>30</v>
      </c>
      <c r="C1" s="1" t="s">
        <v>25</v>
      </c>
      <c r="D1" s="2" t="s">
        <v>26</v>
      </c>
      <c r="E1" s="2" t="s">
        <v>27</v>
      </c>
      <c r="F1" s="3"/>
      <c r="G1" s="3"/>
      <c r="H1" s="3"/>
      <c r="I1" s="3"/>
      <c r="J1" s="3"/>
      <c r="K1" s="3"/>
      <c r="L1" s="3"/>
      <c r="M1" s="3"/>
    </row>
    <row r="2" spans="1:13" x14ac:dyDescent="0.25">
      <c r="A2" s="4">
        <f>handsmooth!A2</f>
        <v>2</v>
      </c>
      <c r="B2" s="4">
        <f>handsmooth!B2</f>
        <v>45</v>
      </c>
      <c r="C2" s="5" t="str">
        <f>CONCATENATE(ROUND((100+$H$3*(B2-100))-(1.645*(15*$H$3*SQRT(1-$H$3))),0),"-",ROUND((100+$H$3*(B2-100))+(1.645*(15*$H$3*SQRT(1-$H$3))),0))</f>
        <v>43-55</v>
      </c>
      <c r="D2" s="5" t="str">
        <f>CONCATENATE(ROUND((100+$H$3*(B2-100))-(1.96*(15*$H$3*SQRT(1-$H$3))),0),"-",ROUND((100+$H$3*(B2-100))+(1.96*(15*$H$3*SQRT(1-$H$3))),0))</f>
        <v>42-56</v>
      </c>
      <c r="E2" s="5" t="str">
        <f>IF(B2&lt;51,"&lt;0.1",IF(B2&lt;62,ROUND(NORMDIST(B2,100,15,TRUE)*100,1),IF(B2&lt;139,ROUND(NORMDIST(B2,100,15,TRUE)*100,0),IF(B2&lt;150,ROUND(NORMDIST(B2,100,15,TRUE)*100,1),"&gt;99.9"))))</f>
        <v>&lt;0.1</v>
      </c>
      <c r="F2" s="6"/>
      <c r="G2" s="6"/>
      <c r="H2" s="7"/>
      <c r="I2" s="7"/>
      <c r="J2" s="7"/>
      <c r="K2" s="6"/>
      <c r="L2" s="6"/>
      <c r="M2" s="6"/>
    </row>
    <row r="3" spans="1:13" x14ac:dyDescent="0.25">
      <c r="A3" s="4">
        <f>handsmooth!A3</f>
        <v>3</v>
      </c>
      <c r="B3" s="4">
        <f>handsmooth!B3</f>
        <v>49</v>
      </c>
      <c r="C3" s="5" t="str">
        <f t="shared" ref="C3:C38" si="0">CONCATENATE(ROUND((100+$H$3*(B3-100))-(1.645*(15*$H$3*SQRT(1-$H$3))),0),"-",ROUND((100+$H$3*(B3-100))+(1.645*(15*$H$3*SQRT(1-$H$3))),0))</f>
        <v>46-59</v>
      </c>
      <c r="D3" s="5" t="str">
        <f t="shared" ref="D3:D32" si="1">CONCATENATE(ROUND((100+$H$3*(B3-100))-(1.96*(15*$H$3*SQRT(1-$H$3))),0),"-",ROUND((100+$H$3*(B3-100))+(1.96*(15*$H$3*SQRT(1-$H$3))),0))</f>
        <v>45-60</v>
      </c>
      <c r="E3" s="5" t="str">
        <f t="shared" ref="E3:E32" si="2">IF(B3&lt;51,"&lt;0.1",IF(B3&lt;62,ROUND(NORMDIST(B3,100,15,TRUE)*100,1),IF(B3&lt;139,ROUND(NORMDIST(B3,100,15,TRUE)*100,0),IF(B3&lt;150,ROUND(NORMDIST(B3,100,15,TRUE)*100,1),"&gt;99.9"))))</f>
        <v>&lt;0.1</v>
      </c>
      <c r="F3" s="6"/>
      <c r="G3" s="6" t="s">
        <v>28</v>
      </c>
      <c r="H3" s="11">
        <v>0.93</v>
      </c>
      <c r="I3" s="6"/>
      <c r="J3" s="6"/>
      <c r="K3" s="6"/>
      <c r="L3" s="6"/>
      <c r="M3" s="6"/>
    </row>
    <row r="4" spans="1:13" x14ac:dyDescent="0.25">
      <c r="A4" s="4">
        <f>handsmooth!A4</f>
        <v>4</v>
      </c>
      <c r="B4" s="4">
        <f>handsmooth!B4</f>
        <v>52</v>
      </c>
      <c r="C4" s="5" t="str">
        <f t="shared" si="0"/>
        <v>49-61</v>
      </c>
      <c r="D4" s="5" t="str">
        <f t="shared" si="1"/>
        <v>48-63</v>
      </c>
      <c r="E4" s="5">
        <f t="shared" si="2"/>
        <v>0.1</v>
      </c>
      <c r="F4" s="6"/>
      <c r="G4" s="6"/>
      <c r="H4" s="6"/>
      <c r="I4" s="6"/>
      <c r="J4" s="6"/>
      <c r="K4" s="6"/>
      <c r="L4" s="6"/>
      <c r="M4" s="6"/>
    </row>
    <row r="5" spans="1:13" x14ac:dyDescent="0.25">
      <c r="A5" s="4">
        <f>handsmooth!A5</f>
        <v>5</v>
      </c>
      <c r="B5" s="4">
        <f>handsmooth!B5</f>
        <v>56</v>
      </c>
      <c r="C5" s="5" t="str">
        <f t="shared" si="0"/>
        <v>53-65</v>
      </c>
      <c r="D5" s="5" t="str">
        <f t="shared" si="1"/>
        <v>52-66</v>
      </c>
      <c r="E5" s="5">
        <f t="shared" si="2"/>
        <v>0.2</v>
      </c>
      <c r="F5" s="6"/>
      <c r="G5" s="8" t="s">
        <v>29</v>
      </c>
      <c r="H5" s="8"/>
      <c r="I5" s="8"/>
      <c r="J5" s="8"/>
      <c r="K5" s="8"/>
      <c r="L5" s="8"/>
      <c r="M5" s="8"/>
    </row>
    <row r="6" spans="1:13" x14ac:dyDescent="0.25">
      <c r="A6" s="4">
        <f>handsmooth!A6</f>
        <v>6</v>
      </c>
      <c r="B6" s="4">
        <f>handsmooth!B6</f>
        <v>59</v>
      </c>
      <c r="C6" s="5" t="str">
        <f t="shared" si="0"/>
        <v>56-68</v>
      </c>
      <c r="D6" s="5" t="str">
        <f t="shared" si="1"/>
        <v>55-69</v>
      </c>
      <c r="E6" s="5">
        <f t="shared" si="2"/>
        <v>0.3</v>
      </c>
      <c r="F6" s="6"/>
      <c r="G6" s="6"/>
      <c r="H6" s="6"/>
      <c r="I6" s="6"/>
      <c r="J6" s="6"/>
      <c r="K6" s="6"/>
      <c r="L6" s="6"/>
      <c r="M6" s="6"/>
    </row>
    <row r="7" spans="1:13" x14ac:dyDescent="0.25">
      <c r="A7" s="4">
        <f>handsmooth!A7</f>
        <v>7</v>
      </c>
      <c r="B7" s="4">
        <f>handsmooth!B7</f>
        <v>63</v>
      </c>
      <c r="C7" s="5" t="str">
        <f t="shared" si="0"/>
        <v>60-72</v>
      </c>
      <c r="D7" s="5" t="str">
        <f t="shared" si="1"/>
        <v>58-73</v>
      </c>
      <c r="E7" s="5">
        <f t="shared" si="2"/>
        <v>1</v>
      </c>
      <c r="F7" s="6"/>
      <c r="G7" s="6"/>
      <c r="H7" s="6"/>
      <c r="I7" s="6"/>
      <c r="J7" s="6"/>
      <c r="K7" s="6"/>
      <c r="L7" s="6"/>
      <c r="M7" s="6"/>
    </row>
    <row r="8" spans="1:13" x14ac:dyDescent="0.25">
      <c r="A8" s="4">
        <f>handsmooth!A8</f>
        <v>8</v>
      </c>
      <c r="B8" s="4">
        <f>handsmooth!B8</f>
        <v>66</v>
      </c>
      <c r="C8" s="5" t="str">
        <f t="shared" si="0"/>
        <v>62-74</v>
      </c>
      <c r="D8" s="5" t="str">
        <f t="shared" si="1"/>
        <v>61-76</v>
      </c>
      <c r="E8" s="5">
        <f t="shared" si="2"/>
        <v>1</v>
      </c>
      <c r="F8" s="6"/>
      <c r="G8" s="6"/>
      <c r="H8" s="6"/>
      <c r="I8" s="6"/>
      <c r="J8" s="6"/>
      <c r="K8" s="6"/>
      <c r="L8" s="6"/>
      <c r="M8" s="6"/>
    </row>
    <row r="9" spans="1:13" x14ac:dyDescent="0.25">
      <c r="A9" s="4">
        <f>handsmooth!A9</f>
        <v>9</v>
      </c>
      <c r="B9" s="4">
        <f>handsmooth!B9</f>
        <v>69</v>
      </c>
      <c r="C9" s="5" t="str">
        <f t="shared" si="0"/>
        <v>65-77</v>
      </c>
      <c r="D9" s="5" t="str">
        <f t="shared" si="1"/>
        <v>64-78</v>
      </c>
      <c r="E9" s="5">
        <f t="shared" si="2"/>
        <v>2</v>
      </c>
      <c r="F9" s="6"/>
      <c r="G9" s="6"/>
      <c r="H9" s="6"/>
      <c r="I9" s="6"/>
      <c r="J9" s="6"/>
      <c r="K9" s="6"/>
      <c r="L9" s="6"/>
      <c r="M9" s="6"/>
    </row>
    <row r="10" spans="1:13" x14ac:dyDescent="0.25">
      <c r="A10" s="4">
        <f>handsmooth!A10</f>
        <v>10</v>
      </c>
      <c r="B10" s="4">
        <f>handsmooth!B10</f>
        <v>73</v>
      </c>
      <c r="C10" s="5" t="str">
        <f t="shared" si="0"/>
        <v>69-81</v>
      </c>
      <c r="D10" s="5" t="str">
        <f t="shared" si="1"/>
        <v>68-82</v>
      </c>
      <c r="E10" s="5">
        <f t="shared" si="2"/>
        <v>4</v>
      </c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4">
        <f>handsmooth!A11</f>
        <v>11</v>
      </c>
      <c r="B11" s="4">
        <f>handsmooth!B11</f>
        <v>76</v>
      </c>
      <c r="C11" s="5" t="str">
        <f t="shared" si="0"/>
        <v>72-84</v>
      </c>
      <c r="D11" s="5" t="str">
        <f t="shared" si="1"/>
        <v>70-85</v>
      </c>
      <c r="E11" s="5">
        <f t="shared" si="2"/>
        <v>5</v>
      </c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4">
        <f>handsmooth!A12</f>
        <v>12</v>
      </c>
      <c r="B12" s="4">
        <f>handsmooth!B12</f>
        <v>79</v>
      </c>
      <c r="C12" s="5" t="str">
        <f t="shared" si="0"/>
        <v>74-87</v>
      </c>
      <c r="D12" s="5" t="str">
        <f t="shared" si="1"/>
        <v>73-88</v>
      </c>
      <c r="E12" s="5">
        <f t="shared" si="2"/>
        <v>8</v>
      </c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>
        <f>handsmooth!A13</f>
        <v>13</v>
      </c>
      <c r="B13" s="4">
        <f>handsmooth!B13</f>
        <v>81</v>
      </c>
      <c r="C13" s="5" t="str">
        <f t="shared" si="0"/>
        <v>76-88</v>
      </c>
      <c r="D13" s="5" t="str">
        <f t="shared" si="1"/>
        <v>75-90</v>
      </c>
      <c r="E13" s="5">
        <f t="shared" si="2"/>
        <v>10</v>
      </c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>
        <f>handsmooth!A14</f>
        <v>14</v>
      </c>
      <c r="B14" s="4">
        <f>handsmooth!B14</f>
        <v>84</v>
      </c>
      <c r="C14" s="5" t="str">
        <f t="shared" si="0"/>
        <v>79-91</v>
      </c>
      <c r="D14" s="5" t="str">
        <f t="shared" si="1"/>
        <v>78-92</v>
      </c>
      <c r="E14" s="5">
        <f t="shared" si="2"/>
        <v>14</v>
      </c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>
        <f>handsmooth!A15</f>
        <v>15</v>
      </c>
      <c r="B15" s="4">
        <f>handsmooth!B15</f>
        <v>87</v>
      </c>
      <c r="C15" s="5" t="str">
        <f t="shared" si="0"/>
        <v>82-94</v>
      </c>
      <c r="D15" s="5" t="str">
        <f t="shared" si="1"/>
        <v>81-95</v>
      </c>
      <c r="E15" s="5">
        <f t="shared" si="2"/>
        <v>19</v>
      </c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>
        <f>handsmooth!A16</f>
        <v>16</v>
      </c>
      <c r="B16" s="4">
        <f>handsmooth!B16</f>
        <v>89</v>
      </c>
      <c r="C16" s="5" t="str">
        <f t="shared" si="0"/>
        <v>84-96</v>
      </c>
      <c r="D16" s="5" t="str">
        <f t="shared" si="1"/>
        <v>83-97</v>
      </c>
      <c r="E16" s="5">
        <f t="shared" si="2"/>
        <v>23</v>
      </c>
      <c r="F16" s="6"/>
      <c r="G16" s="6"/>
      <c r="H16" s="6"/>
      <c r="I16" s="6"/>
      <c r="J16" s="6"/>
      <c r="K16" s="6"/>
      <c r="L16" s="6"/>
      <c r="M16" s="6"/>
    </row>
    <row r="17" spans="1:5" x14ac:dyDescent="0.25">
      <c r="A17" s="4">
        <f>handsmooth!A17</f>
        <v>17</v>
      </c>
      <c r="B17" s="4">
        <f>handsmooth!B17</f>
        <v>92</v>
      </c>
      <c r="C17" s="5" t="str">
        <f t="shared" si="0"/>
        <v>86-99</v>
      </c>
      <c r="D17" s="5" t="str">
        <f t="shared" si="1"/>
        <v>85-100</v>
      </c>
      <c r="E17" s="5">
        <f t="shared" si="2"/>
        <v>30</v>
      </c>
    </row>
    <row r="18" spans="1:5" x14ac:dyDescent="0.25">
      <c r="A18" s="4">
        <f>handsmooth!A18</f>
        <v>18</v>
      </c>
      <c r="B18" s="4">
        <f>handsmooth!B18</f>
        <v>95</v>
      </c>
      <c r="C18" s="5" t="str">
        <f t="shared" si="0"/>
        <v>89-101</v>
      </c>
      <c r="D18" s="5" t="str">
        <f t="shared" si="1"/>
        <v>88-103</v>
      </c>
      <c r="E18" s="5">
        <f t="shared" si="2"/>
        <v>37</v>
      </c>
    </row>
    <row r="19" spans="1:5" x14ac:dyDescent="0.25">
      <c r="A19" s="4">
        <f>handsmooth!A19</f>
        <v>19</v>
      </c>
      <c r="B19" s="4">
        <f>handsmooth!B19</f>
        <v>98</v>
      </c>
      <c r="C19" s="5" t="str">
        <f t="shared" si="0"/>
        <v>92-104</v>
      </c>
      <c r="D19" s="5" t="str">
        <f t="shared" si="1"/>
        <v>91-105</v>
      </c>
      <c r="E19" s="5">
        <f t="shared" si="2"/>
        <v>45</v>
      </c>
    </row>
    <row r="20" spans="1:5" x14ac:dyDescent="0.25">
      <c r="A20" s="4">
        <f>handsmooth!A20</f>
        <v>20</v>
      </c>
      <c r="B20" s="4">
        <f>handsmooth!B20</f>
        <v>100</v>
      </c>
      <c r="C20" s="5" t="str">
        <f t="shared" si="0"/>
        <v>94-106</v>
      </c>
      <c r="D20" s="5" t="str">
        <f t="shared" si="1"/>
        <v>93-107</v>
      </c>
      <c r="E20" s="5">
        <f t="shared" si="2"/>
        <v>50</v>
      </c>
    </row>
    <row r="21" spans="1:5" x14ac:dyDescent="0.25">
      <c r="A21" s="4">
        <f>handsmooth!A21</f>
        <v>21</v>
      </c>
      <c r="B21" s="4">
        <f>handsmooth!B21</f>
        <v>102</v>
      </c>
      <c r="C21" s="5" t="str">
        <f t="shared" si="0"/>
        <v>96-108</v>
      </c>
      <c r="D21" s="5" t="str">
        <f t="shared" si="1"/>
        <v>95-109</v>
      </c>
      <c r="E21" s="5">
        <f t="shared" si="2"/>
        <v>55</v>
      </c>
    </row>
    <row r="22" spans="1:5" x14ac:dyDescent="0.25">
      <c r="A22" s="4">
        <f>handsmooth!A22</f>
        <v>22</v>
      </c>
      <c r="B22" s="4">
        <f>handsmooth!B22</f>
        <v>105</v>
      </c>
      <c r="C22" s="5" t="str">
        <f t="shared" si="0"/>
        <v>99-111</v>
      </c>
      <c r="D22" s="5" t="str">
        <f t="shared" si="1"/>
        <v>97-112</v>
      </c>
      <c r="E22" s="5">
        <f t="shared" si="2"/>
        <v>63</v>
      </c>
    </row>
    <row r="23" spans="1:5" x14ac:dyDescent="0.25">
      <c r="A23" s="4">
        <f>handsmooth!A23</f>
        <v>23</v>
      </c>
      <c r="B23" s="4">
        <f>handsmooth!B23</f>
        <v>108</v>
      </c>
      <c r="C23" s="5" t="str">
        <f t="shared" si="0"/>
        <v>101-114</v>
      </c>
      <c r="D23" s="5" t="str">
        <f t="shared" si="1"/>
        <v>100-115</v>
      </c>
      <c r="E23" s="5">
        <f t="shared" si="2"/>
        <v>70</v>
      </c>
    </row>
    <row r="24" spans="1:5" x14ac:dyDescent="0.25">
      <c r="A24" s="4">
        <f>handsmooth!A24</f>
        <v>24</v>
      </c>
      <c r="B24" s="4">
        <f>handsmooth!B24</f>
        <v>111</v>
      </c>
      <c r="C24" s="5" t="str">
        <f t="shared" si="0"/>
        <v>104-116</v>
      </c>
      <c r="D24" s="5" t="str">
        <f t="shared" si="1"/>
        <v>103-117</v>
      </c>
      <c r="E24" s="5">
        <f t="shared" si="2"/>
        <v>77</v>
      </c>
    </row>
    <row r="25" spans="1:5" x14ac:dyDescent="0.25">
      <c r="A25" s="4">
        <f>handsmooth!A25</f>
        <v>25</v>
      </c>
      <c r="B25" s="4">
        <f>handsmooth!B25</f>
        <v>114</v>
      </c>
      <c r="C25" s="5" t="str">
        <f t="shared" si="0"/>
        <v>107-119</v>
      </c>
      <c r="D25" s="5" t="str">
        <f t="shared" si="1"/>
        <v>106-120</v>
      </c>
      <c r="E25" s="5">
        <f t="shared" si="2"/>
        <v>82</v>
      </c>
    </row>
    <row r="26" spans="1:5" x14ac:dyDescent="0.25">
      <c r="A26" s="4">
        <f>handsmooth!A26</f>
        <v>26</v>
      </c>
      <c r="B26" s="4">
        <f>handsmooth!B26</f>
        <v>116</v>
      </c>
      <c r="C26" s="5" t="str">
        <f t="shared" si="0"/>
        <v>109-121</v>
      </c>
      <c r="D26" s="5" t="str">
        <f t="shared" si="1"/>
        <v>108-122</v>
      </c>
      <c r="E26" s="5">
        <f t="shared" si="2"/>
        <v>86</v>
      </c>
    </row>
    <row r="27" spans="1:5" x14ac:dyDescent="0.25">
      <c r="A27" s="4">
        <f>handsmooth!A27</f>
        <v>27</v>
      </c>
      <c r="B27" s="4">
        <f>handsmooth!B27</f>
        <v>119</v>
      </c>
      <c r="C27" s="5" t="str">
        <f t="shared" si="0"/>
        <v>112-124</v>
      </c>
      <c r="D27" s="5" t="str">
        <f t="shared" si="1"/>
        <v>110-125</v>
      </c>
      <c r="E27" s="5">
        <f t="shared" si="2"/>
        <v>90</v>
      </c>
    </row>
    <row r="28" spans="1:5" x14ac:dyDescent="0.25">
      <c r="A28" s="4">
        <f>handsmooth!A28</f>
        <v>28</v>
      </c>
      <c r="B28" s="4">
        <f>handsmooth!B28</f>
        <v>121</v>
      </c>
      <c r="C28" s="5" t="str">
        <f t="shared" si="0"/>
        <v>113-126</v>
      </c>
      <c r="D28" s="5" t="str">
        <f t="shared" si="1"/>
        <v>112-127</v>
      </c>
      <c r="E28" s="5">
        <f t="shared" si="2"/>
        <v>92</v>
      </c>
    </row>
    <row r="29" spans="1:5" x14ac:dyDescent="0.25">
      <c r="A29" s="4">
        <f>handsmooth!A29</f>
        <v>29</v>
      </c>
      <c r="B29" s="4">
        <f>handsmooth!B29</f>
        <v>124</v>
      </c>
      <c r="C29" s="5" t="str">
        <f t="shared" si="0"/>
        <v>116-128</v>
      </c>
      <c r="D29" s="5" t="str">
        <f t="shared" si="1"/>
        <v>115-130</v>
      </c>
      <c r="E29" s="5">
        <f t="shared" si="2"/>
        <v>95</v>
      </c>
    </row>
    <row r="30" spans="1:5" x14ac:dyDescent="0.25">
      <c r="A30" s="4">
        <f>handsmooth!A30</f>
        <v>30</v>
      </c>
      <c r="B30" s="4">
        <f>handsmooth!B30</f>
        <v>127</v>
      </c>
      <c r="C30" s="5" t="str">
        <f t="shared" si="0"/>
        <v>119-131</v>
      </c>
      <c r="D30" s="5" t="str">
        <f t="shared" si="1"/>
        <v>118-132</v>
      </c>
      <c r="E30" s="5">
        <f t="shared" si="2"/>
        <v>96</v>
      </c>
    </row>
    <row r="31" spans="1:5" x14ac:dyDescent="0.25">
      <c r="A31" s="4">
        <f>handsmooth!A31</f>
        <v>31</v>
      </c>
      <c r="B31" s="4">
        <f>handsmooth!B31</f>
        <v>130</v>
      </c>
      <c r="C31" s="5" t="str">
        <f t="shared" si="0"/>
        <v>122-134</v>
      </c>
      <c r="D31" s="5" t="str">
        <f t="shared" si="1"/>
        <v>121-135</v>
      </c>
      <c r="E31" s="5">
        <f t="shared" si="2"/>
        <v>98</v>
      </c>
    </row>
    <row r="32" spans="1:5" x14ac:dyDescent="0.25">
      <c r="A32" s="4">
        <f>handsmooth!A32</f>
        <v>32</v>
      </c>
      <c r="B32" s="4">
        <f>handsmooth!B32</f>
        <v>133</v>
      </c>
      <c r="C32" s="5" t="str">
        <f t="shared" si="0"/>
        <v>125-137</v>
      </c>
      <c r="D32" s="5" t="str">
        <f t="shared" si="1"/>
        <v>123-138</v>
      </c>
      <c r="E32" s="5">
        <f t="shared" si="2"/>
        <v>99</v>
      </c>
    </row>
    <row r="33" spans="1:5" x14ac:dyDescent="0.25">
      <c r="A33" s="4">
        <f>handsmooth!A33</f>
        <v>33</v>
      </c>
      <c r="B33" s="4">
        <f>handsmooth!B33</f>
        <v>136</v>
      </c>
      <c r="C33" s="5" t="str">
        <f>CONCATENATE(ROUND((100+$H$3*(B33-100))-(1.645*(15*$H$3*SQRT(1-$H$3))),0),"-",ROUND((100+$H$3*(B33-100))+(1.645*(15*$H$3*SQRT(1-$H$3))),0))</f>
        <v>127-140</v>
      </c>
      <c r="D33" s="5" t="str">
        <f>CONCATENATE(ROUND((100+$H$3*(B33-100))-(1.96*(15*$H$3*SQRT(1-$H$3))),0),"-",ROUND((100+$H$3*(B33-100))+(1.96*(15*$H$3*SQRT(1-$H$3))),0))</f>
        <v>126-141</v>
      </c>
      <c r="E33" s="5">
        <f>IF(B33&lt;51,"&lt;0.1",IF(B33&lt;62,ROUND(NORMDIST(B33,100,15,TRUE)*100,1),IF(B33&lt;139,ROUND(NORMDIST(B33,100,15,TRUE)*100,0),IF(B33&lt;150,ROUND(NORMDIST(B33,100,15,TRUE)*100,1),"&gt;99.9"))))</f>
        <v>99</v>
      </c>
    </row>
    <row r="34" spans="1:5" x14ac:dyDescent="0.25">
      <c r="A34" s="4">
        <f>handsmooth!A34</f>
        <v>34</v>
      </c>
      <c r="B34" s="4">
        <f>handsmooth!B34</f>
        <v>140</v>
      </c>
      <c r="C34" s="5" t="str">
        <f t="shared" si="0"/>
        <v>131-143</v>
      </c>
      <c r="D34" s="5" t="str">
        <f t="shared" ref="D34" si="3">CONCATENATE(ROUND((100+$H$3*(B34-100))-(1.96*(15*$H$3*SQRT(1-$H$3))),0),"-",ROUND((100+$H$3*(B34-100))+(1.96*(15*$H$3*SQRT(1-$H$3))),0))</f>
        <v>130-144</v>
      </c>
      <c r="E34" s="5">
        <f t="shared" ref="E34" si="4">IF(B34&lt;51,"&lt;0.1",IF(B34&lt;62,ROUND(NORMDIST(B34,100,15,TRUE)*100,1),IF(B34&lt;139,ROUND(NORMDIST(B34,100,15,TRUE)*100,0),IF(B34&lt;150,ROUND(NORMDIST(B34,100,15,TRUE)*100,1),"&gt;99.9"))))</f>
        <v>99.6</v>
      </c>
    </row>
    <row r="35" spans="1:5" x14ac:dyDescent="0.25">
      <c r="A35" s="4">
        <f>handsmooth!A35</f>
        <v>35</v>
      </c>
      <c r="B35" s="4">
        <f>handsmooth!B35</f>
        <v>144</v>
      </c>
      <c r="C35" s="5" t="str">
        <f>CONCATENATE(ROUND((100+$H$3*(B35-100))-(1.645*(15*$H$3*SQRT(1-$H$3))),0),"-",ROUND((100+$H$3*(B35-100))+(1.645*(15*$H$3*SQRT(1-$H$3))),0))</f>
        <v>135-147</v>
      </c>
      <c r="D35" s="5" t="str">
        <f>CONCATENATE(ROUND((100+$H$3*(B35-100))-(1.96*(15*$H$3*SQRT(1-$H$3))),0),"-",ROUND((100+$H$3*(B35-100))+(1.96*(15*$H$3*SQRT(1-$H$3))),0))</f>
        <v>134-148</v>
      </c>
      <c r="E35" s="5">
        <f>IF(B35&lt;51,"&lt;0.1",IF(B35&lt;62,ROUND(NORMDIST(B35,100,15,TRUE)*100,1),IF(B35&lt;139,ROUND(NORMDIST(B35,100,15,TRUE)*100,0),IF(B35&lt;150,ROUND(NORMDIST(B35,100,15,TRUE)*100,1),"&gt;99.9"))))</f>
        <v>99.8</v>
      </c>
    </row>
    <row r="36" spans="1:5" x14ac:dyDescent="0.25">
      <c r="A36" s="4">
        <f>handsmooth!A36</f>
        <v>36</v>
      </c>
      <c r="B36" s="4">
        <f>handsmooth!B36</f>
        <v>147</v>
      </c>
      <c r="C36" s="5" t="str">
        <f t="shared" si="0"/>
        <v>138-150</v>
      </c>
      <c r="D36" s="5" t="str">
        <f t="shared" ref="D36" si="5">CONCATENATE(ROUND((100+$H$3*(B36-100))-(1.96*(15*$H$3*SQRT(1-$H$3))),0),"-",ROUND((100+$H$3*(B36-100))+(1.96*(15*$H$3*SQRT(1-$H$3))),0))</f>
        <v>136-151</v>
      </c>
      <c r="E36" s="5">
        <f t="shared" ref="E36" si="6">IF(B36&lt;51,"&lt;0.1",IF(B36&lt;62,ROUND(NORMDIST(B36,100,15,TRUE)*100,1),IF(B36&lt;139,ROUND(NORMDIST(B36,100,15,TRUE)*100,0),IF(B36&lt;150,ROUND(NORMDIST(B36,100,15,TRUE)*100,1),"&gt;99.9"))))</f>
        <v>99.9</v>
      </c>
    </row>
    <row r="37" spans="1:5" x14ac:dyDescent="0.25">
      <c r="A37" s="4">
        <f>handsmooth!A37</f>
        <v>37</v>
      </c>
      <c r="B37" s="4">
        <f>handsmooth!B37</f>
        <v>151</v>
      </c>
      <c r="C37" s="5" t="str">
        <f>CONCATENATE(ROUND((100+$H$3*(B37-100))-(1.645*(15*$H$3*SQRT(1-$H$3))),0),"-",ROUND((100+$H$3*(B37-100))+(1.645*(15*$H$3*SQRT(1-$H$3))),0))</f>
        <v>141-154</v>
      </c>
      <c r="D37" s="5" t="str">
        <f>CONCATENATE(ROUND((100+$H$3*(B37-100))-(1.96*(15*$H$3*SQRT(1-$H$3))),0),"-",ROUND((100+$H$3*(B37-100))+(1.96*(15*$H$3*SQRT(1-$H$3))),0))</f>
        <v>140-155</v>
      </c>
      <c r="E37" s="5" t="str">
        <f>IF(B37&lt;51,"&lt;0.1",IF(B37&lt;62,ROUND(NORMDIST(B37,100,15,TRUE)*100,1),IF(B37&lt;139,ROUND(NORMDIST(B37,100,15,TRUE)*100,0),IF(B37&lt;150,ROUND(NORMDIST(B37,100,15,TRUE)*100,1),"&gt;99.9"))))</f>
        <v>&gt;99.9</v>
      </c>
    </row>
    <row r="38" spans="1:5" x14ac:dyDescent="0.25">
      <c r="A38" s="4">
        <f>handsmooth!A38</f>
        <v>38</v>
      </c>
      <c r="B38" s="4">
        <f>handsmooth!B38</f>
        <v>155</v>
      </c>
      <c r="C38" s="5" t="str">
        <f t="shared" si="0"/>
        <v>145-157</v>
      </c>
      <c r="D38" s="5" t="str">
        <f t="shared" ref="D38" si="7">CONCATENATE(ROUND((100+$H$3*(B38-100))-(1.96*(15*$H$3*SQRT(1-$H$3))),0),"-",ROUND((100+$H$3*(B38-100))+(1.96*(15*$H$3*SQRT(1-$H$3))),0))</f>
        <v>144-158</v>
      </c>
      <c r="E38" s="5" t="str">
        <f t="shared" ref="E38" si="8">IF(B38&lt;51,"&lt;0.1",IF(B38&lt;62,ROUND(NORMDIST(B38,100,15,TRUE)*100,1),IF(B38&lt;139,ROUND(NORMDIST(B38,100,15,TRUE)*100,0),IF(B38&lt;150,ROUND(NORMDIST(B38,100,15,TRUE)*100,1),"&gt;99.9"))))</f>
        <v>&gt;99.9</v>
      </c>
    </row>
    <row r="39" spans="1:5" x14ac:dyDescent="0.25">
      <c r="A39"/>
      <c r="B39"/>
    </row>
    <row r="40" spans="1:5" x14ac:dyDescent="0.25">
      <c r="A40"/>
      <c r="B40"/>
    </row>
    <row r="41" spans="1:5" x14ac:dyDescent="0.25">
      <c r="A41"/>
      <c r="B41"/>
    </row>
    <row r="42" spans="1:5" x14ac:dyDescent="0.25">
      <c r="A42"/>
      <c r="B42"/>
    </row>
    <row r="43" spans="1:5" x14ac:dyDescent="0.25">
      <c r="A43"/>
      <c r="B43"/>
    </row>
    <row r="44" spans="1:5" x14ac:dyDescent="0.25">
      <c r="A44"/>
      <c r="B44"/>
    </row>
    <row r="45" spans="1:5" x14ac:dyDescent="0.25">
      <c r="A45"/>
      <c r="B45"/>
    </row>
    <row r="46" spans="1:5" x14ac:dyDescent="0.25">
      <c r="A46"/>
      <c r="B46"/>
    </row>
    <row r="47" spans="1:5" x14ac:dyDescent="0.25">
      <c r="A47"/>
      <c r="B47"/>
    </row>
    <row r="48" spans="1:5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5" x14ac:dyDescent="0.25">
      <c r="A97"/>
      <c r="B97"/>
    </row>
    <row r="98" spans="1:5" x14ac:dyDescent="0.25">
      <c r="A98"/>
      <c r="B98"/>
    </row>
    <row r="99" spans="1:5" x14ac:dyDescent="0.25">
      <c r="A99"/>
      <c r="B99"/>
    </row>
    <row r="100" spans="1:5" x14ac:dyDescent="0.25">
      <c r="A100"/>
      <c r="B100"/>
    </row>
    <row r="101" spans="1:5" x14ac:dyDescent="0.25">
      <c r="A101"/>
      <c r="B101"/>
    </row>
    <row r="102" spans="1:5" x14ac:dyDescent="0.25">
      <c r="A102"/>
      <c r="B102"/>
    </row>
    <row r="103" spans="1:5" x14ac:dyDescent="0.25">
      <c r="A103"/>
      <c r="B103"/>
    </row>
    <row r="104" spans="1:5" x14ac:dyDescent="0.25">
      <c r="A104"/>
      <c r="B104"/>
    </row>
    <row r="105" spans="1:5" x14ac:dyDescent="0.25">
      <c r="A105"/>
      <c r="B105"/>
    </row>
    <row r="106" spans="1:5" x14ac:dyDescent="0.25">
      <c r="A106"/>
      <c r="B106"/>
    </row>
    <row r="107" spans="1:5" x14ac:dyDescent="0.25">
      <c r="A107"/>
      <c r="B107"/>
    </row>
    <row r="108" spans="1:5" x14ac:dyDescent="0.25">
      <c r="A108"/>
      <c r="B108"/>
    </row>
    <row r="109" spans="1:5" x14ac:dyDescent="0.25">
      <c r="A109"/>
      <c r="B109"/>
    </row>
    <row r="110" spans="1:5" x14ac:dyDescent="0.25">
      <c r="A110"/>
      <c r="B110"/>
    </row>
    <row r="111" spans="1:5" x14ac:dyDescent="0.25">
      <c r="A111"/>
      <c r="B111"/>
    </row>
    <row r="112" spans="1:5" x14ac:dyDescent="0.25">
      <c r="A112" s="4"/>
      <c r="B112" s="9"/>
      <c r="C112" s="5"/>
      <c r="D112" s="5"/>
      <c r="E112" s="5"/>
    </row>
    <row r="113" spans="1:5" x14ac:dyDescent="0.25">
      <c r="A113" s="4"/>
      <c r="B113" s="9"/>
      <c r="C113" s="5"/>
      <c r="D113" s="5"/>
      <c r="E113" s="5"/>
    </row>
    <row r="114" spans="1:5" x14ac:dyDescent="0.25">
      <c r="A114" s="4"/>
      <c r="B114" s="9"/>
      <c r="C114" s="5"/>
      <c r="D114" s="5"/>
      <c r="E114" s="5"/>
    </row>
    <row r="115" spans="1:5" x14ac:dyDescent="0.25">
      <c r="A115" s="4"/>
      <c r="B115" s="9"/>
      <c r="C115" s="5"/>
      <c r="D115" s="5"/>
      <c r="E115" s="5"/>
    </row>
    <row r="116" spans="1:5" x14ac:dyDescent="0.25">
      <c r="A116" s="4"/>
      <c r="B116" s="9"/>
      <c r="C116" s="5"/>
      <c r="D116" s="5"/>
      <c r="E116" s="5"/>
    </row>
    <row r="117" spans="1:5" x14ac:dyDescent="0.25">
      <c r="A117" s="4"/>
      <c r="B117" s="9"/>
      <c r="C117" s="5"/>
      <c r="D117" s="5"/>
      <c r="E117" s="5"/>
    </row>
    <row r="118" spans="1:5" x14ac:dyDescent="0.25">
      <c r="A118" s="4"/>
      <c r="B118" s="9"/>
      <c r="C118" s="5"/>
      <c r="D118" s="5"/>
      <c r="E118" s="5"/>
    </row>
    <row r="119" spans="1:5" x14ac:dyDescent="0.25">
      <c r="A119" s="4"/>
      <c r="B119" s="9"/>
      <c r="C119" s="5"/>
      <c r="D119" s="5"/>
      <c r="E119" s="5"/>
    </row>
    <row r="120" spans="1:5" x14ac:dyDescent="0.25">
      <c r="A120" s="4"/>
      <c r="B120" s="9"/>
      <c r="C120" s="5"/>
      <c r="D120" s="5"/>
      <c r="E120" s="5"/>
    </row>
    <row r="121" spans="1:5" x14ac:dyDescent="0.25">
      <c r="A121" s="4"/>
      <c r="B121" s="9"/>
      <c r="C121" s="5"/>
      <c r="D121" s="5"/>
      <c r="E121" s="5"/>
    </row>
    <row r="122" spans="1:5" x14ac:dyDescent="0.25">
      <c r="A122" s="4"/>
      <c r="B122" s="9"/>
      <c r="C122" s="5"/>
      <c r="D122" s="5"/>
      <c r="E122" s="5"/>
    </row>
    <row r="123" spans="1:5" x14ac:dyDescent="0.25">
      <c r="A123" s="4"/>
      <c r="B123" s="9"/>
      <c r="C123" s="5"/>
      <c r="D123" s="5"/>
      <c r="E123" s="5"/>
    </row>
    <row r="124" spans="1:5" x14ac:dyDescent="0.25">
      <c r="A124" s="4"/>
      <c r="B124" s="9"/>
      <c r="C124" s="5"/>
      <c r="D124" s="5"/>
      <c r="E124" s="5"/>
    </row>
    <row r="125" spans="1:5" x14ac:dyDescent="0.25">
      <c r="A125" s="4"/>
      <c r="B125" s="9"/>
      <c r="C125" s="5"/>
      <c r="D125" s="5"/>
      <c r="E125" s="5"/>
    </row>
    <row r="126" spans="1:5" x14ac:dyDescent="0.25">
      <c r="A126" s="4"/>
      <c r="B126" s="9"/>
      <c r="C126" s="5"/>
      <c r="D126" s="5"/>
      <c r="E126" s="5"/>
    </row>
    <row r="127" spans="1:5" x14ac:dyDescent="0.25">
      <c r="A127" s="4"/>
      <c r="B127" s="9"/>
      <c r="C127" s="5"/>
      <c r="D127" s="5"/>
      <c r="E127" s="5"/>
    </row>
    <row r="128" spans="1:5" x14ac:dyDescent="0.25">
      <c r="A128" s="4"/>
      <c r="B128" s="9"/>
      <c r="C128" s="5"/>
      <c r="D128" s="5"/>
      <c r="E128" s="5"/>
    </row>
    <row r="129" spans="1:5" x14ac:dyDescent="0.25">
      <c r="A129" s="4"/>
      <c r="B129" s="9"/>
      <c r="C129" s="5"/>
      <c r="D129" s="5"/>
      <c r="E129" s="5"/>
    </row>
    <row r="130" spans="1:5" x14ac:dyDescent="0.25">
      <c r="A130" s="4"/>
      <c r="B130" s="9"/>
      <c r="C130" s="5"/>
      <c r="D130" s="5"/>
      <c r="E130" s="5"/>
    </row>
    <row r="131" spans="1:5" x14ac:dyDescent="0.25">
      <c r="A131" s="4"/>
      <c r="B131" s="9"/>
      <c r="C131" s="5"/>
      <c r="D131" s="5"/>
      <c r="E131" s="5"/>
    </row>
    <row r="132" spans="1:5" x14ac:dyDescent="0.25">
      <c r="A132" s="4"/>
      <c r="B132" s="9"/>
      <c r="C132" s="5"/>
      <c r="D132" s="5"/>
      <c r="E132" s="5"/>
    </row>
    <row r="133" spans="1:5" x14ac:dyDescent="0.25">
      <c r="A133" s="4"/>
      <c r="B133" s="9"/>
      <c r="C133" s="5"/>
      <c r="D133" s="5"/>
      <c r="E133" s="5"/>
    </row>
    <row r="134" spans="1:5" x14ac:dyDescent="0.25">
      <c r="A134" s="4"/>
      <c r="B134" s="9"/>
      <c r="C134" s="5"/>
      <c r="D134" s="5"/>
      <c r="E134" s="5"/>
    </row>
    <row r="135" spans="1:5" x14ac:dyDescent="0.25">
      <c r="A135" s="4"/>
      <c r="B135" s="9"/>
      <c r="C135" s="5"/>
      <c r="D135" s="5"/>
      <c r="E135" s="5"/>
    </row>
    <row r="136" spans="1:5" x14ac:dyDescent="0.25">
      <c r="A136" s="4"/>
      <c r="B136" s="9"/>
      <c r="C136" s="5"/>
      <c r="D136" s="5"/>
      <c r="E136" s="5"/>
    </row>
    <row r="137" spans="1:5" x14ac:dyDescent="0.25">
      <c r="A137" s="4"/>
      <c r="B137" s="9"/>
      <c r="C137" s="5"/>
      <c r="D137" s="5"/>
      <c r="E137" s="5"/>
    </row>
    <row r="138" spans="1:5" x14ac:dyDescent="0.25">
      <c r="A138" s="4"/>
      <c r="B138" s="9"/>
      <c r="C138" s="5"/>
      <c r="D138" s="5"/>
      <c r="E138" s="5"/>
    </row>
    <row r="139" spans="1:5" x14ac:dyDescent="0.25">
      <c r="A139" s="4"/>
      <c r="B139" s="9"/>
      <c r="C139" s="5"/>
      <c r="D139" s="5"/>
      <c r="E1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handsmooth</vt:lpstr>
      <vt:lpstr>out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Courville</dc:creator>
  <cp:lastModifiedBy>Troy Courville</cp:lastModifiedBy>
  <dcterms:created xsi:type="dcterms:W3CDTF">2024-03-06T13:37:03Z</dcterms:created>
  <dcterms:modified xsi:type="dcterms:W3CDTF">2024-04-09T12:23:44Z</dcterms:modified>
</cp:coreProperties>
</file>