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Clinical Psychometrics\ongoing projects\WAIS5\stdz\norms\3_norms_approved\"/>
    </mc:Choice>
  </mc:AlternateContent>
  <xr:revisionPtr revIDLastSave="0" documentId="13_ncr:1_{B82BDD65-F6AA-4280-9428-E83820EEA051}" xr6:coauthVersionLast="47" xr6:coauthVersionMax="47" xr10:uidLastSave="{00000000-0000-0000-0000-000000000000}"/>
  <bookViews>
    <workbookView xWindow="-120" yWindow="-120" windowWidth="29040" windowHeight="15840" activeTab="1" xr2:uid="{BD41FC4D-2405-4A91-B55A-95EA21553DF7}"/>
  </bookViews>
  <sheets>
    <sheet name="control" sheetId="1" r:id="rId1"/>
    <sheet name="handsmoothed" sheetId="8" r:id="rId2"/>
    <sheet name="freq" sheetId="3" r:id="rId3"/>
    <sheet name="checksmooth" sheetId="5" r:id="rId4"/>
    <sheet name="QA" sheetId="9" r:id="rId5"/>
    <sheet name="ou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8" l="1"/>
  <c r="B3" i="5"/>
  <c r="C3" i="5"/>
  <c r="D3" i="5"/>
  <c r="E3" i="5"/>
  <c r="F3" i="5"/>
  <c r="G3" i="5"/>
  <c r="H3" i="5"/>
  <c r="I3" i="5"/>
  <c r="J3" i="5"/>
  <c r="K3" i="5"/>
  <c r="L3" i="5"/>
  <c r="M3" i="5"/>
  <c r="N3" i="5"/>
  <c r="B4" i="5"/>
  <c r="C4" i="5"/>
  <c r="D4" i="5"/>
  <c r="E4" i="5"/>
  <c r="F4" i="5"/>
  <c r="G4" i="5"/>
  <c r="H4" i="5"/>
  <c r="I4" i="5"/>
  <c r="J4" i="5"/>
  <c r="K4" i="5"/>
  <c r="L4" i="5"/>
  <c r="M4" i="5"/>
  <c r="N4" i="5"/>
  <c r="B5" i="5"/>
  <c r="C5" i="5"/>
  <c r="D5" i="5"/>
  <c r="E5" i="5"/>
  <c r="F5" i="5"/>
  <c r="G5" i="5"/>
  <c r="H5" i="5"/>
  <c r="I5" i="5"/>
  <c r="J5" i="5"/>
  <c r="K5" i="5"/>
  <c r="L5" i="5"/>
  <c r="M5" i="5"/>
  <c r="N5" i="5"/>
  <c r="B6" i="5"/>
  <c r="C6" i="5"/>
  <c r="D6" i="5"/>
  <c r="E6" i="5"/>
  <c r="F6" i="5"/>
  <c r="G6" i="5"/>
  <c r="H6" i="5"/>
  <c r="I6" i="5"/>
  <c r="J6" i="5"/>
  <c r="K6" i="5"/>
  <c r="L6" i="5"/>
  <c r="M6" i="5"/>
  <c r="N6" i="5"/>
  <c r="B7" i="5"/>
  <c r="C7" i="5"/>
  <c r="D7" i="5"/>
  <c r="E7" i="5"/>
  <c r="F7" i="5"/>
  <c r="G7" i="5"/>
  <c r="H7" i="5"/>
  <c r="I7" i="5"/>
  <c r="J7" i="5"/>
  <c r="K7" i="5"/>
  <c r="L7" i="5"/>
  <c r="M7" i="5"/>
  <c r="N7" i="5"/>
  <c r="B8" i="5"/>
  <c r="C8" i="5"/>
  <c r="D8" i="5"/>
  <c r="E8" i="5"/>
  <c r="F8" i="5"/>
  <c r="G8" i="5"/>
  <c r="H8" i="5"/>
  <c r="I8" i="5"/>
  <c r="J8" i="5"/>
  <c r="K8" i="5"/>
  <c r="L8" i="5"/>
  <c r="M8" i="5"/>
  <c r="N8" i="5"/>
  <c r="B9" i="5"/>
  <c r="C9" i="5"/>
  <c r="D9" i="5"/>
  <c r="E9" i="5"/>
  <c r="F9" i="5"/>
  <c r="G9" i="5"/>
  <c r="H9" i="5"/>
  <c r="I9" i="5"/>
  <c r="J9" i="5"/>
  <c r="K9" i="5"/>
  <c r="L9" i="5"/>
  <c r="M9" i="5"/>
  <c r="N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B12" i="5"/>
  <c r="C12" i="5"/>
  <c r="D12" i="5"/>
  <c r="E12" i="5"/>
  <c r="F12" i="5"/>
  <c r="G12" i="5"/>
  <c r="H12" i="5"/>
  <c r="W12" i="5" s="1"/>
  <c r="I12" i="5"/>
  <c r="J12" i="5"/>
  <c r="K12" i="5"/>
  <c r="L12" i="5"/>
  <c r="M12" i="5"/>
  <c r="N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C2" i="5"/>
  <c r="D2" i="5"/>
  <c r="E2" i="5"/>
  <c r="F2" i="5"/>
  <c r="G2" i="5"/>
  <c r="H2" i="5"/>
  <c r="I2" i="5"/>
  <c r="J2" i="5"/>
  <c r="K2" i="5"/>
  <c r="L2" i="5"/>
  <c r="M2" i="5"/>
  <c r="N2" i="5"/>
  <c r="B2" i="5"/>
  <c r="B71" i="8"/>
  <c r="B69" i="3"/>
  <c r="B70" i="8" s="1"/>
  <c r="C4" i="9"/>
  <c r="B4" i="9"/>
  <c r="V65" i="8"/>
  <c r="V62" i="8"/>
  <c r="AA47" i="8"/>
  <c r="V46" i="8"/>
  <c r="AA44" i="8"/>
  <c r="AA18" i="8"/>
  <c r="AA41" i="8"/>
  <c r="I45" i="9"/>
  <c r="J3" i="9"/>
  <c r="O69" i="8"/>
  <c r="P3" i="3"/>
  <c r="Q3" i="3"/>
  <c r="R3" i="3"/>
  <c r="S3" i="3"/>
  <c r="T3" i="3"/>
  <c r="U3" i="3"/>
  <c r="V3" i="3"/>
  <c r="W3" i="3"/>
  <c r="X3" i="3"/>
  <c r="Y3" i="3"/>
  <c r="Z3" i="3"/>
  <c r="AA3" i="3"/>
  <c r="AB3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Q2" i="3"/>
  <c r="R2" i="3"/>
  <c r="S2" i="3"/>
  <c r="T2" i="3"/>
  <c r="U2" i="3"/>
  <c r="V2" i="3"/>
  <c r="W2" i="3"/>
  <c r="X2" i="3"/>
  <c r="Y2" i="3"/>
  <c r="Z2" i="3"/>
  <c r="AA2" i="3"/>
  <c r="AB2" i="3"/>
  <c r="P2" i="3"/>
  <c r="C69" i="3"/>
  <c r="C70" i="8" s="1"/>
  <c r="D69" i="3"/>
  <c r="D70" i="8" s="1"/>
  <c r="E69" i="3"/>
  <c r="E70" i="8" s="1"/>
  <c r="F69" i="3"/>
  <c r="F70" i="8" s="1"/>
  <c r="G69" i="3"/>
  <c r="G70" i="8" s="1"/>
  <c r="H69" i="3"/>
  <c r="H70" i="8" s="1"/>
  <c r="I69" i="3"/>
  <c r="I70" i="8" s="1"/>
  <c r="J69" i="3"/>
  <c r="J70" i="8" s="1"/>
  <c r="K69" i="3"/>
  <c r="K70" i="8" s="1"/>
  <c r="L69" i="3"/>
  <c r="L70" i="8" s="1"/>
  <c r="M69" i="3"/>
  <c r="M70" i="8" s="1"/>
  <c r="N69" i="3"/>
  <c r="N70" i="8" s="1"/>
  <c r="C69" i="8"/>
  <c r="D69" i="8"/>
  <c r="E69" i="8"/>
  <c r="F69" i="8"/>
  <c r="G69" i="8"/>
  <c r="H69" i="8"/>
  <c r="I69" i="8"/>
  <c r="J69" i="8"/>
  <c r="K69" i="8"/>
  <c r="L69" i="8"/>
  <c r="M69" i="8"/>
  <c r="N69" i="8"/>
  <c r="B69" i="8"/>
  <c r="M70" i="3" l="1"/>
  <c r="M71" i="8" s="1"/>
  <c r="L70" i="3"/>
  <c r="K70" i="3"/>
  <c r="F70" i="3"/>
  <c r="F71" i="8" s="1"/>
  <c r="J70" i="3"/>
  <c r="J71" i="8" s="1"/>
  <c r="I70" i="3"/>
  <c r="N70" i="3"/>
  <c r="N71" i="8" s="1"/>
  <c r="I71" i="8"/>
  <c r="L71" i="8"/>
  <c r="K71" i="8"/>
  <c r="B70" i="3"/>
  <c r="E70" i="3"/>
  <c r="E71" i="8" s="1"/>
  <c r="C70" i="3"/>
  <c r="C71" i="8" s="1"/>
  <c r="G70" i="3"/>
  <c r="G71" i="8" s="1"/>
  <c r="H70" i="3"/>
  <c r="H71" i="8" s="1"/>
  <c r="D70" i="3"/>
  <c r="D71" i="8" s="1"/>
  <c r="O69" i="3"/>
  <c r="O70" i="8" s="1"/>
  <c r="I39" i="9"/>
  <c r="J39" i="9"/>
  <c r="K39" i="9"/>
  <c r="L39" i="9"/>
  <c r="M39" i="9"/>
  <c r="I40" i="9"/>
  <c r="J40" i="9"/>
  <c r="K40" i="9"/>
  <c r="L40" i="9"/>
  <c r="M40" i="9"/>
  <c r="I41" i="9"/>
  <c r="J41" i="9"/>
  <c r="K41" i="9"/>
  <c r="L41" i="9"/>
  <c r="M41" i="9"/>
  <c r="I42" i="9"/>
  <c r="J42" i="9"/>
  <c r="K42" i="9"/>
  <c r="L42" i="9"/>
  <c r="M42" i="9"/>
  <c r="I43" i="9"/>
  <c r="J43" i="9"/>
  <c r="K43" i="9"/>
  <c r="L43" i="9"/>
  <c r="M43" i="9"/>
  <c r="I44" i="9"/>
  <c r="J44" i="9"/>
  <c r="K44" i="9"/>
  <c r="L44" i="9"/>
  <c r="M44" i="9"/>
  <c r="J45" i="9"/>
  <c r="K45" i="9"/>
  <c r="L45" i="9"/>
  <c r="M45" i="9"/>
  <c r="I46" i="9"/>
  <c r="J46" i="9"/>
  <c r="K46" i="9"/>
  <c r="L46" i="9"/>
  <c r="M46" i="9"/>
  <c r="I47" i="9"/>
  <c r="J47" i="9"/>
  <c r="K47" i="9"/>
  <c r="L47" i="9"/>
  <c r="M47" i="9"/>
  <c r="I48" i="9"/>
  <c r="J48" i="9"/>
  <c r="K48" i="9"/>
  <c r="L48" i="9"/>
  <c r="M48" i="9"/>
  <c r="I49" i="9"/>
  <c r="J49" i="9"/>
  <c r="K49" i="9"/>
  <c r="L49" i="9"/>
  <c r="M49" i="9"/>
  <c r="I50" i="9"/>
  <c r="J50" i="9"/>
  <c r="K50" i="9"/>
  <c r="L50" i="9"/>
  <c r="M50" i="9"/>
  <c r="J38" i="9"/>
  <c r="K38" i="9"/>
  <c r="L38" i="9"/>
  <c r="M38" i="9"/>
  <c r="I38" i="9"/>
  <c r="J30" i="9"/>
  <c r="K30" i="9"/>
  <c r="L30" i="9"/>
  <c r="M30" i="9"/>
  <c r="I30" i="9"/>
  <c r="I11" i="9"/>
  <c r="J11" i="9"/>
  <c r="I12" i="9"/>
  <c r="J12" i="9"/>
  <c r="I13" i="9"/>
  <c r="J13" i="9"/>
  <c r="I14" i="9"/>
  <c r="J14" i="9"/>
  <c r="I15" i="9"/>
  <c r="J15" i="9"/>
  <c r="I16" i="9"/>
  <c r="J16" i="9"/>
  <c r="I17" i="9"/>
  <c r="J17" i="9"/>
  <c r="I18" i="9"/>
  <c r="J18" i="9"/>
  <c r="I19" i="9"/>
  <c r="J19" i="9"/>
  <c r="I20" i="9"/>
  <c r="J20" i="9"/>
  <c r="I21" i="9"/>
  <c r="J21" i="9"/>
  <c r="I22" i="9"/>
  <c r="J22" i="9"/>
  <c r="J10" i="9"/>
  <c r="I10" i="9"/>
  <c r="I3" i="9"/>
  <c r="B3" i="6"/>
  <c r="C3" i="6"/>
  <c r="D3" i="6"/>
  <c r="E3" i="6"/>
  <c r="F3" i="6"/>
  <c r="G3" i="6"/>
  <c r="H3" i="6"/>
  <c r="I3" i="6"/>
  <c r="J3" i="6"/>
  <c r="K3" i="6"/>
  <c r="L3" i="6"/>
  <c r="M3" i="6"/>
  <c r="N3" i="6"/>
  <c r="B4" i="6"/>
  <c r="C4" i="6"/>
  <c r="D4" i="6"/>
  <c r="E4" i="6"/>
  <c r="F4" i="6"/>
  <c r="G4" i="6"/>
  <c r="H4" i="6"/>
  <c r="I4" i="6"/>
  <c r="J4" i="6"/>
  <c r="K4" i="6"/>
  <c r="L4" i="6"/>
  <c r="M4" i="6"/>
  <c r="N4" i="6"/>
  <c r="B5" i="6"/>
  <c r="C5" i="6"/>
  <c r="D5" i="6"/>
  <c r="E5" i="6"/>
  <c r="F5" i="6"/>
  <c r="G5" i="6"/>
  <c r="H5" i="6"/>
  <c r="I5" i="6"/>
  <c r="J5" i="6"/>
  <c r="K5" i="6"/>
  <c r="L5" i="6"/>
  <c r="M5" i="6"/>
  <c r="N5" i="6"/>
  <c r="B6" i="6"/>
  <c r="C6" i="6"/>
  <c r="D6" i="6"/>
  <c r="E6" i="6"/>
  <c r="F6" i="6"/>
  <c r="G6" i="6"/>
  <c r="H6" i="6"/>
  <c r="I6" i="6"/>
  <c r="J6" i="6"/>
  <c r="K6" i="6"/>
  <c r="L6" i="6"/>
  <c r="M6" i="6"/>
  <c r="N6" i="6"/>
  <c r="B7" i="6"/>
  <c r="C7" i="6"/>
  <c r="D7" i="6"/>
  <c r="E7" i="6"/>
  <c r="F7" i="6"/>
  <c r="G7" i="6"/>
  <c r="H7" i="6"/>
  <c r="I7" i="6"/>
  <c r="J7" i="6"/>
  <c r="K7" i="6"/>
  <c r="L7" i="6"/>
  <c r="M7" i="6"/>
  <c r="N7" i="6"/>
  <c r="B8" i="6"/>
  <c r="C8" i="6"/>
  <c r="D8" i="6"/>
  <c r="E8" i="6"/>
  <c r="F8" i="6"/>
  <c r="G8" i="6"/>
  <c r="H8" i="6"/>
  <c r="I8" i="6"/>
  <c r="J8" i="6"/>
  <c r="K8" i="6"/>
  <c r="L8" i="6"/>
  <c r="M8" i="6"/>
  <c r="N8" i="6"/>
  <c r="B9" i="6"/>
  <c r="C9" i="6"/>
  <c r="D9" i="6"/>
  <c r="E9" i="6"/>
  <c r="F9" i="6"/>
  <c r="G9" i="6"/>
  <c r="H9" i="6"/>
  <c r="I9" i="6"/>
  <c r="J9" i="6"/>
  <c r="K9" i="6"/>
  <c r="L9" i="6"/>
  <c r="M9" i="6"/>
  <c r="N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B2" i="6"/>
  <c r="C2" i="6"/>
  <c r="D2" i="6"/>
  <c r="E2" i="6"/>
  <c r="F2" i="6"/>
  <c r="G2" i="6"/>
  <c r="H2" i="6"/>
  <c r="I2" i="6"/>
  <c r="J2" i="6"/>
  <c r="K2" i="6"/>
  <c r="L2" i="6"/>
  <c r="M2" i="6"/>
  <c r="N2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2" i="6"/>
  <c r="S8" i="8"/>
  <c r="R12" i="8"/>
  <c r="N72" i="8"/>
  <c r="I76" i="8"/>
  <c r="H74" i="8"/>
  <c r="F72" i="8"/>
  <c r="AN3" i="5"/>
  <c r="BC68" i="8"/>
  <c r="BB68" i="8"/>
  <c r="BA68" i="8"/>
  <c r="AZ68" i="8"/>
  <c r="AY68" i="8"/>
  <c r="AX68" i="8"/>
  <c r="AW68" i="8"/>
  <c r="AV68" i="8"/>
  <c r="AU68" i="8"/>
  <c r="AT68" i="8"/>
  <c r="AS68" i="8"/>
  <c r="AR68" i="8"/>
  <c r="AQ68" i="8"/>
  <c r="AA68" i="8"/>
  <c r="Z68" i="8"/>
  <c r="Y68" i="8"/>
  <c r="X68" i="8"/>
  <c r="W68" i="8"/>
  <c r="V68" i="8"/>
  <c r="U68" i="8"/>
  <c r="T68" i="8"/>
  <c r="S68" i="8"/>
  <c r="R68" i="8"/>
  <c r="Q68" i="8"/>
  <c r="P68" i="8"/>
  <c r="BC67" i="8"/>
  <c r="BB67" i="8"/>
  <c r="BA67" i="8"/>
  <c r="AZ67" i="8"/>
  <c r="AY67" i="8"/>
  <c r="AX67" i="8"/>
  <c r="AW67" i="8"/>
  <c r="AV67" i="8"/>
  <c r="AU67" i="8"/>
  <c r="AT67" i="8"/>
  <c r="AS67" i="8"/>
  <c r="AR67" i="8"/>
  <c r="AQ67" i="8"/>
  <c r="AO67" i="8"/>
  <c r="AN67" i="8"/>
  <c r="AM67" i="8"/>
  <c r="AL67" i="8"/>
  <c r="AK67" i="8"/>
  <c r="AJ67" i="8"/>
  <c r="AI67" i="8"/>
  <c r="AH67" i="8"/>
  <c r="AG67" i="8"/>
  <c r="AF67" i="8"/>
  <c r="AE67" i="8"/>
  <c r="AD67" i="8"/>
  <c r="AC67" i="8"/>
  <c r="AA67" i="8"/>
  <c r="Z67" i="8"/>
  <c r="Y67" i="8"/>
  <c r="X67" i="8"/>
  <c r="W67" i="8"/>
  <c r="V67" i="8"/>
  <c r="U67" i="8"/>
  <c r="T67" i="8"/>
  <c r="S67" i="8"/>
  <c r="R67" i="8"/>
  <c r="Q67" i="8"/>
  <c r="P67" i="8"/>
  <c r="BC66" i="8"/>
  <c r="BB66" i="8"/>
  <c r="BA66" i="8"/>
  <c r="AZ66" i="8"/>
  <c r="AY66" i="8"/>
  <c r="AX66" i="8"/>
  <c r="AW66" i="8"/>
  <c r="AV66" i="8"/>
  <c r="AU66" i="8"/>
  <c r="AT66" i="8"/>
  <c r="AS66" i="8"/>
  <c r="AR66" i="8"/>
  <c r="AQ66" i="8"/>
  <c r="AO66" i="8"/>
  <c r="AN66" i="8"/>
  <c r="AM66" i="8"/>
  <c r="AL66" i="8"/>
  <c r="AK66" i="8"/>
  <c r="AJ66" i="8"/>
  <c r="AI66" i="8"/>
  <c r="AH66" i="8"/>
  <c r="AG66" i="8"/>
  <c r="AF66" i="8"/>
  <c r="AE66" i="8"/>
  <c r="AD66" i="8"/>
  <c r="AC66" i="8"/>
  <c r="AA66" i="8"/>
  <c r="Z66" i="8"/>
  <c r="Y66" i="8"/>
  <c r="X66" i="8"/>
  <c r="W66" i="8"/>
  <c r="V66" i="8"/>
  <c r="U66" i="8"/>
  <c r="T66" i="8"/>
  <c r="S66" i="8"/>
  <c r="R66" i="8"/>
  <c r="Q66" i="8"/>
  <c r="P66" i="8"/>
  <c r="BC65" i="8"/>
  <c r="BB65" i="8"/>
  <c r="BA65" i="8"/>
  <c r="AZ65" i="8"/>
  <c r="AY65" i="8"/>
  <c r="AX65" i="8"/>
  <c r="AW65" i="8"/>
  <c r="AV65" i="8"/>
  <c r="AU65" i="8"/>
  <c r="AT65" i="8"/>
  <c r="AS65" i="8"/>
  <c r="AR65" i="8"/>
  <c r="AQ65" i="8"/>
  <c r="AO65" i="8"/>
  <c r="AN65" i="8"/>
  <c r="AM65" i="8"/>
  <c r="AL65" i="8"/>
  <c r="AK65" i="8"/>
  <c r="AJ65" i="8"/>
  <c r="AI65" i="8"/>
  <c r="AH65" i="8"/>
  <c r="AG65" i="8"/>
  <c r="AF65" i="8"/>
  <c r="AE65" i="8"/>
  <c r="AD65" i="8"/>
  <c r="AC65" i="8"/>
  <c r="AA65" i="8"/>
  <c r="Z65" i="8"/>
  <c r="Y65" i="8"/>
  <c r="X65" i="8"/>
  <c r="W65" i="8"/>
  <c r="U65" i="8"/>
  <c r="T65" i="8"/>
  <c r="S65" i="8"/>
  <c r="R65" i="8"/>
  <c r="Q65" i="8"/>
  <c r="P65" i="8"/>
  <c r="BC64" i="8"/>
  <c r="BB64" i="8"/>
  <c r="BA64" i="8"/>
  <c r="AZ64" i="8"/>
  <c r="AY64" i="8"/>
  <c r="AX64" i="8"/>
  <c r="AW64" i="8"/>
  <c r="AV64" i="8"/>
  <c r="AU64" i="8"/>
  <c r="AT64" i="8"/>
  <c r="AS64" i="8"/>
  <c r="AR64" i="8"/>
  <c r="AQ64" i="8"/>
  <c r="AO64" i="8"/>
  <c r="AN64" i="8"/>
  <c r="AM64" i="8"/>
  <c r="AL64" i="8"/>
  <c r="AK64" i="8"/>
  <c r="AJ64" i="8"/>
  <c r="AI64" i="8"/>
  <c r="AH64" i="8"/>
  <c r="AG64" i="8"/>
  <c r="AF64" i="8"/>
  <c r="AE64" i="8"/>
  <c r="AD64" i="8"/>
  <c r="AC64" i="8"/>
  <c r="AA64" i="8"/>
  <c r="Z64" i="8"/>
  <c r="Y64" i="8"/>
  <c r="X64" i="8"/>
  <c r="W64" i="8"/>
  <c r="V64" i="8"/>
  <c r="U64" i="8"/>
  <c r="T64" i="8"/>
  <c r="S64" i="8"/>
  <c r="R64" i="8"/>
  <c r="Q64" i="8"/>
  <c r="P64" i="8"/>
  <c r="BC63" i="8"/>
  <c r="BB63" i="8"/>
  <c r="BA63" i="8"/>
  <c r="AZ63" i="8"/>
  <c r="AY63" i="8"/>
  <c r="AX63" i="8"/>
  <c r="AW63" i="8"/>
  <c r="AV63" i="8"/>
  <c r="AU63" i="8"/>
  <c r="AT63" i="8"/>
  <c r="AS63" i="8"/>
  <c r="AR63" i="8"/>
  <c r="AQ63" i="8"/>
  <c r="AO63" i="8"/>
  <c r="AN63" i="8"/>
  <c r="AM63" i="8"/>
  <c r="AL63" i="8"/>
  <c r="AK63" i="8"/>
  <c r="AJ63" i="8"/>
  <c r="AI63" i="8"/>
  <c r="AH63" i="8"/>
  <c r="AG63" i="8"/>
  <c r="AF63" i="8"/>
  <c r="AE63" i="8"/>
  <c r="AD63" i="8"/>
  <c r="AC63" i="8"/>
  <c r="AA63" i="8"/>
  <c r="Z63" i="8"/>
  <c r="Y63" i="8"/>
  <c r="X63" i="8"/>
  <c r="W63" i="8"/>
  <c r="V63" i="8"/>
  <c r="U63" i="8"/>
  <c r="T63" i="8"/>
  <c r="S63" i="8"/>
  <c r="R63" i="8"/>
  <c r="Q63" i="8"/>
  <c r="P63" i="8"/>
  <c r="BC62" i="8"/>
  <c r="BB62" i="8"/>
  <c r="BA62" i="8"/>
  <c r="AZ62" i="8"/>
  <c r="AY62" i="8"/>
  <c r="AX62" i="8"/>
  <c r="AW62" i="8"/>
  <c r="AV62" i="8"/>
  <c r="AU62" i="8"/>
  <c r="AT62" i="8"/>
  <c r="AS62" i="8"/>
  <c r="AR62" i="8"/>
  <c r="AQ62" i="8"/>
  <c r="AO62" i="8"/>
  <c r="AN62" i="8"/>
  <c r="AM62" i="8"/>
  <c r="AL62" i="8"/>
  <c r="AK62" i="8"/>
  <c r="AJ62" i="8"/>
  <c r="AI62" i="8"/>
  <c r="AH62" i="8"/>
  <c r="AG62" i="8"/>
  <c r="AF62" i="8"/>
  <c r="AE62" i="8"/>
  <c r="AD62" i="8"/>
  <c r="AC62" i="8"/>
  <c r="AA62" i="8"/>
  <c r="Z62" i="8"/>
  <c r="Y62" i="8"/>
  <c r="X62" i="8"/>
  <c r="W62" i="8"/>
  <c r="U62" i="8"/>
  <c r="T62" i="8"/>
  <c r="S62" i="8"/>
  <c r="R62" i="8"/>
  <c r="Q62" i="8"/>
  <c r="P62" i="8"/>
  <c r="BC61" i="8"/>
  <c r="BB61" i="8"/>
  <c r="BA61" i="8"/>
  <c r="AZ61" i="8"/>
  <c r="AY61" i="8"/>
  <c r="AX61" i="8"/>
  <c r="AW61" i="8"/>
  <c r="AV61" i="8"/>
  <c r="AU61" i="8"/>
  <c r="AT61" i="8"/>
  <c r="AS61" i="8"/>
  <c r="AR61" i="8"/>
  <c r="AQ61" i="8"/>
  <c r="AO61" i="8"/>
  <c r="AN61" i="8"/>
  <c r="AM61" i="8"/>
  <c r="AL61" i="8"/>
  <c r="AK61" i="8"/>
  <c r="AJ61" i="8"/>
  <c r="AI61" i="8"/>
  <c r="AH61" i="8"/>
  <c r="AG61" i="8"/>
  <c r="AF61" i="8"/>
  <c r="AE61" i="8"/>
  <c r="AD61" i="8"/>
  <c r="AC61" i="8"/>
  <c r="AA61" i="8"/>
  <c r="Z61" i="8"/>
  <c r="Y61" i="8"/>
  <c r="X61" i="8"/>
  <c r="W61" i="8"/>
  <c r="V61" i="8"/>
  <c r="U61" i="8"/>
  <c r="T61" i="8"/>
  <c r="S61" i="8"/>
  <c r="R61" i="8"/>
  <c r="Q61" i="8"/>
  <c r="P61" i="8"/>
  <c r="BC60" i="8"/>
  <c r="BB60" i="8"/>
  <c r="BA60" i="8"/>
  <c r="AZ60" i="8"/>
  <c r="AY60" i="8"/>
  <c r="AX60" i="8"/>
  <c r="AW60" i="8"/>
  <c r="AV60" i="8"/>
  <c r="AU60" i="8"/>
  <c r="AT60" i="8"/>
  <c r="AS60" i="8"/>
  <c r="AR60" i="8"/>
  <c r="AQ60" i="8"/>
  <c r="AO60" i="8"/>
  <c r="AN60" i="8"/>
  <c r="AM60" i="8"/>
  <c r="AL60" i="8"/>
  <c r="AK60" i="8"/>
  <c r="AJ60" i="8"/>
  <c r="AI60" i="8"/>
  <c r="AH60" i="8"/>
  <c r="AG60" i="8"/>
  <c r="AF60" i="8"/>
  <c r="AE60" i="8"/>
  <c r="AD60" i="8"/>
  <c r="AC60" i="8"/>
  <c r="AA60" i="8"/>
  <c r="Z60" i="8"/>
  <c r="Y60" i="8"/>
  <c r="X60" i="8"/>
  <c r="W60" i="8"/>
  <c r="V60" i="8"/>
  <c r="U60" i="8"/>
  <c r="T60" i="8"/>
  <c r="S60" i="8"/>
  <c r="R60" i="8"/>
  <c r="Q60" i="8"/>
  <c r="P60" i="8"/>
  <c r="BC59" i="8"/>
  <c r="BB59" i="8"/>
  <c r="BA59" i="8"/>
  <c r="AZ59" i="8"/>
  <c r="AY59" i="8"/>
  <c r="AX59" i="8"/>
  <c r="AW59" i="8"/>
  <c r="AV59" i="8"/>
  <c r="AU59" i="8"/>
  <c r="AT59" i="8"/>
  <c r="AS59" i="8"/>
  <c r="AR59" i="8"/>
  <c r="AQ59" i="8"/>
  <c r="AO59" i="8"/>
  <c r="AN59" i="8"/>
  <c r="AM59" i="8"/>
  <c r="AL59" i="8"/>
  <c r="AK59" i="8"/>
  <c r="AJ59" i="8"/>
  <c r="AI59" i="8"/>
  <c r="AH59" i="8"/>
  <c r="AG59" i="8"/>
  <c r="AF59" i="8"/>
  <c r="AE59" i="8"/>
  <c r="AD59" i="8"/>
  <c r="AC59" i="8"/>
  <c r="AA59" i="8"/>
  <c r="Z59" i="8"/>
  <c r="Y59" i="8"/>
  <c r="X59" i="8"/>
  <c r="W59" i="8"/>
  <c r="V59" i="8"/>
  <c r="U59" i="8"/>
  <c r="T59" i="8"/>
  <c r="S59" i="8"/>
  <c r="R59" i="8"/>
  <c r="Q59" i="8"/>
  <c r="P59" i="8"/>
  <c r="BC58" i="8"/>
  <c r="BB58" i="8"/>
  <c r="BA58" i="8"/>
  <c r="AZ58" i="8"/>
  <c r="AY58" i="8"/>
  <c r="AX58" i="8"/>
  <c r="AW58" i="8"/>
  <c r="AV58" i="8"/>
  <c r="AU58" i="8"/>
  <c r="AT58" i="8"/>
  <c r="AS58" i="8"/>
  <c r="AR58" i="8"/>
  <c r="AQ58" i="8"/>
  <c r="AO58" i="8"/>
  <c r="AN58" i="8"/>
  <c r="AM58" i="8"/>
  <c r="AL58" i="8"/>
  <c r="AK58" i="8"/>
  <c r="AJ58" i="8"/>
  <c r="AI58" i="8"/>
  <c r="AH58" i="8"/>
  <c r="AG58" i="8"/>
  <c r="AF58" i="8"/>
  <c r="AE58" i="8"/>
  <c r="AD58" i="8"/>
  <c r="AC58" i="8"/>
  <c r="AA58" i="8"/>
  <c r="Z58" i="8"/>
  <c r="Y58" i="8"/>
  <c r="X58" i="8"/>
  <c r="W58" i="8"/>
  <c r="V58" i="8"/>
  <c r="U58" i="8"/>
  <c r="T58" i="8"/>
  <c r="S58" i="8"/>
  <c r="R58" i="8"/>
  <c r="Q58" i="8"/>
  <c r="P58" i="8"/>
  <c r="BC57" i="8"/>
  <c r="BB57" i="8"/>
  <c r="BA57" i="8"/>
  <c r="AZ57" i="8"/>
  <c r="AY57" i="8"/>
  <c r="AX57" i="8"/>
  <c r="AW57" i="8"/>
  <c r="AV57" i="8"/>
  <c r="AU57" i="8"/>
  <c r="AT57" i="8"/>
  <c r="AS57" i="8"/>
  <c r="AR57" i="8"/>
  <c r="AQ57" i="8"/>
  <c r="AO57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A57" i="8"/>
  <c r="Z57" i="8"/>
  <c r="Y57" i="8"/>
  <c r="X57" i="8"/>
  <c r="W57" i="8"/>
  <c r="V57" i="8"/>
  <c r="U57" i="8"/>
  <c r="T57" i="8"/>
  <c r="S57" i="8"/>
  <c r="R57" i="8"/>
  <c r="Q57" i="8"/>
  <c r="P57" i="8"/>
  <c r="BC56" i="8"/>
  <c r="BB56" i="8"/>
  <c r="BA56" i="8"/>
  <c r="AZ56" i="8"/>
  <c r="AY56" i="8"/>
  <c r="AX56" i="8"/>
  <c r="AW56" i="8"/>
  <c r="AV56" i="8"/>
  <c r="AU56" i="8"/>
  <c r="AT56" i="8"/>
  <c r="AS56" i="8"/>
  <c r="AR56" i="8"/>
  <c r="AQ56" i="8"/>
  <c r="AO56" i="8"/>
  <c r="AN56" i="8"/>
  <c r="AM56" i="8"/>
  <c r="AL56" i="8"/>
  <c r="AK56" i="8"/>
  <c r="AJ56" i="8"/>
  <c r="AI56" i="8"/>
  <c r="AH56" i="8"/>
  <c r="AG56" i="8"/>
  <c r="AF56" i="8"/>
  <c r="AE56" i="8"/>
  <c r="AD56" i="8"/>
  <c r="AC56" i="8"/>
  <c r="AA56" i="8"/>
  <c r="Z56" i="8"/>
  <c r="Y56" i="8"/>
  <c r="X56" i="8"/>
  <c r="W56" i="8"/>
  <c r="V56" i="8"/>
  <c r="U56" i="8"/>
  <c r="T56" i="8"/>
  <c r="S56" i="8"/>
  <c r="R56" i="8"/>
  <c r="Q56" i="8"/>
  <c r="P56" i="8"/>
  <c r="BC55" i="8"/>
  <c r="BB55" i="8"/>
  <c r="BA55" i="8"/>
  <c r="AZ55" i="8"/>
  <c r="AY55" i="8"/>
  <c r="AX55" i="8"/>
  <c r="AW55" i="8"/>
  <c r="AV55" i="8"/>
  <c r="AU55" i="8"/>
  <c r="AT55" i="8"/>
  <c r="AS55" i="8"/>
  <c r="AR55" i="8"/>
  <c r="AQ55" i="8"/>
  <c r="AO55" i="8"/>
  <c r="AN55" i="8"/>
  <c r="AM55" i="8"/>
  <c r="AL55" i="8"/>
  <c r="AK55" i="8"/>
  <c r="AJ55" i="8"/>
  <c r="AI55" i="8"/>
  <c r="AH55" i="8"/>
  <c r="AG55" i="8"/>
  <c r="AF55" i="8"/>
  <c r="AE55" i="8"/>
  <c r="AD55" i="8"/>
  <c r="AC55" i="8"/>
  <c r="AA55" i="8"/>
  <c r="Z55" i="8"/>
  <c r="Y55" i="8"/>
  <c r="X55" i="8"/>
  <c r="W55" i="8"/>
  <c r="V55" i="8"/>
  <c r="U55" i="8"/>
  <c r="T55" i="8"/>
  <c r="S55" i="8"/>
  <c r="R55" i="8"/>
  <c r="Q55" i="8"/>
  <c r="P55" i="8"/>
  <c r="BC54" i="8"/>
  <c r="BB54" i="8"/>
  <c r="BA54" i="8"/>
  <c r="AZ54" i="8"/>
  <c r="AY54" i="8"/>
  <c r="AX54" i="8"/>
  <c r="AW54" i="8"/>
  <c r="AV54" i="8"/>
  <c r="AU54" i="8"/>
  <c r="AT54" i="8"/>
  <c r="AS54" i="8"/>
  <c r="AR54" i="8"/>
  <c r="AQ54" i="8"/>
  <c r="AO54" i="8"/>
  <c r="AN54" i="8"/>
  <c r="AM54" i="8"/>
  <c r="AL54" i="8"/>
  <c r="AK54" i="8"/>
  <c r="AJ54" i="8"/>
  <c r="AI54" i="8"/>
  <c r="AH54" i="8"/>
  <c r="AG54" i="8"/>
  <c r="AF54" i="8"/>
  <c r="AE54" i="8"/>
  <c r="AD54" i="8"/>
  <c r="AC54" i="8"/>
  <c r="AA54" i="8"/>
  <c r="Z54" i="8"/>
  <c r="Y54" i="8"/>
  <c r="X54" i="8"/>
  <c r="W54" i="8"/>
  <c r="V54" i="8"/>
  <c r="U54" i="8"/>
  <c r="T54" i="8"/>
  <c r="S54" i="8"/>
  <c r="R54" i="8"/>
  <c r="Q54" i="8"/>
  <c r="P54" i="8"/>
  <c r="BC53" i="8"/>
  <c r="BB53" i="8"/>
  <c r="BA53" i="8"/>
  <c r="AZ53" i="8"/>
  <c r="AY53" i="8"/>
  <c r="AX53" i="8"/>
  <c r="AW53" i="8"/>
  <c r="AV53" i="8"/>
  <c r="AU53" i="8"/>
  <c r="AT53" i="8"/>
  <c r="AS53" i="8"/>
  <c r="AR53" i="8"/>
  <c r="AQ53" i="8"/>
  <c r="AO53" i="8"/>
  <c r="AN53" i="8"/>
  <c r="AM53" i="8"/>
  <c r="AL53" i="8"/>
  <c r="AK53" i="8"/>
  <c r="AJ53" i="8"/>
  <c r="AI53" i="8"/>
  <c r="AH53" i="8"/>
  <c r="AG53" i="8"/>
  <c r="AF53" i="8"/>
  <c r="AE53" i="8"/>
  <c r="AD53" i="8"/>
  <c r="AC53" i="8"/>
  <c r="AA53" i="8"/>
  <c r="Z53" i="8"/>
  <c r="Y53" i="8"/>
  <c r="X53" i="8"/>
  <c r="W53" i="8"/>
  <c r="V53" i="8"/>
  <c r="U53" i="8"/>
  <c r="T53" i="8"/>
  <c r="S53" i="8"/>
  <c r="R53" i="8"/>
  <c r="Q53" i="8"/>
  <c r="P53" i="8"/>
  <c r="BC52" i="8"/>
  <c r="BB52" i="8"/>
  <c r="BA52" i="8"/>
  <c r="AZ52" i="8"/>
  <c r="AY52" i="8"/>
  <c r="AX52" i="8"/>
  <c r="AW52" i="8"/>
  <c r="AV52" i="8"/>
  <c r="AU52" i="8"/>
  <c r="AT52" i="8"/>
  <c r="AS52" i="8"/>
  <c r="AR52" i="8"/>
  <c r="AQ52" i="8"/>
  <c r="AO52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A52" i="8"/>
  <c r="Z52" i="8"/>
  <c r="Y52" i="8"/>
  <c r="X52" i="8"/>
  <c r="W52" i="8"/>
  <c r="V52" i="8"/>
  <c r="U52" i="8"/>
  <c r="T52" i="8"/>
  <c r="S52" i="8"/>
  <c r="R52" i="8"/>
  <c r="Q52" i="8"/>
  <c r="P52" i="8"/>
  <c r="BC51" i="8"/>
  <c r="BB51" i="8"/>
  <c r="BA51" i="8"/>
  <c r="AZ51" i="8"/>
  <c r="AY51" i="8"/>
  <c r="AX51" i="8"/>
  <c r="AW51" i="8"/>
  <c r="AV51" i="8"/>
  <c r="AU51" i="8"/>
  <c r="AT51" i="8"/>
  <c r="AS51" i="8"/>
  <c r="AR51" i="8"/>
  <c r="AQ51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A51" i="8"/>
  <c r="Z51" i="8"/>
  <c r="Y51" i="8"/>
  <c r="X51" i="8"/>
  <c r="W51" i="8"/>
  <c r="V51" i="8"/>
  <c r="U51" i="8"/>
  <c r="T51" i="8"/>
  <c r="S51" i="8"/>
  <c r="R51" i="8"/>
  <c r="Q51" i="8"/>
  <c r="P51" i="8"/>
  <c r="BC50" i="8"/>
  <c r="BB50" i="8"/>
  <c r="BA50" i="8"/>
  <c r="AZ50" i="8"/>
  <c r="AY50" i="8"/>
  <c r="AX50" i="8"/>
  <c r="AW50" i="8"/>
  <c r="AV50" i="8"/>
  <c r="AU50" i="8"/>
  <c r="AT50" i="8"/>
  <c r="AS50" i="8"/>
  <c r="AR50" i="8"/>
  <c r="AQ50" i="8"/>
  <c r="AO50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A50" i="8"/>
  <c r="Z50" i="8"/>
  <c r="Y50" i="8"/>
  <c r="X50" i="8"/>
  <c r="W50" i="8"/>
  <c r="V50" i="8"/>
  <c r="U50" i="8"/>
  <c r="T50" i="8"/>
  <c r="S50" i="8"/>
  <c r="R50" i="8"/>
  <c r="Q50" i="8"/>
  <c r="P50" i="8"/>
  <c r="BC49" i="8"/>
  <c r="BB49" i="8"/>
  <c r="BA49" i="8"/>
  <c r="AZ49" i="8"/>
  <c r="AY49" i="8"/>
  <c r="AX49" i="8"/>
  <c r="AW49" i="8"/>
  <c r="AV49" i="8"/>
  <c r="AU49" i="8"/>
  <c r="AT49" i="8"/>
  <c r="AS49" i="8"/>
  <c r="AR49" i="8"/>
  <c r="AQ49" i="8"/>
  <c r="AO49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A49" i="8"/>
  <c r="Z49" i="8"/>
  <c r="Y49" i="8"/>
  <c r="X49" i="8"/>
  <c r="W49" i="8"/>
  <c r="V49" i="8"/>
  <c r="U49" i="8"/>
  <c r="T49" i="8"/>
  <c r="S49" i="8"/>
  <c r="R49" i="8"/>
  <c r="Q49" i="8"/>
  <c r="P49" i="8"/>
  <c r="BC48" i="8"/>
  <c r="BB48" i="8"/>
  <c r="BA48" i="8"/>
  <c r="AZ48" i="8"/>
  <c r="AY48" i="8"/>
  <c r="AX48" i="8"/>
  <c r="AW48" i="8"/>
  <c r="AV48" i="8"/>
  <c r="AU48" i="8"/>
  <c r="AT48" i="8"/>
  <c r="AS48" i="8"/>
  <c r="AR48" i="8"/>
  <c r="AQ48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A48" i="8"/>
  <c r="Z48" i="8"/>
  <c r="Y48" i="8"/>
  <c r="X48" i="8"/>
  <c r="W48" i="8"/>
  <c r="V48" i="8"/>
  <c r="U48" i="8"/>
  <c r="T48" i="8"/>
  <c r="S48" i="8"/>
  <c r="R48" i="8"/>
  <c r="Q48" i="8"/>
  <c r="P48" i="8"/>
  <c r="BC47" i="8"/>
  <c r="BB47" i="8"/>
  <c r="BA47" i="8"/>
  <c r="AZ47" i="8"/>
  <c r="AY47" i="8"/>
  <c r="AX47" i="8"/>
  <c r="AW47" i="8"/>
  <c r="AV47" i="8"/>
  <c r="AU47" i="8"/>
  <c r="AT47" i="8"/>
  <c r="AS47" i="8"/>
  <c r="AR47" i="8"/>
  <c r="AQ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Z47" i="8"/>
  <c r="Y47" i="8"/>
  <c r="X47" i="8"/>
  <c r="W47" i="8"/>
  <c r="V47" i="8"/>
  <c r="U47" i="8"/>
  <c r="T47" i="8"/>
  <c r="S47" i="8"/>
  <c r="R47" i="8"/>
  <c r="Q47" i="8"/>
  <c r="P47" i="8"/>
  <c r="BC46" i="8"/>
  <c r="BB46" i="8"/>
  <c r="BA46" i="8"/>
  <c r="AZ46" i="8"/>
  <c r="AY46" i="8"/>
  <c r="AX46" i="8"/>
  <c r="AW46" i="8"/>
  <c r="AV46" i="8"/>
  <c r="AU46" i="8"/>
  <c r="AT46" i="8"/>
  <c r="AS46" i="8"/>
  <c r="AR46" i="8"/>
  <c r="AQ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A46" i="8"/>
  <c r="Z46" i="8"/>
  <c r="Y46" i="8"/>
  <c r="X46" i="8"/>
  <c r="W46" i="8"/>
  <c r="U46" i="8"/>
  <c r="T46" i="8"/>
  <c r="S46" i="8"/>
  <c r="R46" i="8"/>
  <c r="Q46" i="8"/>
  <c r="P46" i="8"/>
  <c r="BC45" i="8"/>
  <c r="BB45" i="8"/>
  <c r="BA45" i="8"/>
  <c r="AZ45" i="8"/>
  <c r="AY45" i="8"/>
  <c r="AX45" i="8"/>
  <c r="AW45" i="8"/>
  <c r="AV45" i="8"/>
  <c r="AU45" i="8"/>
  <c r="AT45" i="8"/>
  <c r="AS45" i="8"/>
  <c r="AR45" i="8"/>
  <c r="AQ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A45" i="8"/>
  <c r="Z45" i="8"/>
  <c r="Y45" i="8"/>
  <c r="X45" i="8"/>
  <c r="W45" i="8"/>
  <c r="V45" i="8"/>
  <c r="U45" i="8"/>
  <c r="T45" i="8"/>
  <c r="S45" i="8"/>
  <c r="R45" i="8"/>
  <c r="Q45" i="8"/>
  <c r="P45" i="8"/>
  <c r="BC44" i="8"/>
  <c r="BB44" i="8"/>
  <c r="BA44" i="8"/>
  <c r="AZ44" i="8"/>
  <c r="AY44" i="8"/>
  <c r="AX44" i="8"/>
  <c r="AW44" i="8"/>
  <c r="AV44" i="8"/>
  <c r="AU44" i="8"/>
  <c r="AT44" i="8"/>
  <c r="AS44" i="8"/>
  <c r="AR44" i="8"/>
  <c r="AQ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Z44" i="8"/>
  <c r="Y44" i="8"/>
  <c r="X44" i="8"/>
  <c r="W44" i="8"/>
  <c r="V44" i="8"/>
  <c r="U44" i="8"/>
  <c r="T44" i="8"/>
  <c r="S44" i="8"/>
  <c r="R44" i="8"/>
  <c r="Q44" i="8"/>
  <c r="P44" i="8"/>
  <c r="BC43" i="8"/>
  <c r="BB43" i="8"/>
  <c r="BA43" i="8"/>
  <c r="AZ43" i="8"/>
  <c r="AY43" i="8"/>
  <c r="AX43" i="8"/>
  <c r="AW43" i="8"/>
  <c r="AV43" i="8"/>
  <c r="AU43" i="8"/>
  <c r="AT43" i="8"/>
  <c r="AS43" i="8"/>
  <c r="AR43" i="8"/>
  <c r="AQ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A43" i="8"/>
  <c r="Z43" i="8"/>
  <c r="Y43" i="8"/>
  <c r="X43" i="8"/>
  <c r="W43" i="8"/>
  <c r="V43" i="8"/>
  <c r="U43" i="8"/>
  <c r="T43" i="8"/>
  <c r="S43" i="8"/>
  <c r="R43" i="8"/>
  <c r="Q43" i="8"/>
  <c r="P43" i="8"/>
  <c r="BC42" i="8"/>
  <c r="BB42" i="8"/>
  <c r="BA42" i="8"/>
  <c r="AZ42" i="8"/>
  <c r="AY42" i="8"/>
  <c r="AX42" i="8"/>
  <c r="AW42" i="8"/>
  <c r="AV42" i="8"/>
  <c r="AU42" i="8"/>
  <c r="AT42" i="8"/>
  <c r="AS42" i="8"/>
  <c r="AR42" i="8"/>
  <c r="AQ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A42" i="8"/>
  <c r="Z42" i="8"/>
  <c r="Y42" i="8"/>
  <c r="X42" i="8"/>
  <c r="W42" i="8"/>
  <c r="V42" i="8"/>
  <c r="U42" i="8"/>
  <c r="T42" i="8"/>
  <c r="S42" i="8"/>
  <c r="R42" i="8"/>
  <c r="Q42" i="8"/>
  <c r="P42" i="8"/>
  <c r="BC41" i="8"/>
  <c r="BB41" i="8"/>
  <c r="BA41" i="8"/>
  <c r="AZ41" i="8"/>
  <c r="AY41" i="8"/>
  <c r="AX41" i="8"/>
  <c r="AW41" i="8"/>
  <c r="AV41" i="8"/>
  <c r="AU41" i="8"/>
  <c r="AT41" i="8"/>
  <c r="AS41" i="8"/>
  <c r="AR41" i="8"/>
  <c r="AQ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Z41" i="8"/>
  <c r="Y41" i="8"/>
  <c r="X41" i="8"/>
  <c r="W41" i="8"/>
  <c r="V41" i="8"/>
  <c r="U41" i="8"/>
  <c r="T41" i="8"/>
  <c r="S41" i="8"/>
  <c r="R41" i="8"/>
  <c r="Q41" i="8"/>
  <c r="P41" i="8"/>
  <c r="BC40" i="8"/>
  <c r="BB40" i="8"/>
  <c r="BA40" i="8"/>
  <c r="AZ40" i="8"/>
  <c r="AY40" i="8"/>
  <c r="AX40" i="8"/>
  <c r="AW40" i="8"/>
  <c r="AV40" i="8"/>
  <c r="AU40" i="8"/>
  <c r="AT40" i="8"/>
  <c r="AS40" i="8"/>
  <c r="AR40" i="8"/>
  <c r="AQ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A40" i="8"/>
  <c r="Z40" i="8"/>
  <c r="Y40" i="8"/>
  <c r="X40" i="8"/>
  <c r="W40" i="8"/>
  <c r="V40" i="8"/>
  <c r="U40" i="8"/>
  <c r="T40" i="8"/>
  <c r="S40" i="8"/>
  <c r="R40" i="8"/>
  <c r="Q40" i="8"/>
  <c r="P40" i="8"/>
  <c r="BC39" i="8"/>
  <c r="BB39" i="8"/>
  <c r="BA39" i="8"/>
  <c r="AZ39" i="8"/>
  <c r="AY39" i="8"/>
  <c r="AX39" i="8"/>
  <c r="AW39" i="8"/>
  <c r="AV39" i="8"/>
  <c r="AU39" i="8"/>
  <c r="AT39" i="8"/>
  <c r="AS39" i="8"/>
  <c r="AR39" i="8"/>
  <c r="AQ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A39" i="8"/>
  <c r="Z39" i="8"/>
  <c r="Y39" i="8"/>
  <c r="X39" i="8"/>
  <c r="W39" i="8"/>
  <c r="V39" i="8"/>
  <c r="U39" i="8"/>
  <c r="T39" i="8"/>
  <c r="S39" i="8"/>
  <c r="R39" i="8"/>
  <c r="Q39" i="8"/>
  <c r="P39" i="8"/>
  <c r="BC38" i="8"/>
  <c r="BB38" i="8"/>
  <c r="BA38" i="8"/>
  <c r="AZ38" i="8"/>
  <c r="AY38" i="8"/>
  <c r="AX38" i="8"/>
  <c r="AW38" i="8"/>
  <c r="AV38" i="8"/>
  <c r="AU38" i="8"/>
  <c r="AT38" i="8"/>
  <c r="AS38" i="8"/>
  <c r="AR38" i="8"/>
  <c r="AQ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A38" i="8"/>
  <c r="Z38" i="8"/>
  <c r="Y38" i="8"/>
  <c r="X38" i="8"/>
  <c r="W38" i="8"/>
  <c r="V38" i="8"/>
  <c r="U38" i="8"/>
  <c r="T38" i="8"/>
  <c r="S38" i="8"/>
  <c r="R38" i="8"/>
  <c r="Q38" i="8"/>
  <c r="P38" i="8"/>
  <c r="BC37" i="8"/>
  <c r="BB37" i="8"/>
  <c r="BA37" i="8"/>
  <c r="AZ37" i="8"/>
  <c r="AY37" i="8"/>
  <c r="AX37" i="8"/>
  <c r="AW37" i="8"/>
  <c r="AV37" i="8"/>
  <c r="AU37" i="8"/>
  <c r="AT37" i="8"/>
  <c r="AS37" i="8"/>
  <c r="AR37" i="8"/>
  <c r="AQ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A37" i="8"/>
  <c r="Z37" i="8"/>
  <c r="Y37" i="8"/>
  <c r="X37" i="8"/>
  <c r="W37" i="8"/>
  <c r="V37" i="8"/>
  <c r="U37" i="8"/>
  <c r="T37" i="8"/>
  <c r="S37" i="8"/>
  <c r="R37" i="8"/>
  <c r="Q37" i="8"/>
  <c r="P37" i="8"/>
  <c r="BC36" i="8"/>
  <c r="BB36" i="8"/>
  <c r="BA36" i="8"/>
  <c r="AZ36" i="8"/>
  <c r="AY36" i="8"/>
  <c r="AX36" i="8"/>
  <c r="AW36" i="8"/>
  <c r="AV36" i="8"/>
  <c r="AU36" i="8"/>
  <c r="AT36" i="8"/>
  <c r="AS36" i="8"/>
  <c r="AR36" i="8"/>
  <c r="AQ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A36" i="8"/>
  <c r="Z36" i="8"/>
  <c r="Y36" i="8"/>
  <c r="X36" i="8"/>
  <c r="W36" i="8"/>
  <c r="V36" i="8"/>
  <c r="U36" i="8"/>
  <c r="T36" i="8"/>
  <c r="S36" i="8"/>
  <c r="R36" i="8"/>
  <c r="Q36" i="8"/>
  <c r="P36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A35" i="8"/>
  <c r="Z35" i="8"/>
  <c r="Y35" i="8"/>
  <c r="X35" i="8"/>
  <c r="W35" i="8"/>
  <c r="V35" i="8"/>
  <c r="U35" i="8"/>
  <c r="T35" i="8"/>
  <c r="S35" i="8"/>
  <c r="R35" i="8"/>
  <c r="Q35" i="8"/>
  <c r="P35" i="8"/>
  <c r="BC34" i="8"/>
  <c r="BB34" i="8"/>
  <c r="BA34" i="8"/>
  <c r="AZ34" i="8"/>
  <c r="AY34" i="8"/>
  <c r="AX34" i="8"/>
  <c r="AW34" i="8"/>
  <c r="AV34" i="8"/>
  <c r="AU34" i="8"/>
  <c r="AT34" i="8"/>
  <c r="AS34" i="8"/>
  <c r="AR34" i="8"/>
  <c r="AQ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A34" i="8"/>
  <c r="Z34" i="8"/>
  <c r="Y34" i="8"/>
  <c r="X34" i="8"/>
  <c r="W34" i="8"/>
  <c r="V34" i="8"/>
  <c r="U34" i="8"/>
  <c r="T34" i="8"/>
  <c r="S34" i="8"/>
  <c r="R34" i="8"/>
  <c r="Q34" i="8"/>
  <c r="P34" i="8"/>
  <c r="BC33" i="8"/>
  <c r="BB33" i="8"/>
  <c r="BA33" i="8"/>
  <c r="AZ33" i="8"/>
  <c r="AY33" i="8"/>
  <c r="AX33" i="8"/>
  <c r="AW33" i="8"/>
  <c r="AV33" i="8"/>
  <c r="AU33" i="8"/>
  <c r="AT33" i="8"/>
  <c r="AS33" i="8"/>
  <c r="AR33" i="8"/>
  <c r="AQ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A33" i="8"/>
  <c r="Z33" i="8"/>
  <c r="Y33" i="8"/>
  <c r="X33" i="8"/>
  <c r="W33" i="8"/>
  <c r="V33" i="8"/>
  <c r="U33" i="8"/>
  <c r="T33" i="8"/>
  <c r="S33" i="8"/>
  <c r="R33" i="8"/>
  <c r="Q33" i="8"/>
  <c r="P33" i="8"/>
  <c r="BC32" i="8"/>
  <c r="BB32" i="8"/>
  <c r="BA32" i="8"/>
  <c r="AZ32" i="8"/>
  <c r="AY32" i="8"/>
  <c r="AX32" i="8"/>
  <c r="AW32" i="8"/>
  <c r="AV32" i="8"/>
  <c r="AU32" i="8"/>
  <c r="AT32" i="8"/>
  <c r="AS32" i="8"/>
  <c r="AR32" i="8"/>
  <c r="AQ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A32" i="8"/>
  <c r="Z32" i="8"/>
  <c r="Y32" i="8"/>
  <c r="X32" i="8"/>
  <c r="W32" i="8"/>
  <c r="V32" i="8"/>
  <c r="U32" i="8"/>
  <c r="T32" i="8"/>
  <c r="S32" i="8"/>
  <c r="R32" i="8"/>
  <c r="Q32" i="8"/>
  <c r="P32" i="8"/>
  <c r="BC31" i="8"/>
  <c r="BB31" i="8"/>
  <c r="BA31" i="8"/>
  <c r="AZ31" i="8"/>
  <c r="AY31" i="8"/>
  <c r="AX31" i="8"/>
  <c r="AW31" i="8"/>
  <c r="AV31" i="8"/>
  <c r="AU31" i="8"/>
  <c r="AT31" i="8"/>
  <c r="AS31" i="8"/>
  <c r="AR31" i="8"/>
  <c r="AQ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A31" i="8"/>
  <c r="Z31" i="8"/>
  <c r="Y31" i="8"/>
  <c r="X31" i="8"/>
  <c r="W31" i="8"/>
  <c r="V31" i="8"/>
  <c r="U31" i="8"/>
  <c r="T31" i="8"/>
  <c r="S31" i="8"/>
  <c r="R31" i="8"/>
  <c r="Q31" i="8"/>
  <c r="P31" i="8"/>
  <c r="BC30" i="8"/>
  <c r="BB30" i="8"/>
  <c r="BA30" i="8"/>
  <c r="AZ30" i="8"/>
  <c r="AY30" i="8"/>
  <c r="AX30" i="8"/>
  <c r="AW30" i="8"/>
  <c r="AV30" i="8"/>
  <c r="AU30" i="8"/>
  <c r="AT30" i="8"/>
  <c r="AS30" i="8"/>
  <c r="AR30" i="8"/>
  <c r="AQ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A30" i="8"/>
  <c r="Z30" i="8"/>
  <c r="Y30" i="8"/>
  <c r="X30" i="8"/>
  <c r="W30" i="8"/>
  <c r="V30" i="8"/>
  <c r="U30" i="8"/>
  <c r="T30" i="8"/>
  <c r="S30" i="8"/>
  <c r="R30" i="8"/>
  <c r="Q30" i="8"/>
  <c r="P30" i="8"/>
  <c r="BC29" i="8"/>
  <c r="BB29" i="8"/>
  <c r="BA29" i="8"/>
  <c r="AZ29" i="8"/>
  <c r="AY29" i="8"/>
  <c r="AX29" i="8"/>
  <c r="AW29" i="8"/>
  <c r="AV29" i="8"/>
  <c r="AU29" i="8"/>
  <c r="AT29" i="8"/>
  <c r="AS29" i="8"/>
  <c r="AR29" i="8"/>
  <c r="AQ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A29" i="8"/>
  <c r="Z29" i="8"/>
  <c r="Y29" i="8"/>
  <c r="X29" i="8"/>
  <c r="W29" i="8"/>
  <c r="V29" i="8"/>
  <c r="U29" i="8"/>
  <c r="T29" i="8"/>
  <c r="S29" i="8"/>
  <c r="R29" i="8"/>
  <c r="Q29" i="8"/>
  <c r="P29" i="8"/>
  <c r="BC28" i="8"/>
  <c r="BB28" i="8"/>
  <c r="BA28" i="8"/>
  <c r="AZ28" i="8"/>
  <c r="AY28" i="8"/>
  <c r="AX28" i="8"/>
  <c r="AW28" i="8"/>
  <c r="AV28" i="8"/>
  <c r="AU28" i="8"/>
  <c r="AT28" i="8"/>
  <c r="AS28" i="8"/>
  <c r="AR28" i="8"/>
  <c r="AQ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A28" i="8"/>
  <c r="Z28" i="8"/>
  <c r="Y28" i="8"/>
  <c r="X28" i="8"/>
  <c r="W28" i="8"/>
  <c r="V28" i="8"/>
  <c r="U28" i="8"/>
  <c r="T28" i="8"/>
  <c r="S28" i="8"/>
  <c r="R28" i="8"/>
  <c r="Q28" i="8"/>
  <c r="P28" i="8"/>
  <c r="BC27" i="8"/>
  <c r="BB27" i="8"/>
  <c r="BA27" i="8"/>
  <c r="AZ27" i="8"/>
  <c r="AY27" i="8"/>
  <c r="AX27" i="8"/>
  <c r="AW27" i="8"/>
  <c r="AV27" i="8"/>
  <c r="AU27" i="8"/>
  <c r="AT27" i="8"/>
  <c r="AS27" i="8"/>
  <c r="AR27" i="8"/>
  <c r="AQ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A27" i="8"/>
  <c r="Z27" i="8"/>
  <c r="Y27" i="8"/>
  <c r="X27" i="8"/>
  <c r="W27" i="8"/>
  <c r="V27" i="8"/>
  <c r="U27" i="8"/>
  <c r="T27" i="8"/>
  <c r="S27" i="8"/>
  <c r="R27" i="8"/>
  <c r="Q27" i="8"/>
  <c r="P27" i="8"/>
  <c r="BC26" i="8"/>
  <c r="BB26" i="8"/>
  <c r="BA26" i="8"/>
  <c r="AZ26" i="8"/>
  <c r="AY26" i="8"/>
  <c r="AX26" i="8"/>
  <c r="AW26" i="8"/>
  <c r="AV26" i="8"/>
  <c r="AU26" i="8"/>
  <c r="AT26" i="8"/>
  <c r="AS26" i="8"/>
  <c r="AR26" i="8"/>
  <c r="AQ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A26" i="8"/>
  <c r="Z26" i="8"/>
  <c r="Y26" i="8"/>
  <c r="X26" i="8"/>
  <c r="W26" i="8"/>
  <c r="V26" i="8"/>
  <c r="U26" i="8"/>
  <c r="T26" i="8"/>
  <c r="S26" i="8"/>
  <c r="R26" i="8"/>
  <c r="Q26" i="8"/>
  <c r="P26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A25" i="8"/>
  <c r="Z25" i="8"/>
  <c r="Y25" i="8"/>
  <c r="X25" i="8"/>
  <c r="W25" i="8"/>
  <c r="V25" i="8"/>
  <c r="U25" i="8"/>
  <c r="T25" i="8"/>
  <c r="S25" i="8"/>
  <c r="R25" i="8"/>
  <c r="Q25" i="8"/>
  <c r="P25" i="8"/>
  <c r="BC24" i="8"/>
  <c r="BB24" i="8"/>
  <c r="BA24" i="8"/>
  <c r="AZ24" i="8"/>
  <c r="AY24" i="8"/>
  <c r="AX24" i="8"/>
  <c r="AW24" i="8"/>
  <c r="AV24" i="8"/>
  <c r="AU24" i="8"/>
  <c r="AT24" i="8"/>
  <c r="AS24" i="8"/>
  <c r="AR24" i="8"/>
  <c r="AQ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A24" i="8"/>
  <c r="Z24" i="8"/>
  <c r="Y24" i="8"/>
  <c r="X24" i="8"/>
  <c r="W24" i="8"/>
  <c r="V24" i="8"/>
  <c r="U24" i="8"/>
  <c r="T24" i="8"/>
  <c r="S24" i="8"/>
  <c r="R24" i="8"/>
  <c r="Q24" i="8"/>
  <c r="P24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A23" i="8"/>
  <c r="Z23" i="8"/>
  <c r="Y23" i="8"/>
  <c r="X23" i="8"/>
  <c r="W23" i="8"/>
  <c r="V23" i="8"/>
  <c r="U23" i="8"/>
  <c r="T23" i="8"/>
  <c r="S23" i="8"/>
  <c r="R23" i="8"/>
  <c r="Q23" i="8"/>
  <c r="P23" i="8"/>
  <c r="BC22" i="8"/>
  <c r="BB22" i="8"/>
  <c r="BA22" i="8"/>
  <c r="AZ22" i="8"/>
  <c r="AY22" i="8"/>
  <c r="AX22" i="8"/>
  <c r="AW22" i="8"/>
  <c r="AV22" i="8"/>
  <c r="AU22" i="8"/>
  <c r="AT22" i="8"/>
  <c r="AS22" i="8"/>
  <c r="AR22" i="8"/>
  <c r="AQ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A22" i="8"/>
  <c r="Z22" i="8"/>
  <c r="Y22" i="8"/>
  <c r="X22" i="8"/>
  <c r="W22" i="8"/>
  <c r="V22" i="8"/>
  <c r="U22" i="8"/>
  <c r="T22" i="8"/>
  <c r="S22" i="8"/>
  <c r="R22" i="8"/>
  <c r="Q22" i="8"/>
  <c r="P22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A21" i="8"/>
  <c r="Z21" i="8"/>
  <c r="Y21" i="8"/>
  <c r="X21" i="8"/>
  <c r="W21" i="8"/>
  <c r="V21" i="8"/>
  <c r="U21" i="8"/>
  <c r="T21" i="8"/>
  <c r="S21" i="8"/>
  <c r="R21" i="8"/>
  <c r="Q21" i="8"/>
  <c r="P21" i="8"/>
  <c r="BC20" i="8"/>
  <c r="BB20" i="8"/>
  <c r="BA20" i="8"/>
  <c r="AZ20" i="8"/>
  <c r="AY20" i="8"/>
  <c r="AX20" i="8"/>
  <c r="AW20" i="8"/>
  <c r="AV20" i="8"/>
  <c r="AU20" i="8"/>
  <c r="AT20" i="8"/>
  <c r="AS20" i="8"/>
  <c r="AR20" i="8"/>
  <c r="AQ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A20" i="8"/>
  <c r="Z20" i="8"/>
  <c r="Y20" i="8"/>
  <c r="X20" i="8"/>
  <c r="W20" i="8"/>
  <c r="V20" i="8"/>
  <c r="U20" i="8"/>
  <c r="T20" i="8"/>
  <c r="S20" i="8"/>
  <c r="R20" i="8"/>
  <c r="Q20" i="8"/>
  <c r="P20" i="8"/>
  <c r="BC19" i="8"/>
  <c r="BB19" i="8"/>
  <c r="BA19" i="8"/>
  <c r="AZ19" i="8"/>
  <c r="AY19" i="8"/>
  <c r="AX19" i="8"/>
  <c r="AW19" i="8"/>
  <c r="AV19" i="8"/>
  <c r="AU19" i="8"/>
  <c r="AT19" i="8"/>
  <c r="AS19" i="8"/>
  <c r="AR19" i="8"/>
  <c r="AQ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A19" i="8"/>
  <c r="Z19" i="8"/>
  <c r="Y19" i="8"/>
  <c r="X19" i="8"/>
  <c r="W19" i="8"/>
  <c r="V19" i="8"/>
  <c r="U19" i="8"/>
  <c r="T19" i="8"/>
  <c r="S19" i="8"/>
  <c r="R19" i="8"/>
  <c r="Q19" i="8"/>
  <c r="P19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Z18" i="8"/>
  <c r="Y18" i="8"/>
  <c r="X18" i="8"/>
  <c r="W18" i="8"/>
  <c r="V18" i="8"/>
  <c r="U18" i="8"/>
  <c r="T18" i="8"/>
  <c r="S18" i="8"/>
  <c r="R18" i="8"/>
  <c r="Q18" i="8"/>
  <c r="P18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A17" i="8"/>
  <c r="Z17" i="8"/>
  <c r="Y17" i="8"/>
  <c r="X17" i="8"/>
  <c r="W17" i="8"/>
  <c r="V17" i="8"/>
  <c r="U17" i="8"/>
  <c r="T17" i="8"/>
  <c r="S17" i="8"/>
  <c r="R17" i="8"/>
  <c r="Q17" i="8"/>
  <c r="P17" i="8"/>
  <c r="BC16" i="8"/>
  <c r="BB16" i="8"/>
  <c r="BA16" i="8"/>
  <c r="AZ16" i="8"/>
  <c r="AY16" i="8"/>
  <c r="AX16" i="8"/>
  <c r="AW16" i="8"/>
  <c r="AV16" i="8"/>
  <c r="AU16" i="8"/>
  <c r="AT16" i="8"/>
  <c r="AS16" i="8"/>
  <c r="AR16" i="8"/>
  <c r="AQ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A16" i="8"/>
  <c r="Z16" i="8"/>
  <c r="Y16" i="8"/>
  <c r="X16" i="8"/>
  <c r="W16" i="8"/>
  <c r="V16" i="8"/>
  <c r="U16" i="8"/>
  <c r="T16" i="8"/>
  <c r="S16" i="8"/>
  <c r="R16" i="8"/>
  <c r="Q16" i="8"/>
  <c r="P16" i="8"/>
  <c r="BC15" i="8"/>
  <c r="BB15" i="8"/>
  <c r="BA15" i="8"/>
  <c r="AZ15" i="8"/>
  <c r="AY15" i="8"/>
  <c r="AX15" i="8"/>
  <c r="AW15" i="8"/>
  <c r="AV15" i="8"/>
  <c r="AU15" i="8"/>
  <c r="AT15" i="8"/>
  <c r="AS15" i="8"/>
  <c r="AR15" i="8"/>
  <c r="AQ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A15" i="8"/>
  <c r="Z15" i="8"/>
  <c r="Y15" i="8"/>
  <c r="X15" i="8"/>
  <c r="W15" i="8"/>
  <c r="V15" i="8"/>
  <c r="U15" i="8"/>
  <c r="T15" i="8"/>
  <c r="S15" i="8"/>
  <c r="R15" i="8"/>
  <c r="Q15" i="8"/>
  <c r="P15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A14" i="8"/>
  <c r="Z14" i="8"/>
  <c r="Y14" i="8"/>
  <c r="X14" i="8"/>
  <c r="W14" i="8"/>
  <c r="V14" i="8"/>
  <c r="U14" i="8"/>
  <c r="T14" i="8"/>
  <c r="S14" i="8"/>
  <c r="R14" i="8"/>
  <c r="Q14" i="8"/>
  <c r="P14" i="8"/>
  <c r="BC13" i="8"/>
  <c r="BB13" i="8"/>
  <c r="BA13" i="8"/>
  <c r="AZ13" i="8"/>
  <c r="AY13" i="8"/>
  <c r="AX13" i="8"/>
  <c r="AW13" i="8"/>
  <c r="AV13" i="8"/>
  <c r="AU13" i="8"/>
  <c r="AT13" i="8"/>
  <c r="AS13" i="8"/>
  <c r="AR13" i="8"/>
  <c r="AQ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A13" i="8"/>
  <c r="Z13" i="8"/>
  <c r="Y13" i="8"/>
  <c r="X13" i="8"/>
  <c r="W13" i="8"/>
  <c r="V13" i="8"/>
  <c r="U13" i="8"/>
  <c r="T13" i="8"/>
  <c r="S13" i="8"/>
  <c r="Q13" i="8"/>
  <c r="P13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A12" i="8"/>
  <c r="Z12" i="8"/>
  <c r="Y12" i="8"/>
  <c r="X12" i="8"/>
  <c r="W12" i="8"/>
  <c r="V12" i="8"/>
  <c r="U12" i="8"/>
  <c r="T12" i="8"/>
  <c r="S12" i="8"/>
  <c r="Q12" i="8"/>
  <c r="P12" i="8"/>
  <c r="BC11" i="8"/>
  <c r="BB11" i="8"/>
  <c r="BA11" i="8"/>
  <c r="AZ11" i="8"/>
  <c r="AY11" i="8"/>
  <c r="AX11" i="8"/>
  <c r="AW11" i="8"/>
  <c r="AV11" i="8"/>
  <c r="AU11" i="8"/>
  <c r="AT11" i="8"/>
  <c r="AS11" i="8"/>
  <c r="AR11" i="8"/>
  <c r="AQ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A11" i="8"/>
  <c r="Z11" i="8"/>
  <c r="Y11" i="8"/>
  <c r="X11" i="8"/>
  <c r="W11" i="8"/>
  <c r="V11" i="8"/>
  <c r="U11" i="8"/>
  <c r="T11" i="8"/>
  <c r="S11" i="8"/>
  <c r="R11" i="8"/>
  <c r="Q11" i="8"/>
  <c r="P11" i="8"/>
  <c r="BC10" i="8"/>
  <c r="BB10" i="8"/>
  <c r="BA10" i="8"/>
  <c r="AZ10" i="8"/>
  <c r="AY10" i="8"/>
  <c r="AX10" i="8"/>
  <c r="AW10" i="8"/>
  <c r="AV10" i="8"/>
  <c r="AU10" i="8"/>
  <c r="AT10" i="8"/>
  <c r="AS10" i="8"/>
  <c r="AR10" i="8"/>
  <c r="AQ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A10" i="8"/>
  <c r="Z10" i="8"/>
  <c r="Y10" i="8"/>
  <c r="X10" i="8"/>
  <c r="W10" i="8"/>
  <c r="V10" i="8"/>
  <c r="U10" i="8"/>
  <c r="T10" i="8"/>
  <c r="S10" i="8"/>
  <c r="R10" i="8"/>
  <c r="Q10" i="8"/>
  <c r="P10" i="8"/>
  <c r="BC9" i="8"/>
  <c r="BB9" i="8"/>
  <c r="BA9" i="8"/>
  <c r="AZ9" i="8"/>
  <c r="AY9" i="8"/>
  <c r="AX9" i="8"/>
  <c r="AW9" i="8"/>
  <c r="AV9" i="8"/>
  <c r="AU9" i="8"/>
  <c r="AT9" i="8"/>
  <c r="AS9" i="8"/>
  <c r="AR9" i="8"/>
  <c r="AQ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A9" i="8"/>
  <c r="Z9" i="8"/>
  <c r="Y9" i="8"/>
  <c r="X9" i="8"/>
  <c r="W9" i="8"/>
  <c r="V9" i="8"/>
  <c r="U9" i="8"/>
  <c r="T9" i="8"/>
  <c r="S9" i="8"/>
  <c r="R9" i="8"/>
  <c r="Q9" i="8"/>
  <c r="P9" i="8"/>
  <c r="BC8" i="8"/>
  <c r="BB8" i="8"/>
  <c r="BA8" i="8"/>
  <c r="AZ8" i="8"/>
  <c r="AY8" i="8"/>
  <c r="AX8" i="8"/>
  <c r="AW8" i="8"/>
  <c r="AV8" i="8"/>
  <c r="AU8" i="8"/>
  <c r="AT8" i="8"/>
  <c r="AS8" i="8"/>
  <c r="AR8" i="8"/>
  <c r="AQ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A8" i="8"/>
  <c r="Z8" i="8"/>
  <c r="Y8" i="8"/>
  <c r="X8" i="8"/>
  <c r="W8" i="8"/>
  <c r="V8" i="8"/>
  <c r="U8" i="8"/>
  <c r="T8" i="8"/>
  <c r="R8" i="8"/>
  <c r="Q8" i="8"/>
  <c r="P8" i="8"/>
  <c r="BC7" i="8"/>
  <c r="BB7" i="8"/>
  <c r="BA7" i="8"/>
  <c r="AZ7" i="8"/>
  <c r="AY7" i="8"/>
  <c r="AX7" i="8"/>
  <c r="AW7" i="8"/>
  <c r="AV7" i="8"/>
  <c r="AU7" i="8"/>
  <c r="AT7" i="8"/>
  <c r="AS7" i="8"/>
  <c r="AR7" i="8"/>
  <c r="AQ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A7" i="8"/>
  <c r="Z7" i="8"/>
  <c r="Y7" i="8"/>
  <c r="X7" i="8"/>
  <c r="W7" i="8"/>
  <c r="V7" i="8"/>
  <c r="U7" i="8"/>
  <c r="T7" i="8"/>
  <c r="S7" i="8"/>
  <c r="R7" i="8"/>
  <c r="Q7" i="8"/>
  <c r="P7" i="8"/>
  <c r="BC6" i="8"/>
  <c r="BB6" i="8"/>
  <c r="BA6" i="8"/>
  <c r="AZ6" i="8"/>
  <c r="AY6" i="8"/>
  <c r="AX6" i="8"/>
  <c r="AW6" i="8"/>
  <c r="AV6" i="8"/>
  <c r="AU6" i="8"/>
  <c r="AT6" i="8"/>
  <c r="AS6" i="8"/>
  <c r="AR6" i="8"/>
  <c r="AQ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A6" i="8"/>
  <c r="Z6" i="8"/>
  <c r="Y6" i="8"/>
  <c r="X6" i="8"/>
  <c r="W6" i="8"/>
  <c r="V6" i="8"/>
  <c r="U6" i="8"/>
  <c r="T6" i="8"/>
  <c r="S6" i="8"/>
  <c r="R6" i="8"/>
  <c r="Q6" i="8"/>
  <c r="P6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A5" i="8"/>
  <c r="Z5" i="8"/>
  <c r="Y5" i="8"/>
  <c r="X5" i="8"/>
  <c r="W5" i="8"/>
  <c r="V5" i="8"/>
  <c r="U5" i="8"/>
  <c r="T5" i="8"/>
  <c r="S5" i="8"/>
  <c r="R5" i="8"/>
  <c r="Q5" i="8"/>
  <c r="P5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A4" i="8"/>
  <c r="Z4" i="8"/>
  <c r="Y4" i="8"/>
  <c r="X4" i="8"/>
  <c r="W4" i="8"/>
  <c r="V4" i="8"/>
  <c r="U4" i="8"/>
  <c r="T4" i="8"/>
  <c r="S4" i="8"/>
  <c r="R4" i="8"/>
  <c r="Q4" i="8"/>
  <c r="P4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A3" i="8"/>
  <c r="Z3" i="8"/>
  <c r="Y3" i="8"/>
  <c r="X3" i="8"/>
  <c r="W3" i="8"/>
  <c r="V3" i="8"/>
  <c r="U3" i="8"/>
  <c r="T3" i="8"/>
  <c r="S3" i="8"/>
  <c r="R3" i="8"/>
  <c r="Q3" i="8"/>
  <c r="P3" i="8"/>
  <c r="BC2" i="8"/>
  <c r="BB2" i="8"/>
  <c r="BA2" i="8"/>
  <c r="AZ2" i="8"/>
  <c r="AY2" i="8"/>
  <c r="AX2" i="8"/>
  <c r="AW2" i="8"/>
  <c r="AV2" i="8"/>
  <c r="AU2" i="8"/>
  <c r="AT2" i="8"/>
  <c r="AS2" i="8"/>
  <c r="AR2" i="8"/>
  <c r="AQ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A2" i="8"/>
  <c r="Z2" i="8"/>
  <c r="Y2" i="8"/>
  <c r="X2" i="8"/>
  <c r="W2" i="8"/>
  <c r="V2" i="8"/>
  <c r="U2" i="8"/>
  <c r="T2" i="8"/>
  <c r="S2" i="8"/>
  <c r="R2" i="8"/>
  <c r="Q2" i="8"/>
  <c r="P2" i="8"/>
  <c r="AB2" i="5" l="1"/>
  <c r="AR2" i="5"/>
  <c r="AQ2" i="5"/>
  <c r="AK2" i="5"/>
  <c r="O70" i="3"/>
  <c r="O71" i="8" s="1"/>
  <c r="AR3" i="5"/>
  <c r="U3" i="5"/>
  <c r="Y3" i="5"/>
  <c r="W2" i="5"/>
  <c r="H75" i="8"/>
  <c r="AQ3" i="5"/>
  <c r="AA2" i="5"/>
  <c r="M77" i="8"/>
  <c r="AB3" i="5"/>
  <c r="AA3" i="5"/>
  <c r="Z3" i="5"/>
  <c r="X3" i="5"/>
  <c r="J75" i="8"/>
  <c r="AM3" i="5"/>
  <c r="AM2" i="5"/>
  <c r="G73" i="8"/>
  <c r="AJ3" i="5"/>
  <c r="AP2" i="5"/>
  <c r="Z2" i="5"/>
  <c r="Y2" i="5"/>
  <c r="AO2" i="5"/>
  <c r="AN2" i="5"/>
  <c r="X2" i="5"/>
  <c r="V3" i="5"/>
  <c r="AJ2" i="5"/>
  <c r="AI2" i="5"/>
  <c r="W3" i="5"/>
  <c r="AL2" i="5"/>
  <c r="H76" i="8"/>
  <c r="AK3" i="5"/>
  <c r="V2" i="5"/>
  <c r="T2" i="5"/>
  <c r="U2" i="5"/>
  <c r="S2" i="5"/>
  <c r="S4" i="5"/>
  <c r="T3" i="5"/>
  <c r="AH2" i="5"/>
  <c r="AG2" i="5"/>
  <c r="AF2" i="5"/>
  <c r="AH3" i="5"/>
  <c r="S3" i="5"/>
  <c r="R3" i="5"/>
  <c r="Q2" i="5"/>
  <c r="R2" i="5"/>
  <c r="Q3" i="5"/>
  <c r="L74" i="8"/>
  <c r="L72" i="8"/>
  <c r="L76" i="8"/>
  <c r="E74" i="8"/>
  <c r="E72" i="8"/>
  <c r="E76" i="8"/>
  <c r="M74" i="8"/>
  <c r="M72" i="8"/>
  <c r="M76" i="8"/>
  <c r="J73" i="8"/>
  <c r="D74" i="8"/>
  <c r="D72" i="8"/>
  <c r="D76" i="8"/>
  <c r="G72" i="8"/>
  <c r="G76" i="8"/>
  <c r="G74" i="8"/>
  <c r="F77" i="8"/>
  <c r="F75" i="8"/>
  <c r="F73" i="8"/>
  <c r="N77" i="8"/>
  <c r="N75" i="8"/>
  <c r="N73" i="8"/>
  <c r="J76" i="8"/>
  <c r="J74" i="8"/>
  <c r="J72" i="8"/>
  <c r="H72" i="8"/>
  <c r="F74" i="8"/>
  <c r="N74" i="8"/>
  <c r="I72" i="8"/>
  <c r="F76" i="8"/>
  <c r="N76" i="8"/>
  <c r="I74" i="8"/>
  <c r="T6" i="5" l="1"/>
  <c r="J77" i="8"/>
  <c r="AN4" i="5"/>
  <c r="AR6" i="5"/>
  <c r="AL4" i="5"/>
  <c r="V4" i="5"/>
  <c r="AL3" i="5"/>
  <c r="AB4" i="5"/>
  <c r="AR7" i="5"/>
  <c r="AR4" i="5"/>
  <c r="H77" i="8"/>
  <c r="H73" i="8"/>
  <c r="AJ5" i="5"/>
  <c r="M73" i="8"/>
  <c r="AA5" i="5"/>
  <c r="M75" i="8"/>
  <c r="X4" i="5"/>
  <c r="AK4" i="5"/>
  <c r="G75" i="8"/>
  <c r="G77" i="8"/>
  <c r="U4" i="5"/>
  <c r="AP4" i="5"/>
  <c r="AP3" i="5"/>
  <c r="AA4" i="5"/>
  <c r="I77" i="8"/>
  <c r="I73" i="8"/>
  <c r="I75" i="8"/>
  <c r="W4" i="5"/>
  <c r="AJ4" i="5"/>
  <c r="AJ8" i="5"/>
  <c r="E75" i="8"/>
  <c r="E73" i="8"/>
  <c r="E77" i="8"/>
  <c r="AI3" i="5"/>
  <c r="T4" i="5"/>
  <c r="C76" i="8"/>
  <c r="C74" i="8"/>
  <c r="C72" i="8"/>
  <c r="K76" i="8"/>
  <c r="K74" i="8"/>
  <c r="K72" i="8"/>
  <c r="L77" i="8"/>
  <c r="L75" i="8"/>
  <c r="L73" i="8"/>
  <c r="D77" i="8"/>
  <c r="D75" i="8"/>
  <c r="D73" i="8"/>
  <c r="AR18" i="5" l="1"/>
  <c r="AI5" i="5"/>
  <c r="AR15" i="5"/>
  <c r="T10" i="5"/>
  <c r="U18" i="5"/>
  <c r="AN16" i="5"/>
  <c r="AB18" i="5"/>
  <c r="AN15" i="5"/>
  <c r="AR5" i="5"/>
  <c r="U14" i="5"/>
  <c r="AR14" i="5"/>
  <c r="AB9" i="5"/>
  <c r="AB10" i="5"/>
  <c r="U16" i="5"/>
  <c r="AQ12" i="5"/>
  <c r="X12" i="5"/>
  <c r="AB7" i="5"/>
  <c r="AQ17" i="5"/>
  <c r="AR11" i="5"/>
  <c r="T18" i="5"/>
  <c r="V8" i="5"/>
  <c r="AL19" i="5"/>
  <c r="T11" i="5"/>
  <c r="V7" i="5"/>
  <c r="AB19" i="5"/>
  <c r="AH7" i="5"/>
  <c r="W5" i="5"/>
  <c r="AR9" i="5"/>
  <c r="AR8" i="5"/>
  <c r="AR10" i="5"/>
  <c r="AR16" i="5"/>
  <c r="AR19" i="5"/>
  <c r="AR12" i="5"/>
  <c r="AR17" i="5"/>
  <c r="AR13" i="5"/>
  <c r="AJ10" i="5"/>
  <c r="AJ17" i="5"/>
  <c r="T9" i="5"/>
  <c r="U9" i="5"/>
  <c r="V5" i="5"/>
  <c r="U5" i="5"/>
  <c r="U11" i="5"/>
  <c r="AQ7" i="5"/>
  <c r="AB8" i="5"/>
  <c r="AB13" i="5"/>
  <c r="AA14" i="5"/>
  <c r="AQ6" i="5"/>
  <c r="AQ5" i="5"/>
  <c r="AB6" i="5"/>
  <c r="AQ4" i="5"/>
  <c r="AB5" i="5"/>
  <c r="AP14" i="5"/>
  <c r="X10" i="5"/>
  <c r="AA6" i="5"/>
  <c r="AP5" i="5"/>
  <c r="AP13" i="5"/>
  <c r="K73" i="8"/>
  <c r="K75" i="8"/>
  <c r="K77" i="8"/>
  <c r="Y6" i="5"/>
  <c r="AO3" i="5"/>
  <c r="Z4" i="5"/>
  <c r="Y4" i="5"/>
  <c r="AN19" i="5"/>
  <c r="AN9" i="5"/>
  <c r="AN7" i="5"/>
  <c r="AN13" i="5"/>
  <c r="AN17" i="5"/>
  <c r="AN8" i="5"/>
  <c r="AN5" i="5"/>
  <c r="AN10" i="5"/>
  <c r="AN6" i="5"/>
  <c r="AN11" i="5"/>
  <c r="AN12" i="5"/>
  <c r="AN18" i="5"/>
  <c r="X6" i="5"/>
  <c r="AM5" i="5"/>
  <c r="AM4" i="5"/>
  <c r="X5" i="5"/>
  <c r="T7" i="5"/>
  <c r="W6" i="5"/>
  <c r="AL5" i="5"/>
  <c r="AK7" i="5"/>
  <c r="AK6" i="5"/>
  <c r="AK5" i="5"/>
  <c r="V6" i="5"/>
  <c r="U6" i="5"/>
  <c r="AJ19" i="5"/>
  <c r="AJ13" i="5"/>
  <c r="AJ18" i="5"/>
  <c r="U8" i="5"/>
  <c r="AJ7" i="5"/>
  <c r="AJ14" i="5"/>
  <c r="U10" i="5"/>
  <c r="AJ9" i="5"/>
  <c r="U7" i="5"/>
  <c r="AJ6" i="5"/>
  <c r="AJ12" i="5"/>
  <c r="AJ15" i="5"/>
  <c r="AJ11" i="5"/>
  <c r="AJ16" i="5"/>
  <c r="AI6" i="5"/>
  <c r="AI4" i="5"/>
  <c r="T5" i="5"/>
  <c r="S6" i="5"/>
  <c r="AH5" i="5"/>
  <c r="AH4" i="5"/>
  <c r="S5" i="5"/>
  <c r="AH6" i="5"/>
  <c r="S7" i="5"/>
  <c r="R4" i="5"/>
  <c r="AG3" i="5"/>
  <c r="C77" i="8"/>
  <c r="C75" i="8"/>
  <c r="C73" i="8"/>
  <c r="W10" i="5" l="1"/>
  <c r="AB17" i="5"/>
  <c r="AL10" i="5"/>
  <c r="S10" i="5"/>
  <c r="S11" i="5"/>
  <c r="AN14" i="5"/>
  <c r="AL14" i="5"/>
  <c r="AL17" i="5"/>
  <c r="V10" i="5"/>
  <c r="V18" i="5"/>
  <c r="AK18" i="5"/>
  <c r="AK14" i="5"/>
  <c r="AK13" i="5"/>
  <c r="V14" i="5"/>
  <c r="U15" i="5"/>
  <c r="V13" i="5"/>
  <c r="U13" i="5"/>
  <c r="AQ9" i="5"/>
  <c r="AK15" i="5"/>
  <c r="AL6" i="5"/>
  <c r="V12" i="5"/>
  <c r="AL13" i="5"/>
  <c r="AL12" i="5"/>
  <c r="AO7" i="5"/>
  <c r="AP8" i="5"/>
  <c r="AI10" i="5"/>
  <c r="V15" i="5"/>
  <c r="AL8" i="5"/>
  <c r="AI17" i="5"/>
  <c r="AH18" i="5"/>
  <c r="U19" i="5"/>
  <c r="AL11" i="5"/>
  <c r="AQ16" i="5"/>
  <c r="W8" i="5"/>
  <c r="AB12" i="5"/>
  <c r="AL7" i="5"/>
  <c r="AA12" i="5"/>
  <c r="AQ8" i="5"/>
  <c r="AB16" i="5"/>
  <c r="W20" i="5"/>
  <c r="W7" i="5"/>
  <c r="AA9" i="5"/>
  <c r="R10" i="5"/>
  <c r="AI8" i="5"/>
  <c r="W9" i="5"/>
  <c r="S9" i="5"/>
  <c r="AQ18" i="5"/>
  <c r="AL9" i="5"/>
  <c r="AM10" i="5"/>
  <c r="V17" i="5"/>
  <c r="W15" i="5"/>
  <c r="AL16" i="5"/>
  <c r="AL15" i="5"/>
  <c r="V16" i="5"/>
  <c r="V9" i="5"/>
  <c r="V19" i="5"/>
  <c r="AK16" i="5"/>
  <c r="AK9" i="5"/>
  <c r="U17" i="5"/>
  <c r="AK17" i="5"/>
  <c r="AK8" i="5"/>
  <c r="AK19" i="5"/>
  <c r="AI9" i="5"/>
  <c r="AH11" i="5"/>
  <c r="AK12" i="5"/>
  <c r="U12" i="5"/>
  <c r="Z17" i="5"/>
  <c r="W19" i="5"/>
  <c r="AL18" i="5"/>
  <c r="AK11" i="5"/>
  <c r="U20" i="5"/>
  <c r="V20" i="5"/>
  <c r="AK10" i="5"/>
  <c r="V11" i="5"/>
  <c r="AB11" i="5"/>
  <c r="AQ10" i="5"/>
  <c r="AQ19" i="5"/>
  <c r="AB20" i="5"/>
  <c r="AQ14" i="5"/>
  <c r="AB15" i="5"/>
  <c r="AQ11" i="5"/>
  <c r="AQ13" i="5"/>
  <c r="AB14" i="5"/>
  <c r="AA20" i="5"/>
  <c r="AQ15" i="5"/>
  <c r="AA15" i="5"/>
  <c r="Y18" i="5"/>
  <c r="AM9" i="5"/>
  <c r="X9" i="5"/>
  <c r="AM8" i="5"/>
  <c r="W11" i="5"/>
  <c r="AM11" i="5"/>
  <c r="X11" i="5"/>
  <c r="AP9" i="5"/>
  <c r="AA10" i="5"/>
  <c r="AA8" i="5"/>
  <c r="AP7" i="5"/>
  <c r="AA11" i="5"/>
  <c r="AP10" i="5"/>
  <c r="AA16" i="5"/>
  <c r="AP15" i="5"/>
  <c r="AP16" i="5"/>
  <c r="AA17" i="5"/>
  <c r="AP12" i="5"/>
  <c r="AA13" i="5"/>
  <c r="AP17" i="5"/>
  <c r="AA18" i="5"/>
  <c r="AP11" i="5"/>
  <c r="AA19" i="5"/>
  <c r="AP18" i="5"/>
  <c r="AA7" i="5"/>
  <c r="AP6" i="5"/>
  <c r="AP19" i="5"/>
  <c r="Z8" i="5"/>
  <c r="AO5" i="5"/>
  <c r="Z6" i="5"/>
  <c r="Y8" i="5"/>
  <c r="Z5" i="5"/>
  <c r="AO4" i="5"/>
  <c r="Y5" i="5"/>
  <c r="X14" i="5"/>
  <c r="AM13" i="5"/>
  <c r="X17" i="5"/>
  <c r="AM16" i="5"/>
  <c r="W17" i="5"/>
  <c r="AM19" i="5"/>
  <c r="X20" i="5"/>
  <c r="AM18" i="5"/>
  <c r="X19" i="5"/>
  <c r="W14" i="5"/>
  <c r="AM15" i="5"/>
  <c r="X16" i="5"/>
  <c r="AM17" i="5"/>
  <c r="X18" i="5"/>
  <c r="W18" i="5"/>
  <c r="X7" i="5"/>
  <c r="AM6" i="5"/>
  <c r="AM12" i="5"/>
  <c r="X13" i="5"/>
  <c r="W13" i="5"/>
  <c r="X15" i="5"/>
  <c r="AM14" i="5"/>
  <c r="W16" i="5"/>
  <c r="AM7" i="5"/>
  <c r="X8" i="5"/>
  <c r="S20" i="5"/>
  <c r="S8" i="5"/>
  <c r="T8" i="5"/>
  <c r="AI7" i="5"/>
  <c r="AH14" i="5"/>
  <c r="AH19" i="5"/>
  <c r="T15" i="5"/>
  <c r="AI14" i="5"/>
  <c r="S16" i="5"/>
  <c r="S15" i="5"/>
  <c r="AI11" i="5"/>
  <c r="T12" i="5"/>
  <c r="AI12" i="5"/>
  <c r="T13" i="5"/>
  <c r="AI16" i="5"/>
  <c r="T17" i="5"/>
  <c r="T19" i="5"/>
  <c r="AI18" i="5"/>
  <c r="S19" i="5"/>
  <c r="S17" i="5"/>
  <c r="AI19" i="5"/>
  <c r="T20" i="5"/>
  <c r="AI15" i="5"/>
  <c r="T16" i="5"/>
  <c r="AI13" i="5"/>
  <c r="T14" i="5"/>
  <c r="AH10" i="5"/>
  <c r="S14" i="5"/>
  <c r="AH9" i="5"/>
  <c r="AH8" i="5"/>
  <c r="AH16" i="5"/>
  <c r="AH15" i="5"/>
  <c r="S12" i="5"/>
  <c r="AH12" i="5"/>
  <c r="S13" i="5"/>
  <c r="AH17" i="5"/>
  <c r="S18" i="5"/>
  <c r="AH13" i="5"/>
  <c r="R8" i="5"/>
  <c r="AG4" i="5"/>
  <c r="R5" i="5"/>
  <c r="R6" i="5"/>
  <c r="AG5" i="5"/>
  <c r="Y7" i="5" l="1"/>
  <c r="Z7" i="5"/>
  <c r="AO6" i="5"/>
  <c r="AO16" i="5"/>
  <c r="AO17" i="5"/>
  <c r="Y17" i="5"/>
  <c r="Z18" i="5"/>
  <c r="Z16" i="5"/>
  <c r="Y16" i="5"/>
  <c r="AO11" i="5"/>
  <c r="Z12" i="5"/>
  <c r="Y12" i="5"/>
  <c r="AO19" i="5"/>
  <c r="Z20" i="5"/>
  <c r="Y20" i="5"/>
  <c r="Z19" i="5"/>
  <c r="AO18" i="5"/>
  <c r="Y19" i="5"/>
  <c r="AO9" i="5"/>
  <c r="Z10" i="5"/>
  <c r="Y10" i="5"/>
  <c r="AO14" i="5"/>
  <c r="Z15" i="5"/>
  <c r="Y15" i="5"/>
  <c r="AO13" i="5"/>
  <c r="Z14" i="5"/>
  <c r="Y14" i="5"/>
  <c r="Z11" i="5"/>
  <c r="AO10" i="5"/>
  <c r="Y11" i="5"/>
  <c r="Z13" i="5"/>
  <c r="AO12" i="5"/>
  <c r="Y13" i="5"/>
  <c r="Z9" i="5"/>
  <c r="AO8" i="5"/>
  <c r="Y9" i="5"/>
  <c r="AO15" i="5"/>
  <c r="AG10" i="5"/>
  <c r="R11" i="5"/>
  <c r="AG18" i="5"/>
  <c r="R19" i="5"/>
  <c r="R9" i="5"/>
  <c r="AG8" i="5"/>
  <c r="AG12" i="5"/>
  <c r="R13" i="5"/>
  <c r="R14" i="5"/>
  <c r="AG13" i="5"/>
  <c r="AG14" i="5"/>
  <c r="R15" i="5"/>
  <c r="AG6" i="5"/>
  <c r="R7" i="5"/>
  <c r="R18" i="5"/>
  <c r="AG17" i="5"/>
  <c r="R12" i="5"/>
  <c r="AG11" i="5"/>
  <c r="AG15" i="5"/>
  <c r="R16" i="5"/>
  <c r="R17" i="5"/>
  <c r="AG16" i="5"/>
  <c r="R20" i="5"/>
  <c r="AG19" i="5"/>
  <c r="AG7" i="5"/>
  <c r="AG9" i="5"/>
  <c r="AF3" i="5" l="1"/>
  <c r="B74" i="8"/>
  <c r="B72" i="8"/>
  <c r="B76" i="8"/>
  <c r="AF4" i="5" l="1"/>
  <c r="Q4" i="5"/>
  <c r="Q5" i="5"/>
  <c r="B73" i="8"/>
  <c r="B75" i="8"/>
  <c r="B77" i="8"/>
  <c r="Q20" i="5" l="1"/>
  <c r="Q9" i="5"/>
  <c r="Q10" i="5"/>
  <c r="Q12" i="5"/>
  <c r="Q19" i="5"/>
  <c r="Q17" i="5"/>
  <c r="AF6" i="5"/>
  <c r="Q7" i="5"/>
  <c r="AF16" i="5"/>
  <c r="AF11" i="5"/>
  <c r="Q6" i="5"/>
  <c r="AF5" i="5"/>
  <c r="AF9" i="5" l="1"/>
  <c r="AF19" i="5"/>
  <c r="Q18" i="5"/>
  <c r="AF17" i="5"/>
  <c r="Q8" i="5"/>
  <c r="AF7" i="5"/>
  <c r="Q11" i="5"/>
  <c r="AF10" i="5"/>
  <c r="AF8" i="5"/>
  <c r="Q16" i="5"/>
  <c r="AF15" i="5"/>
  <c r="Q13" i="5"/>
  <c r="AF12" i="5"/>
  <c r="Q15" i="5"/>
  <c r="AF14" i="5"/>
  <c r="AF18" i="5"/>
  <c r="Q14" i="5"/>
  <c r="AF13" i="5"/>
</calcChain>
</file>

<file path=xl/sharedStrings.xml><?xml version="1.0" encoding="utf-8"?>
<sst xmlns="http://schemas.openxmlformats.org/spreadsheetml/2006/main" count="720" uniqueCount="133">
  <si>
    <t>type</t>
  </si>
  <si>
    <t>Power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</si>
  <si>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</si>
  <si>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</si>
  <si>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</si>
  <si>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</si>
  <si>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</si>
  <si>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</si>
  <si>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</si>
  <si>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</si>
  <si>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</si>
  <si>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</si>
  <si>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</si>
  <si>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</si>
  <si>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</t>
  </si>
  <si>
    <t>Obs</t>
  </si>
  <si>
    <t>.</t>
  </si>
  <si>
    <t>mean</t>
  </si>
  <si>
    <t>SD</t>
  </si>
  <si>
    <t>skew</t>
  </si>
  <si>
    <t>bdtot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</si>
  <si>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</si>
  <si>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</si>
  <si>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</si>
  <si>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</si>
  <si>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</si>
  <si>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</si>
  <si>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</si>
  <si>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</si>
  <si>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</si>
  <si>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</si>
  <si>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</si>
  <si>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</si>
  <si>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</si>
  <si>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ReverseCross</t>
  </si>
  <si>
    <t>r12</t>
  </si>
  <si>
    <t>r23</t>
  </si>
  <si>
    <t>r34</t>
  </si>
  <si>
    <t>r45</t>
  </si>
  <si>
    <t>r56</t>
  </si>
  <si>
    <t>r67</t>
  </si>
  <si>
    <t>r78</t>
  </si>
  <si>
    <t>r89</t>
  </si>
  <si>
    <t>r910</t>
  </si>
  <si>
    <t>r1011</t>
  </si>
  <si>
    <t>r1112</t>
  </si>
  <si>
    <t>r1213</t>
  </si>
  <si>
    <t>ReverseDown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</si>
  <si>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</si>
  <si>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</si>
  <si>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</si>
  <si>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</si>
  <si>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</si>
  <si>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</si>
  <si>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</si>
  <si>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</si>
  <si>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</si>
  <si>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</si>
  <si>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</si>
  <si>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</si>
  <si>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</si>
  <si>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blank</t>
  </si>
  <si>
    <t>ssq1</t>
  </si>
  <si>
    <t>ssq2</t>
  </si>
  <si>
    <t>ssq3</t>
  </si>
  <si>
    <t>ssq4</t>
  </si>
  <si>
    <t>ssq5</t>
  </si>
  <si>
    <t>ssq6</t>
  </si>
  <si>
    <t>ssq7</t>
  </si>
  <si>
    <t>ssq8</t>
  </si>
  <si>
    <t>ssq9</t>
  </si>
  <si>
    <t>ssq10</t>
  </si>
  <si>
    <t>ssq11</t>
  </si>
  <si>
    <t>ssq12</t>
  </si>
  <si>
    <t>ssq13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</si>
  <si>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</si>
  <si>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</si>
  <si>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</si>
  <si>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</si>
  <si>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</si>
  <si>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</si>
  <si>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</si>
  <si>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</si>
  <si>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</si>
  <si>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</si>
  <si>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</si>
  <si>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</si>
  <si>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</si>
  <si>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N</t>
  </si>
  <si>
    <t>sd</t>
  </si>
  <si>
    <t>ideal</t>
  </si>
  <si>
    <t>standard</t>
  </si>
  <si>
    <t>exception</t>
  </si>
  <si>
    <t>wais5_bd_raw</t>
  </si>
  <si>
    <t>ss1</t>
  </si>
  <si>
    <t>ss2</t>
  </si>
  <si>
    <t>ss3</t>
  </si>
  <si>
    <t>ss4</t>
  </si>
  <si>
    <t>ss5</t>
  </si>
  <si>
    <t>ss6</t>
  </si>
  <si>
    <t>ss7</t>
  </si>
  <si>
    <t>ss8</t>
  </si>
  <si>
    <t>ss9</t>
  </si>
  <si>
    <t>ss10</t>
  </si>
  <si>
    <t>ss11</t>
  </si>
  <si>
    <t>ss12</t>
  </si>
  <si>
    <t>ss13</t>
  </si>
  <si>
    <t>Analysis Variable : wais5_bd_ss</t>
  </si>
  <si>
    <t>Mean</t>
  </si>
  <si>
    <t>Std Dev</t>
  </si>
  <si>
    <t>Minimum</t>
  </si>
  <si>
    <t>Maximum</t>
  </si>
  <si>
    <t>agegrp</t>
  </si>
  <si>
    <t>N Obs</t>
  </si>
  <si>
    <t>WAIS5 US norm (bd)</t>
  </si>
  <si>
    <t>P_02</t>
  </si>
  <si>
    <t>P_16</t>
  </si>
  <si>
    <t>P_50</t>
  </si>
  <si>
    <t>P_84</t>
  </si>
  <si>
    <t>P_98</t>
  </si>
  <si>
    <t>sssq1</t>
  </si>
  <si>
    <t>sssq2</t>
  </si>
  <si>
    <t>sssq3</t>
  </si>
  <si>
    <t>sssq4</t>
  </si>
  <si>
    <t>sssq5</t>
  </si>
  <si>
    <t>sssq6</t>
  </si>
  <si>
    <t>sssq7</t>
  </si>
  <si>
    <t>sssq8</t>
  </si>
  <si>
    <t>sssq9</t>
  </si>
  <si>
    <t>sssq10</t>
  </si>
  <si>
    <t>sssq11</t>
  </si>
  <si>
    <t>sssq12</t>
  </si>
  <si>
    <t>sssq13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</si>
</sst>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</fills>
  <borders count="4">
    <border>
      <left/>
      <right/>
      <top/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/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vertical="top" wrapText="1"/>
    </xf>
    <xf numFmtId="0" fontId="0" fillId="0" borderId="0" xfId="0" applyBorder="1" applyAlignment="1">
      <alignment vertical="center"/>
    </xf>
    <xf numFmtId="165" fontId="0" fillId="0" borderId="0" xfId="0" applyNumberForma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2" borderId="0" xfId="0" applyFont="1" applyFill="1" applyBorder="1" applyAlignment="1">
      <alignment vertical="top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control!$C$3:$O$3</c:f>
              <c:numCache>
                <c:formatCode>General</c:formatCode>
                <c:ptCount val="13"/>
                <c:pt idx="0">
                  <c:v>38.521299999999997</c:v>
                </c:pt>
                <c:pt idx="1">
                  <c:v>38.456000000000003</c:v>
                </c:pt>
                <c:pt idx="2">
                  <c:v>38.278199999999998</c:v>
                </c:pt>
                <c:pt idx="3">
                  <c:v>37.883800000000001</c:v>
                </c:pt>
                <c:pt idx="4">
                  <c:v>37.324199999999998</c:v>
                </c:pt>
                <c:pt idx="5">
                  <c:v>36.1751</c:v>
                </c:pt>
                <c:pt idx="6">
                  <c:v>34.064900000000002</c:v>
                </c:pt>
                <c:pt idx="7">
                  <c:v>31.2941</c:v>
                </c:pt>
                <c:pt idx="8">
                  <c:v>28.782299999999999</c:v>
                </c:pt>
                <c:pt idx="9">
                  <c:v>26.901399999999999</c:v>
                </c:pt>
                <c:pt idx="10">
                  <c:v>24.8552</c:v>
                </c:pt>
                <c:pt idx="11">
                  <c:v>22.643899999999999</c:v>
                </c:pt>
                <c:pt idx="12">
                  <c:v>20.020700000000001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0C-46F9-9149-005756D1E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6645135"/>
        <c:axId val="1476274959"/>
      </c:lineChart>
      <c:catAx>
        <c:axId val="1476645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274959"/>
        <c:crosses val="autoZero"/>
        <c:auto val="1"/>
        <c:lblAlgn val="ctr"/>
        <c:lblOffset val="100"/>
        <c:noMultiLvlLbl val="0"/>
      </c:catAx>
      <c:valAx>
        <c:axId val="147627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64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control!$C$4:$O$4</c:f>
              <c:numCache>
                <c:formatCode>General</c:formatCode>
                <c:ptCount val="13"/>
                <c:pt idx="0">
                  <c:v>12.646000000000001</c:v>
                </c:pt>
                <c:pt idx="1">
                  <c:v>12.6244</c:v>
                </c:pt>
                <c:pt idx="2">
                  <c:v>12.569800000000001</c:v>
                </c:pt>
                <c:pt idx="3">
                  <c:v>12.4551</c:v>
                </c:pt>
                <c:pt idx="4">
                  <c:v>12.2971</c:v>
                </c:pt>
                <c:pt idx="5">
                  <c:v>11.9788</c:v>
                </c:pt>
                <c:pt idx="6">
                  <c:v>11.402799999999999</c:v>
                </c:pt>
                <c:pt idx="7">
                  <c:v>10.653600000000001</c:v>
                </c:pt>
                <c:pt idx="8">
                  <c:v>9.9779999999999998</c:v>
                </c:pt>
                <c:pt idx="9">
                  <c:v>9.4733999999999998</c:v>
                </c:pt>
                <c:pt idx="10">
                  <c:v>8.9254999999999995</c:v>
                </c:pt>
                <c:pt idx="11">
                  <c:v>8.3343000000000007</c:v>
                </c:pt>
                <c:pt idx="12">
                  <c:v>7.6338999999999997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9E-44D6-B3B8-75A9CCC9A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8002383"/>
        <c:axId val="1574816207"/>
      </c:lineChart>
      <c:catAx>
        <c:axId val="1578002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816207"/>
        <c:crosses val="autoZero"/>
        <c:auto val="1"/>
        <c:lblAlgn val="ctr"/>
        <c:lblOffset val="100"/>
        <c:noMultiLvlLbl val="0"/>
      </c:catAx>
      <c:valAx>
        <c:axId val="157481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00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skew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control!$C$5:$O$5</c:f>
              <c:numCache>
                <c:formatCode>General</c:formatCode>
                <c:ptCount val="13"/>
                <c:pt idx="0">
                  <c:v>-0.23330000000000001</c:v>
                </c:pt>
                <c:pt idx="1">
                  <c:v>-0.20799999999999999</c:v>
                </c:pt>
                <c:pt idx="2">
                  <c:v>-0.1646</c:v>
                </c:pt>
                <c:pt idx="3">
                  <c:v>-0.105</c:v>
                </c:pt>
                <c:pt idx="4">
                  <c:v>-4.8000000000000001E-2</c:v>
                </c:pt>
                <c:pt idx="5">
                  <c:v>3.2500000000000001E-2</c:v>
                </c:pt>
                <c:pt idx="6">
                  <c:v>0.13070000000000001</c:v>
                </c:pt>
                <c:pt idx="7">
                  <c:v>0.21820000000000001</c:v>
                </c:pt>
                <c:pt idx="8">
                  <c:v>0.27689999999999998</c:v>
                </c:pt>
                <c:pt idx="9">
                  <c:v>0.31280000000000002</c:v>
                </c:pt>
                <c:pt idx="10">
                  <c:v>0.34599999999999997</c:v>
                </c:pt>
                <c:pt idx="11">
                  <c:v>0.3765</c:v>
                </c:pt>
                <c:pt idx="12">
                  <c:v>0.40710000000000002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0-4DEF-BCA4-C1B3FDD2F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5277295"/>
        <c:axId val="1574903855"/>
      </c:lineChart>
      <c:catAx>
        <c:axId val="1645277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903855"/>
        <c:crosses val="autoZero"/>
        <c:auto val="1"/>
        <c:lblAlgn val="ctr"/>
        <c:lblOffset val="100"/>
        <c:noMultiLvlLbl val="0"/>
      </c:catAx>
      <c:valAx>
        <c:axId val="157490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27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409575</xdr:colOff>
      <xdr:row>0</xdr:row>
      <xdr:rowOff>1</xdr:rowOff>
    </xdr:from>
    <xdr:to>
      <xdr:col>23</xdr:col>
      <xdr:colOff>104775</xdr:colOff>
      <xdr:row>9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C897B-7E22-9423-C50A-EA470A553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425450</xdr:colOff>
      <xdr:row>10</xdr:row>
      <xdr:rowOff>153987</xdr:rowOff>
    </xdr:from>
    <xdr:to>
      <xdr:col>23</xdr:col>
      <xdr:colOff>120650</xdr:colOff>
      <xdr:row>19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C68937-802B-84C6-A9D3-FE14B2005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425450</xdr:colOff>
      <xdr:row>20</xdr:row>
      <xdr:rowOff>173037</xdr:rowOff>
    </xdr:from>
    <xdr:to>
      <xdr:col>23</xdr:col>
      <xdr:colOff>120650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97FE4B-76F3-3F9B-08A8-B4AA741AE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21B1-0C3A-41A9-ABCB-D3448901E953}">
  <dimension ref="A1:O22"/>
  <sheetViews>
    <sheetView workbookViewId="0">
      <selection activeCell="D10" sqref="D10:G22"/>
    </sheetView>
  </sheetViews>
  <sheetFormatPr defaultRowHeight="15" x14ac:dyDescent="0.25"/>
  <sheetData>
    <row r="1" spans="1:1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s="4" t="s">
        <v>15</v>
      </c>
      <c r="B2" s="1" t="s">
        <v>16</v>
      </c>
      <c r="C2" s="1">
        <v>37.077777777999998</v>
      </c>
      <c r="D2" s="1">
        <v>37.783333333000002</v>
      </c>
      <c r="E2" s="1">
        <v>39.944444443999998</v>
      </c>
      <c r="F2" s="1">
        <v>38.711111111000001</v>
      </c>
      <c r="G2" s="1">
        <v>37.794444444</v>
      </c>
      <c r="H2" s="1">
        <v>35.322222222000001</v>
      </c>
      <c r="I2" s="1">
        <v>35.583333332999999</v>
      </c>
      <c r="J2" s="1">
        <v>29.95</v>
      </c>
      <c r="K2" s="1">
        <v>28.222222221999999</v>
      </c>
      <c r="L2" s="1">
        <v>26.7</v>
      </c>
      <c r="M2" s="1">
        <v>25.2</v>
      </c>
      <c r="N2" s="1">
        <v>22.28</v>
      </c>
      <c r="O2" s="1">
        <v>21.32</v>
      </c>
    </row>
    <row r="3" spans="1:15" ht="15.75" thickBot="1" x14ac:dyDescent="0.3">
      <c r="A3" s="4" t="s">
        <v>17</v>
      </c>
      <c r="B3" s="1">
        <v>2</v>
      </c>
      <c r="C3" s="1">
        <v>38.521299999999997</v>
      </c>
      <c r="D3" s="1">
        <v>38.456000000000003</v>
      </c>
      <c r="E3" s="1">
        <v>38.278199999999998</v>
      </c>
      <c r="F3" s="1">
        <v>37.883800000000001</v>
      </c>
      <c r="G3" s="1">
        <v>37.324199999999998</v>
      </c>
      <c r="H3" s="1">
        <v>36.1751</v>
      </c>
      <c r="I3" s="1">
        <v>34.064900000000002</v>
      </c>
      <c r="J3" s="1">
        <v>31.2941</v>
      </c>
      <c r="K3" s="1">
        <v>28.782299999999999</v>
      </c>
      <c r="L3" s="1">
        <v>26.901399999999999</v>
      </c>
      <c r="M3" s="1">
        <v>24.8552</v>
      </c>
      <c r="N3" s="1">
        <v>22.643899999999999</v>
      </c>
      <c r="O3" s="1">
        <v>20.020700000000001</v>
      </c>
    </row>
    <row r="4" spans="1:15" ht="15.75" thickBot="1" x14ac:dyDescent="0.3">
      <c r="A4" s="2" t="s">
        <v>18</v>
      </c>
      <c r="B4" s="5">
        <v>2</v>
      </c>
      <c r="C4" s="5">
        <v>12.646000000000001</v>
      </c>
      <c r="D4" s="5">
        <v>12.6244</v>
      </c>
      <c r="E4" s="5">
        <v>12.569800000000001</v>
      </c>
      <c r="F4" s="5">
        <v>12.4551</v>
      </c>
      <c r="G4" s="5">
        <v>12.2971</v>
      </c>
      <c r="H4" s="5">
        <v>11.9788</v>
      </c>
      <c r="I4" s="5">
        <v>11.402799999999999</v>
      </c>
      <c r="J4" s="5">
        <v>10.653600000000001</v>
      </c>
      <c r="K4" s="5">
        <v>9.9779999999999998</v>
      </c>
      <c r="L4" s="5">
        <v>9.4733999999999998</v>
      </c>
      <c r="M4" s="5">
        <v>8.9254999999999995</v>
      </c>
      <c r="N4" s="5">
        <v>8.3343000000000007</v>
      </c>
      <c r="O4" s="5">
        <v>7.6338999999999997</v>
      </c>
    </row>
    <row r="5" spans="1:15" ht="15.75" thickBot="1" x14ac:dyDescent="0.3">
      <c r="A5" s="2" t="s">
        <v>19</v>
      </c>
      <c r="B5" s="5">
        <v>2</v>
      </c>
      <c r="C5" s="6">
        <v>-0.23330000000000001</v>
      </c>
      <c r="D5" s="6">
        <v>-0.20799999999999999</v>
      </c>
      <c r="E5" s="6">
        <v>-0.1646</v>
      </c>
      <c r="F5" s="6">
        <v>-0.105</v>
      </c>
      <c r="G5" s="6">
        <v>-4.8000000000000001E-2</v>
      </c>
      <c r="H5" s="5">
        <v>3.2500000000000001E-2</v>
      </c>
      <c r="I5" s="5">
        <v>0.13070000000000001</v>
      </c>
      <c r="J5" s="5">
        <v>0.21820000000000001</v>
      </c>
      <c r="K5" s="5">
        <v>0.27689999999999998</v>
      </c>
      <c r="L5" s="5">
        <v>0.31280000000000002</v>
      </c>
      <c r="M5" s="5">
        <v>0.34599999999999997</v>
      </c>
      <c r="N5" s="5">
        <v>0.3765</v>
      </c>
      <c r="O5" s="5">
        <v>0.40710000000000002</v>
      </c>
    </row>
    <row r="6" spans="1:15" x14ac:dyDescent="0.25">
      <c r="A6" s="2"/>
      <c r="B6" s="5"/>
      <c r="C6" s="6"/>
      <c r="D6" s="6"/>
      <c r="E6" s="6"/>
      <c r="F6" s="6"/>
      <c r="G6" s="6"/>
      <c r="H6" s="5"/>
      <c r="I6" s="5"/>
      <c r="J6" s="5"/>
      <c r="K6" s="5"/>
      <c r="L6" s="5"/>
      <c r="M6" s="5"/>
      <c r="N6" s="5"/>
      <c r="O6" s="5"/>
    </row>
    <row r="8" spans="1:15" ht="15.75" thickBot="1" x14ac:dyDescent="0.3"/>
    <row r="9" spans="1:15" x14ac:dyDescent="0.25">
      <c r="E9" s="4" t="s">
        <v>17</v>
      </c>
      <c r="F9" s="2" t="s">
        <v>18</v>
      </c>
      <c r="G9" s="2" t="s">
        <v>19</v>
      </c>
    </row>
    <row r="10" spans="1:15" x14ac:dyDescent="0.25">
      <c r="D10">
        <v>1</v>
      </c>
      <c r="E10">
        <v>38.521299999999997</v>
      </c>
      <c r="F10">
        <v>12.646000000000001</v>
      </c>
      <c r="G10">
        <v>-0.23330000000000001</v>
      </c>
    </row>
    <row r="11" spans="1:15" x14ac:dyDescent="0.25">
      <c r="D11">
        <v>2</v>
      </c>
      <c r="E11">
        <v>38.456000000000003</v>
      </c>
      <c r="F11">
        <v>12.6244</v>
      </c>
      <c r="G11">
        <v>-0.20799999999999999</v>
      </c>
    </row>
    <row r="12" spans="1:15" x14ac:dyDescent="0.25">
      <c r="D12">
        <v>3</v>
      </c>
      <c r="E12">
        <v>38.278199999999998</v>
      </c>
      <c r="F12">
        <v>12.569800000000001</v>
      </c>
      <c r="G12">
        <v>-0.1646</v>
      </c>
    </row>
    <row r="13" spans="1:15" x14ac:dyDescent="0.25">
      <c r="D13">
        <v>4</v>
      </c>
      <c r="E13">
        <v>37.883800000000001</v>
      </c>
      <c r="F13">
        <v>12.4551</v>
      </c>
      <c r="G13">
        <v>-0.105</v>
      </c>
    </row>
    <row r="14" spans="1:15" x14ac:dyDescent="0.25">
      <c r="D14">
        <v>5</v>
      </c>
      <c r="E14">
        <v>37.324199999999998</v>
      </c>
      <c r="F14">
        <v>12.2971</v>
      </c>
      <c r="G14">
        <v>-4.8000000000000001E-2</v>
      </c>
    </row>
    <row r="15" spans="1:15" x14ac:dyDescent="0.25">
      <c r="D15">
        <v>6</v>
      </c>
      <c r="E15">
        <v>36.1751</v>
      </c>
      <c r="F15">
        <v>11.9788</v>
      </c>
      <c r="G15">
        <v>3.2500000000000001E-2</v>
      </c>
    </row>
    <row r="16" spans="1:15" x14ac:dyDescent="0.25">
      <c r="D16">
        <v>7</v>
      </c>
      <c r="E16">
        <v>34.064900000000002</v>
      </c>
      <c r="F16">
        <v>11.402799999999999</v>
      </c>
      <c r="G16">
        <v>0.13070000000000001</v>
      </c>
    </row>
    <row r="17" spans="4:7" x14ac:dyDescent="0.25">
      <c r="D17">
        <v>8</v>
      </c>
      <c r="E17">
        <v>31.2941</v>
      </c>
      <c r="F17">
        <v>10.653600000000001</v>
      </c>
      <c r="G17">
        <v>0.21820000000000001</v>
      </c>
    </row>
    <row r="18" spans="4:7" x14ac:dyDescent="0.25">
      <c r="D18">
        <v>9</v>
      </c>
      <c r="E18">
        <v>28.782299999999999</v>
      </c>
      <c r="F18">
        <v>9.9779999999999998</v>
      </c>
      <c r="G18">
        <v>0.27689999999999998</v>
      </c>
    </row>
    <row r="19" spans="4:7" x14ac:dyDescent="0.25">
      <c r="D19">
        <v>10</v>
      </c>
      <c r="E19">
        <v>26.901399999999999</v>
      </c>
      <c r="F19">
        <v>9.4733999999999998</v>
      </c>
      <c r="G19">
        <v>0.31280000000000002</v>
      </c>
    </row>
    <row r="20" spans="4:7" x14ac:dyDescent="0.25">
      <c r="D20">
        <v>11</v>
      </c>
      <c r="E20">
        <v>24.8552</v>
      </c>
      <c r="F20">
        <v>8.9254999999999995</v>
      </c>
      <c r="G20">
        <v>0.34599999999999997</v>
      </c>
    </row>
    <row r="21" spans="4:7" x14ac:dyDescent="0.25">
      <c r="D21">
        <v>12</v>
      </c>
      <c r="E21">
        <v>22.643899999999999</v>
      </c>
      <c r="F21">
        <v>8.3343000000000007</v>
      </c>
      <c r="G21">
        <v>0.3765</v>
      </c>
    </row>
    <row r="22" spans="4:7" x14ac:dyDescent="0.25">
      <c r="D22">
        <v>13</v>
      </c>
      <c r="E22">
        <v>20.020700000000001</v>
      </c>
      <c r="F22">
        <v>7.6338999999999997</v>
      </c>
      <c r="G22">
        <v>0.40710000000000002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0CC0-BAAA-4AD3-B6F5-F8F663A818C8}">
  <dimension ref="A1:BQ77"/>
  <sheetViews>
    <sheetView tabSelected="1" workbookViewId="0">
      <selection activeCell="P2" sqref="P2:AA68"/>
    </sheetView>
  </sheetViews>
  <sheetFormatPr defaultRowHeight="15" x14ac:dyDescent="0.25"/>
  <cols>
    <col min="1" max="1" width="11.5703125" style="14" customWidth="1"/>
    <col min="2" max="3" width="9.140625" bestFit="1" customWidth="1"/>
    <col min="4" max="4" width="10.140625" bestFit="1" customWidth="1"/>
    <col min="5" max="7" width="9.140625" bestFit="1" customWidth="1"/>
    <col min="8" max="9" width="10.140625" bestFit="1" customWidth="1"/>
    <col min="10" max="10" width="9.140625" bestFit="1" customWidth="1"/>
    <col min="11" max="12" width="10.140625" bestFit="1" customWidth="1"/>
    <col min="13" max="14" width="9.140625" bestFit="1" customWidth="1"/>
    <col min="16" max="27" width="6.85546875" customWidth="1"/>
    <col min="28" max="28" width="7.7109375" customWidth="1"/>
    <col min="29" max="41" width="5.42578125" customWidth="1"/>
    <col min="42" max="55" width="7.7109375" customWidth="1"/>
  </cols>
  <sheetData>
    <row r="1" spans="1:69" ht="45" x14ac:dyDescent="0.25">
      <c r="A1" s="16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38</v>
      </c>
      <c r="T1" s="3" t="s">
        <v>39</v>
      </c>
      <c r="U1" s="3" t="s">
        <v>40</v>
      </c>
      <c r="V1" s="3" t="s">
        <v>41</v>
      </c>
      <c r="W1" s="3" t="s">
        <v>42</v>
      </c>
      <c r="X1" s="3" t="s">
        <v>43</v>
      </c>
      <c r="Y1" s="3" t="s">
        <v>44</v>
      </c>
      <c r="Z1" s="3" t="s">
        <v>45</v>
      </c>
      <c r="AA1" s="3" t="s">
        <v>46</v>
      </c>
      <c r="AB1" s="3" t="s">
        <v>47</v>
      </c>
      <c r="AC1" s="3" t="s">
        <v>48</v>
      </c>
      <c r="AD1" s="3" t="s">
        <v>49</v>
      </c>
      <c r="AE1" s="3" t="s">
        <v>50</v>
      </c>
      <c r="AF1" s="3" t="s">
        <v>51</v>
      </c>
      <c r="AG1" s="3" t="s">
        <v>52</v>
      </c>
      <c r="AH1" s="3" t="s">
        <v>53</v>
      </c>
      <c r="AI1" s="3" t="s">
        <v>54</v>
      </c>
      <c r="AJ1" s="3" t="s">
        <v>55</v>
      </c>
      <c r="AK1" s="3" t="s">
        <v>56</v>
      </c>
      <c r="AL1" s="3" t="s">
        <v>57</v>
      </c>
      <c r="AM1" s="3" t="s">
        <v>58</v>
      </c>
      <c r="AN1" s="3" t="s">
        <v>59</v>
      </c>
      <c r="AO1" s="3" t="s">
        <v>60</v>
      </c>
      <c r="AP1" s="3" t="s">
        <v>61</v>
      </c>
      <c r="AQ1" s="3" t="s">
        <v>62</v>
      </c>
      <c r="AR1" s="3" t="s">
        <v>63</v>
      </c>
      <c r="AS1" s="3" t="s">
        <v>64</v>
      </c>
      <c r="AT1" s="3" t="s">
        <v>65</v>
      </c>
      <c r="AU1" s="3" t="s">
        <v>66</v>
      </c>
      <c r="AV1" s="3" t="s">
        <v>67</v>
      </c>
      <c r="AW1" s="3" t="s">
        <v>68</v>
      </c>
      <c r="AX1" s="3" t="s">
        <v>69</v>
      </c>
      <c r="AY1" s="3" t="s">
        <v>70</v>
      </c>
      <c r="AZ1" s="3" t="s">
        <v>71</v>
      </c>
      <c r="BA1" s="3" t="s">
        <v>72</v>
      </c>
      <c r="BB1" s="3" t="s">
        <v>73</v>
      </c>
      <c r="BC1" s="3" t="s">
        <v>74</v>
      </c>
      <c r="BD1" s="3" t="s">
        <v>61</v>
      </c>
      <c r="BE1" s="3" t="s">
        <v>75</v>
      </c>
      <c r="BF1" s="3" t="s">
        <v>76</v>
      </c>
      <c r="BG1" s="3" t="s">
        <v>77</v>
      </c>
      <c r="BH1" s="3" t="s">
        <v>78</v>
      </c>
      <c r="BI1" s="3" t="s">
        <v>79</v>
      </c>
      <c r="BJ1" s="3" t="s">
        <v>80</v>
      </c>
      <c r="BK1" s="3" t="s">
        <v>81</v>
      </c>
      <c r="BL1" s="3" t="s">
        <v>82</v>
      </c>
      <c r="BM1" s="3" t="s">
        <v>83</v>
      </c>
      <c r="BN1" s="3" t="s">
        <v>84</v>
      </c>
      <c r="BO1" s="3" t="s">
        <v>85</v>
      </c>
      <c r="BP1" s="3" t="s">
        <v>86</v>
      </c>
      <c r="BQ1" s="3" t="s">
        <v>87</v>
      </c>
    </row>
    <row r="2" spans="1:69" x14ac:dyDescent="0.25">
      <c r="A2" s="17">
        <v>0</v>
      </c>
      <c r="B2" s="7">
        <v>1</v>
      </c>
      <c r="C2" s="7">
        <v>1</v>
      </c>
      <c r="D2" s="7">
        <v>1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1</v>
      </c>
      <c r="M2" s="7">
        <v>1</v>
      </c>
      <c r="N2" s="7">
        <v>1</v>
      </c>
      <c r="O2" s="7"/>
      <c r="P2" s="7">
        <f t="shared" ref="P2:P33" si="0">(B2-C2)</f>
        <v>0</v>
      </c>
      <c r="Q2" s="7">
        <f t="shared" ref="Q2:Q33" si="1">(C2-D2)</f>
        <v>0</v>
      </c>
      <c r="R2" s="7">
        <f t="shared" ref="R2:R33" si="2">(D2-E2)</f>
        <v>0</v>
      </c>
      <c r="S2" s="7">
        <f t="shared" ref="S2:S33" si="3">(E2-F2)</f>
        <v>0</v>
      </c>
      <c r="T2" s="7">
        <f t="shared" ref="T2:T33" si="4">(F2-G2)</f>
        <v>0</v>
      </c>
      <c r="U2" s="7">
        <f t="shared" ref="U2:U33" si="5">(G2-H2)</f>
        <v>0</v>
      </c>
      <c r="V2" s="7">
        <f t="shared" ref="V2:V33" si="6">(H2-I2)</f>
        <v>0</v>
      </c>
      <c r="W2" s="7">
        <f t="shared" ref="W2:W33" si="7">(I2-J2)</f>
        <v>0</v>
      </c>
      <c r="X2" s="7">
        <f t="shared" ref="X2:X33" si="8">(J2-K2)</f>
        <v>0</v>
      </c>
      <c r="Y2" s="7">
        <f t="shared" ref="Y2:Y33" si="9">(K2-L2)</f>
        <v>0</v>
      </c>
      <c r="Z2" s="7">
        <f t="shared" ref="Z2:Z33" si="10">(L2-M2)</f>
        <v>0</v>
      </c>
      <c r="AA2" s="7">
        <f t="shared" ref="AA2:AA33" si="11">(M2-N2)</f>
        <v>0</v>
      </c>
      <c r="AB2" s="7"/>
      <c r="AC2" s="7">
        <f t="shared" ref="AC2:AC33" si="12">(B3-B2)</f>
        <v>0</v>
      </c>
      <c r="AD2" s="7">
        <f t="shared" ref="AD2:AD33" si="13">(C3-C2)</f>
        <v>0</v>
      </c>
      <c r="AE2" s="7">
        <f t="shared" ref="AE2:AE33" si="14">(D3-D2)</f>
        <v>0</v>
      </c>
      <c r="AF2" s="7">
        <f t="shared" ref="AF2:AF33" si="15">(E3-E2)</f>
        <v>0</v>
      </c>
      <c r="AG2" s="7">
        <f t="shared" ref="AG2:AG33" si="16">(F3-F2)</f>
        <v>0</v>
      </c>
      <c r="AH2" s="7">
        <f t="shared" ref="AH2:AH33" si="17">(G3-G2)</f>
        <v>0</v>
      </c>
      <c r="AI2" s="7">
        <f t="shared" ref="AI2:AI33" si="18">(H3-H2)</f>
        <v>0</v>
      </c>
      <c r="AJ2" s="7">
        <f t="shared" ref="AJ2:AJ33" si="19">(I3-I2)</f>
        <v>0</v>
      </c>
      <c r="AK2" s="7">
        <f t="shared" ref="AK2:AK33" si="20">(J3-J2)</f>
        <v>0</v>
      </c>
      <c r="AL2" s="7">
        <f t="shared" ref="AL2:AL33" si="21">(K3-K2)</f>
        <v>0</v>
      </c>
      <c r="AM2" s="7">
        <f t="shared" ref="AM2:AM33" si="22">(L3-L2)</f>
        <v>0</v>
      </c>
      <c r="AN2" s="7">
        <f t="shared" ref="AN2:AN33" si="23">(M3-M2)</f>
        <v>0</v>
      </c>
      <c r="AO2" s="7">
        <f t="shared" ref="AO2:AO33" si="24">(N3-N2)</f>
        <v>0</v>
      </c>
      <c r="AP2" s="7"/>
      <c r="AQ2" s="7">
        <f t="shared" ref="AQ2:AQ33" si="25">B2^2</f>
        <v>1</v>
      </c>
      <c r="AR2" s="7">
        <f t="shared" ref="AR2:AR33" si="26">C2^2</f>
        <v>1</v>
      </c>
      <c r="AS2" s="7">
        <f t="shared" ref="AS2:AS33" si="27">D2^2</f>
        <v>1</v>
      </c>
      <c r="AT2" s="7">
        <f t="shared" ref="AT2:AT33" si="28">E2^2</f>
        <v>1</v>
      </c>
      <c r="AU2" s="7">
        <f t="shared" ref="AU2:AU33" si="29">F2^2</f>
        <v>1</v>
      </c>
      <c r="AV2" s="7">
        <f t="shared" ref="AV2:AV33" si="30">G2^2</f>
        <v>1</v>
      </c>
      <c r="AW2" s="7">
        <f t="shared" ref="AW2:AW33" si="31">H2^2</f>
        <v>1</v>
      </c>
      <c r="AX2" s="7">
        <f t="shared" ref="AX2:AX33" si="32">I2^2</f>
        <v>1</v>
      </c>
      <c r="AY2" s="7">
        <f t="shared" ref="AY2:AY33" si="33">J2^2</f>
        <v>1</v>
      </c>
      <c r="AZ2" s="7">
        <f t="shared" ref="AZ2:AZ33" si="34">K2^2</f>
        <v>1</v>
      </c>
      <c r="BA2" s="7">
        <f t="shared" ref="BA2:BA33" si="35">L2^2</f>
        <v>1</v>
      </c>
      <c r="BB2" s="7">
        <f t="shared" ref="BB2:BB33" si="36">M2^2</f>
        <v>1</v>
      </c>
      <c r="BC2" s="7">
        <f t="shared" ref="BC2:BC33" si="37">N2^2</f>
        <v>1</v>
      </c>
      <c r="BD2" s="7"/>
      <c r="BE2" s="7">
        <v>6.1700000000000004E-4</v>
      </c>
      <c r="BF2" s="7">
        <v>5.9599999999999996E-4</v>
      </c>
      <c r="BG2" s="7">
        <v>5.6099999999999998E-4</v>
      </c>
      <c r="BH2" s="7">
        <v>5.13E-4</v>
      </c>
      <c r="BI2" s="7">
        <v>4.6900000000000002E-4</v>
      </c>
      <c r="BJ2" s="7">
        <v>4.0700000000000003E-4</v>
      </c>
      <c r="BK2" s="7">
        <v>3.3300000000000002E-4</v>
      </c>
      <c r="BL2" s="7">
        <v>2.6899999999999998E-4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</row>
    <row r="3" spans="1:69" x14ac:dyDescent="0.25">
      <c r="A3" s="17">
        <v>1</v>
      </c>
      <c r="B3" s="7">
        <v>1</v>
      </c>
      <c r="C3" s="7">
        <v>1</v>
      </c>
      <c r="D3" s="7">
        <v>1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>
        <v>1</v>
      </c>
      <c r="L3" s="7">
        <v>1</v>
      </c>
      <c r="M3" s="7">
        <v>1</v>
      </c>
      <c r="N3" s="7">
        <v>1</v>
      </c>
      <c r="O3" s="7"/>
      <c r="P3" s="7">
        <f t="shared" si="0"/>
        <v>0</v>
      </c>
      <c r="Q3" s="7">
        <f t="shared" si="1"/>
        <v>0</v>
      </c>
      <c r="R3" s="7">
        <f t="shared" si="2"/>
        <v>0</v>
      </c>
      <c r="S3" s="7">
        <f t="shared" si="3"/>
        <v>0</v>
      </c>
      <c r="T3" s="7">
        <f t="shared" si="4"/>
        <v>0</v>
      </c>
      <c r="U3" s="7">
        <f t="shared" si="5"/>
        <v>0</v>
      </c>
      <c r="V3" s="7">
        <f t="shared" si="6"/>
        <v>0</v>
      </c>
      <c r="W3" s="7">
        <f t="shared" si="7"/>
        <v>0</v>
      </c>
      <c r="X3" s="7">
        <f t="shared" si="8"/>
        <v>0</v>
      </c>
      <c r="Y3" s="7">
        <f t="shared" si="9"/>
        <v>0</v>
      </c>
      <c r="Z3" s="7">
        <f t="shared" si="10"/>
        <v>0</v>
      </c>
      <c r="AA3" s="7">
        <f t="shared" si="11"/>
        <v>0</v>
      </c>
      <c r="AB3" s="7"/>
      <c r="AC3" s="7">
        <f t="shared" si="12"/>
        <v>0</v>
      </c>
      <c r="AD3" s="7">
        <f t="shared" si="13"/>
        <v>0</v>
      </c>
      <c r="AE3" s="7">
        <f t="shared" si="14"/>
        <v>0</v>
      </c>
      <c r="AF3" s="7">
        <f t="shared" si="15"/>
        <v>0</v>
      </c>
      <c r="AG3" s="7">
        <f t="shared" si="16"/>
        <v>0</v>
      </c>
      <c r="AH3" s="7">
        <f t="shared" si="17"/>
        <v>0</v>
      </c>
      <c r="AI3" s="7">
        <f t="shared" si="18"/>
        <v>0</v>
      </c>
      <c r="AJ3" s="7">
        <f t="shared" si="19"/>
        <v>0</v>
      </c>
      <c r="AK3" s="7">
        <f t="shared" si="20"/>
        <v>0</v>
      </c>
      <c r="AL3" s="7">
        <f t="shared" si="21"/>
        <v>0</v>
      </c>
      <c r="AM3" s="7">
        <f t="shared" si="22"/>
        <v>0</v>
      </c>
      <c r="AN3" s="7">
        <f t="shared" si="23"/>
        <v>0</v>
      </c>
      <c r="AO3" s="7">
        <f t="shared" si="24"/>
        <v>1</v>
      </c>
      <c r="AP3" s="7"/>
      <c r="AQ3" s="7">
        <f t="shared" si="25"/>
        <v>1</v>
      </c>
      <c r="AR3" s="7">
        <f t="shared" si="26"/>
        <v>1</v>
      </c>
      <c r="AS3" s="7">
        <f t="shared" si="27"/>
        <v>1</v>
      </c>
      <c r="AT3" s="7">
        <f t="shared" si="28"/>
        <v>1</v>
      </c>
      <c r="AU3" s="7">
        <f t="shared" si="29"/>
        <v>1</v>
      </c>
      <c r="AV3" s="7">
        <f t="shared" si="30"/>
        <v>1</v>
      </c>
      <c r="AW3" s="7">
        <f t="shared" si="31"/>
        <v>1</v>
      </c>
      <c r="AX3" s="7">
        <f t="shared" si="32"/>
        <v>1</v>
      </c>
      <c r="AY3" s="7">
        <f t="shared" si="33"/>
        <v>1</v>
      </c>
      <c r="AZ3" s="7">
        <f t="shared" si="34"/>
        <v>1</v>
      </c>
      <c r="BA3" s="7">
        <f t="shared" si="35"/>
        <v>1</v>
      </c>
      <c r="BB3" s="7">
        <f t="shared" si="36"/>
        <v>1</v>
      </c>
      <c r="BC3" s="7">
        <f t="shared" si="37"/>
        <v>1</v>
      </c>
      <c r="BD3" s="7"/>
      <c r="BE3" s="7">
        <v>7.4299999999999995E-4</v>
      </c>
      <c r="BF3" s="7">
        <v>7.2000000000000005E-4</v>
      </c>
      <c r="BG3" s="7">
        <v>6.8300000000000001E-4</v>
      </c>
      <c r="BH3" s="7">
        <v>6.3299999999999999E-4</v>
      </c>
      <c r="BI3" s="7">
        <v>5.8699999999999996E-4</v>
      </c>
      <c r="BJ3" s="7">
        <v>5.2400000000000005E-4</v>
      </c>
      <c r="BK3" s="7">
        <v>4.55E-4</v>
      </c>
      <c r="BL3" s="7">
        <v>3.0200000000000002E-4</v>
      </c>
      <c r="BM3" s="7">
        <v>1.8100000000000001E-4</v>
      </c>
      <c r="BN3" s="7">
        <v>0</v>
      </c>
      <c r="BO3" s="7">
        <v>0</v>
      </c>
      <c r="BP3" s="7">
        <v>0</v>
      </c>
      <c r="BQ3" s="7">
        <v>0</v>
      </c>
    </row>
    <row r="4" spans="1:69" x14ac:dyDescent="0.25">
      <c r="A4" s="17">
        <v>2</v>
      </c>
      <c r="B4" s="7">
        <v>1</v>
      </c>
      <c r="C4" s="7">
        <v>1</v>
      </c>
      <c r="D4" s="7">
        <v>1</v>
      </c>
      <c r="E4" s="7">
        <v>1</v>
      </c>
      <c r="F4" s="7">
        <v>1</v>
      </c>
      <c r="G4" s="7">
        <v>1</v>
      </c>
      <c r="H4" s="7">
        <v>1</v>
      </c>
      <c r="I4" s="7">
        <v>1</v>
      </c>
      <c r="J4" s="7">
        <v>1</v>
      </c>
      <c r="K4" s="7">
        <v>1</v>
      </c>
      <c r="L4" s="7">
        <v>1</v>
      </c>
      <c r="M4" s="7">
        <v>1</v>
      </c>
      <c r="N4" s="7">
        <v>2</v>
      </c>
      <c r="O4" s="7"/>
      <c r="P4" s="7">
        <f t="shared" si="0"/>
        <v>0</v>
      </c>
      <c r="Q4" s="7">
        <f t="shared" si="1"/>
        <v>0</v>
      </c>
      <c r="R4" s="7">
        <f t="shared" si="2"/>
        <v>0</v>
      </c>
      <c r="S4" s="7">
        <f t="shared" si="3"/>
        <v>0</v>
      </c>
      <c r="T4" s="7">
        <f t="shared" si="4"/>
        <v>0</v>
      </c>
      <c r="U4" s="7">
        <f t="shared" si="5"/>
        <v>0</v>
      </c>
      <c r="V4" s="7">
        <f t="shared" si="6"/>
        <v>0</v>
      </c>
      <c r="W4" s="7">
        <f t="shared" si="7"/>
        <v>0</v>
      </c>
      <c r="X4" s="7">
        <f t="shared" si="8"/>
        <v>0</v>
      </c>
      <c r="Y4" s="7">
        <f t="shared" si="9"/>
        <v>0</v>
      </c>
      <c r="Z4" s="7">
        <f t="shared" si="10"/>
        <v>0</v>
      </c>
      <c r="AA4" s="7">
        <f t="shared" si="11"/>
        <v>-1</v>
      </c>
      <c r="AB4" s="7"/>
      <c r="AC4" s="7">
        <f t="shared" si="12"/>
        <v>0</v>
      </c>
      <c r="AD4" s="7">
        <f t="shared" si="13"/>
        <v>0</v>
      </c>
      <c r="AE4" s="7">
        <f t="shared" si="14"/>
        <v>0</v>
      </c>
      <c r="AF4" s="7">
        <f t="shared" si="15"/>
        <v>0</v>
      </c>
      <c r="AG4" s="7">
        <f t="shared" si="16"/>
        <v>1</v>
      </c>
      <c r="AH4" s="7">
        <f t="shared" si="17"/>
        <v>1</v>
      </c>
      <c r="AI4" s="7">
        <f t="shared" si="18"/>
        <v>1</v>
      </c>
      <c r="AJ4" s="7">
        <f t="shared" si="19"/>
        <v>1</v>
      </c>
      <c r="AK4" s="7">
        <f t="shared" si="20"/>
        <v>1</v>
      </c>
      <c r="AL4" s="7">
        <f t="shared" si="21"/>
        <v>1</v>
      </c>
      <c r="AM4" s="7">
        <f t="shared" si="22"/>
        <v>1</v>
      </c>
      <c r="AN4" s="7">
        <f t="shared" si="23"/>
        <v>1</v>
      </c>
      <c r="AO4" s="7">
        <f t="shared" si="24"/>
        <v>0</v>
      </c>
      <c r="AP4" s="7"/>
      <c r="AQ4" s="7">
        <f t="shared" si="25"/>
        <v>1</v>
      </c>
      <c r="AR4" s="7">
        <f t="shared" si="26"/>
        <v>1</v>
      </c>
      <c r="AS4" s="7">
        <f t="shared" si="27"/>
        <v>1</v>
      </c>
      <c r="AT4" s="7">
        <f t="shared" si="28"/>
        <v>1</v>
      </c>
      <c r="AU4" s="7">
        <f t="shared" si="29"/>
        <v>1</v>
      </c>
      <c r="AV4" s="7">
        <f t="shared" si="30"/>
        <v>1</v>
      </c>
      <c r="AW4" s="7">
        <f t="shared" si="31"/>
        <v>1</v>
      </c>
      <c r="AX4" s="7">
        <f t="shared" si="32"/>
        <v>1</v>
      </c>
      <c r="AY4" s="7">
        <f t="shared" si="33"/>
        <v>1</v>
      </c>
      <c r="AZ4" s="7">
        <f t="shared" si="34"/>
        <v>1</v>
      </c>
      <c r="BA4" s="7">
        <f t="shared" si="35"/>
        <v>1</v>
      </c>
      <c r="BB4" s="7">
        <f t="shared" si="36"/>
        <v>1</v>
      </c>
      <c r="BC4" s="7">
        <f t="shared" si="37"/>
        <v>4</v>
      </c>
      <c r="BD4" s="7"/>
      <c r="BE4" s="7">
        <v>8.8999999999999995E-4</v>
      </c>
      <c r="BF4" s="7">
        <v>8.6700000000000004E-4</v>
      </c>
      <c r="BG4" s="7">
        <v>8.2799999999999996E-4</v>
      </c>
      <c r="BH4" s="7">
        <v>7.76E-4</v>
      </c>
      <c r="BI4" s="7">
        <v>7.2900000000000005E-4</v>
      </c>
      <c r="BJ4" s="7">
        <v>6.7000000000000002E-4</v>
      </c>
      <c r="BK4" s="7">
        <v>6.1399999999999996E-4</v>
      </c>
      <c r="BL4" s="7">
        <v>4.1100000000000002E-4</v>
      </c>
      <c r="BM4" s="7">
        <v>4.15E-4</v>
      </c>
      <c r="BN4" s="7">
        <v>3.8200000000000002E-4</v>
      </c>
      <c r="BO4" s="7">
        <v>2.5599999999999999E-4</v>
      </c>
      <c r="BP4" s="7">
        <v>3.4299999999999999E-4</v>
      </c>
      <c r="BQ4" s="7">
        <v>1.0660000000000001E-3</v>
      </c>
    </row>
    <row r="5" spans="1:69" x14ac:dyDescent="0.25">
      <c r="A5" s="17">
        <v>3</v>
      </c>
      <c r="B5" s="7">
        <v>1</v>
      </c>
      <c r="C5" s="7">
        <v>1</v>
      </c>
      <c r="D5" s="7">
        <v>1</v>
      </c>
      <c r="E5" s="7">
        <v>1</v>
      </c>
      <c r="F5" s="7">
        <v>2</v>
      </c>
      <c r="G5" s="7">
        <v>2</v>
      </c>
      <c r="H5" s="7">
        <v>2</v>
      </c>
      <c r="I5" s="7">
        <v>2</v>
      </c>
      <c r="J5" s="7">
        <v>2</v>
      </c>
      <c r="K5" s="7">
        <v>2</v>
      </c>
      <c r="L5" s="7">
        <v>2</v>
      </c>
      <c r="M5" s="7">
        <v>2</v>
      </c>
      <c r="N5" s="7">
        <v>2</v>
      </c>
      <c r="O5" s="7"/>
      <c r="P5" s="7">
        <f t="shared" si="0"/>
        <v>0</v>
      </c>
      <c r="Q5" s="7">
        <f t="shared" si="1"/>
        <v>0</v>
      </c>
      <c r="R5" s="7">
        <f t="shared" si="2"/>
        <v>0</v>
      </c>
      <c r="S5" s="7">
        <f t="shared" si="3"/>
        <v>-1</v>
      </c>
      <c r="T5" s="7">
        <f t="shared" si="4"/>
        <v>0</v>
      </c>
      <c r="U5" s="7">
        <f t="shared" si="5"/>
        <v>0</v>
      </c>
      <c r="V5" s="7">
        <f t="shared" si="6"/>
        <v>0</v>
      </c>
      <c r="W5" s="7">
        <f t="shared" si="7"/>
        <v>0</v>
      </c>
      <c r="X5" s="7">
        <f t="shared" si="8"/>
        <v>0</v>
      </c>
      <c r="Y5" s="7">
        <f t="shared" si="9"/>
        <v>0</v>
      </c>
      <c r="Z5" s="7">
        <f t="shared" si="10"/>
        <v>0</v>
      </c>
      <c r="AA5" s="7">
        <f t="shared" si="11"/>
        <v>0</v>
      </c>
      <c r="AB5" s="7"/>
      <c r="AC5" s="7">
        <f t="shared" si="12"/>
        <v>1</v>
      </c>
      <c r="AD5" s="7">
        <f t="shared" si="13"/>
        <v>1</v>
      </c>
      <c r="AE5" s="7">
        <f t="shared" si="14"/>
        <v>1</v>
      </c>
      <c r="AF5" s="7">
        <f t="shared" si="15"/>
        <v>1</v>
      </c>
      <c r="AG5" s="7">
        <f t="shared" si="16"/>
        <v>0</v>
      </c>
      <c r="AH5" s="7">
        <f t="shared" si="17"/>
        <v>0</v>
      </c>
      <c r="AI5" s="7">
        <f t="shared" si="18"/>
        <v>0</v>
      </c>
      <c r="AJ5" s="7">
        <f t="shared" si="19"/>
        <v>0</v>
      </c>
      <c r="AK5" s="7">
        <f t="shared" si="20"/>
        <v>0</v>
      </c>
      <c r="AL5" s="7">
        <f t="shared" si="21"/>
        <v>0</v>
      </c>
      <c r="AM5" s="7">
        <f t="shared" si="22"/>
        <v>0</v>
      </c>
      <c r="AN5" s="7">
        <f t="shared" si="23"/>
        <v>0</v>
      </c>
      <c r="AO5" s="7">
        <f t="shared" si="24"/>
        <v>1</v>
      </c>
      <c r="AP5" s="7"/>
      <c r="AQ5" s="7">
        <f t="shared" si="25"/>
        <v>1</v>
      </c>
      <c r="AR5" s="7">
        <f t="shared" si="26"/>
        <v>1</v>
      </c>
      <c r="AS5" s="7">
        <f t="shared" si="27"/>
        <v>1</v>
      </c>
      <c r="AT5" s="7">
        <f t="shared" si="28"/>
        <v>1</v>
      </c>
      <c r="AU5" s="7">
        <f t="shared" si="29"/>
        <v>4</v>
      </c>
      <c r="AV5" s="7">
        <f t="shared" si="30"/>
        <v>4</v>
      </c>
      <c r="AW5" s="7">
        <f t="shared" si="31"/>
        <v>4</v>
      </c>
      <c r="AX5" s="7">
        <f t="shared" si="32"/>
        <v>4</v>
      </c>
      <c r="AY5" s="7">
        <f t="shared" si="33"/>
        <v>4</v>
      </c>
      <c r="AZ5" s="7">
        <f t="shared" si="34"/>
        <v>4</v>
      </c>
      <c r="BA5" s="7">
        <f t="shared" si="35"/>
        <v>4</v>
      </c>
      <c r="BB5" s="7">
        <f t="shared" si="36"/>
        <v>4</v>
      </c>
      <c r="BC5" s="7">
        <f t="shared" si="37"/>
        <v>4</v>
      </c>
      <c r="BD5" s="7"/>
      <c r="BE5" s="7">
        <v>1.0640000000000001E-3</v>
      </c>
      <c r="BF5" s="7">
        <v>1.039E-3</v>
      </c>
      <c r="BG5" s="7">
        <v>9.990000000000001E-4</v>
      </c>
      <c r="BH5" s="7">
        <v>9.4700000000000003E-4</v>
      </c>
      <c r="BI5" s="7">
        <v>9.0200000000000002E-4</v>
      </c>
      <c r="BJ5" s="7">
        <v>8.4900000000000004E-4</v>
      </c>
      <c r="BK5" s="7">
        <v>7.6099999999999996E-4</v>
      </c>
      <c r="BL5" s="7">
        <v>6.0499999999999996E-4</v>
      </c>
      <c r="BM5" s="7">
        <v>6.7199999999999996E-4</v>
      </c>
      <c r="BN5" s="7">
        <v>7.9299999999999998E-4</v>
      </c>
      <c r="BO5" s="7">
        <v>1.039E-3</v>
      </c>
      <c r="BP5" s="7">
        <v>1.5330000000000001E-3</v>
      </c>
      <c r="BQ5" s="7">
        <v>2.6819999999999999E-3</v>
      </c>
    </row>
    <row r="6" spans="1:69" x14ac:dyDescent="0.25">
      <c r="A6" s="17">
        <v>4</v>
      </c>
      <c r="B6" s="7">
        <v>2</v>
      </c>
      <c r="C6" s="7">
        <v>2</v>
      </c>
      <c r="D6" s="7">
        <v>2</v>
      </c>
      <c r="E6" s="7">
        <v>2</v>
      </c>
      <c r="F6" s="7">
        <v>2</v>
      </c>
      <c r="G6" s="7">
        <v>2</v>
      </c>
      <c r="H6" s="7">
        <v>2</v>
      </c>
      <c r="I6" s="7">
        <v>2</v>
      </c>
      <c r="J6" s="7">
        <v>2</v>
      </c>
      <c r="K6" s="7">
        <v>2</v>
      </c>
      <c r="L6" s="7">
        <v>2</v>
      </c>
      <c r="M6" s="7">
        <v>2</v>
      </c>
      <c r="N6" s="7">
        <v>3</v>
      </c>
      <c r="O6" s="7"/>
      <c r="P6" s="7">
        <f t="shared" si="0"/>
        <v>0</v>
      </c>
      <c r="Q6" s="7">
        <f t="shared" si="1"/>
        <v>0</v>
      </c>
      <c r="R6" s="7">
        <f t="shared" si="2"/>
        <v>0</v>
      </c>
      <c r="S6" s="7">
        <f t="shared" si="3"/>
        <v>0</v>
      </c>
      <c r="T6" s="7">
        <f t="shared" si="4"/>
        <v>0</v>
      </c>
      <c r="U6" s="7">
        <f t="shared" si="5"/>
        <v>0</v>
      </c>
      <c r="V6" s="7">
        <f t="shared" si="6"/>
        <v>0</v>
      </c>
      <c r="W6" s="7">
        <f t="shared" si="7"/>
        <v>0</v>
      </c>
      <c r="X6" s="7">
        <f t="shared" si="8"/>
        <v>0</v>
      </c>
      <c r="Y6" s="7">
        <f t="shared" si="9"/>
        <v>0</v>
      </c>
      <c r="Z6" s="7">
        <f t="shared" si="10"/>
        <v>0</v>
      </c>
      <c r="AA6" s="7">
        <f t="shared" si="11"/>
        <v>-1</v>
      </c>
      <c r="AB6" s="7"/>
      <c r="AC6" s="7">
        <f t="shared" si="12"/>
        <v>0</v>
      </c>
      <c r="AD6" s="7">
        <f t="shared" si="13"/>
        <v>0</v>
      </c>
      <c r="AE6" s="7">
        <f t="shared" si="14"/>
        <v>0</v>
      </c>
      <c r="AF6" s="7">
        <f t="shared" si="15"/>
        <v>0</v>
      </c>
      <c r="AG6" s="7">
        <f t="shared" si="16"/>
        <v>0</v>
      </c>
      <c r="AH6" s="7">
        <f t="shared" si="17"/>
        <v>0</v>
      </c>
      <c r="AI6" s="7">
        <f t="shared" si="18"/>
        <v>0</v>
      </c>
      <c r="AJ6" s="7">
        <f t="shared" si="19"/>
        <v>0</v>
      </c>
      <c r="AK6" s="7">
        <f t="shared" si="20"/>
        <v>0</v>
      </c>
      <c r="AL6" s="7">
        <f t="shared" si="21"/>
        <v>0</v>
      </c>
      <c r="AM6" s="7">
        <f t="shared" si="22"/>
        <v>0</v>
      </c>
      <c r="AN6" s="7">
        <f t="shared" si="23"/>
        <v>1</v>
      </c>
      <c r="AO6" s="7">
        <f t="shared" si="24"/>
        <v>0</v>
      </c>
      <c r="AP6" s="7"/>
      <c r="AQ6" s="7">
        <f t="shared" si="25"/>
        <v>4</v>
      </c>
      <c r="AR6" s="7">
        <f t="shared" si="26"/>
        <v>4</v>
      </c>
      <c r="AS6" s="7">
        <f t="shared" si="27"/>
        <v>4</v>
      </c>
      <c r="AT6" s="7">
        <f t="shared" si="28"/>
        <v>4</v>
      </c>
      <c r="AU6" s="7">
        <f t="shared" si="29"/>
        <v>4</v>
      </c>
      <c r="AV6" s="7">
        <f t="shared" si="30"/>
        <v>4</v>
      </c>
      <c r="AW6" s="7">
        <f t="shared" si="31"/>
        <v>4</v>
      </c>
      <c r="AX6" s="7">
        <f t="shared" si="32"/>
        <v>4</v>
      </c>
      <c r="AY6" s="7">
        <f t="shared" si="33"/>
        <v>4</v>
      </c>
      <c r="AZ6" s="7">
        <f t="shared" si="34"/>
        <v>4</v>
      </c>
      <c r="BA6" s="7">
        <f t="shared" si="35"/>
        <v>4</v>
      </c>
      <c r="BB6" s="7">
        <f t="shared" si="36"/>
        <v>4</v>
      </c>
      <c r="BC6" s="7">
        <f t="shared" si="37"/>
        <v>9</v>
      </c>
      <c r="BD6" s="7"/>
      <c r="BE6" s="7">
        <v>1.266E-3</v>
      </c>
      <c r="BF6" s="7">
        <v>1.2409999999999999E-3</v>
      </c>
      <c r="BG6" s="7">
        <v>1.1999999999999999E-3</v>
      </c>
      <c r="BH6" s="7">
        <v>1.1490000000000001E-3</v>
      </c>
      <c r="BI6" s="7">
        <v>1.108E-3</v>
      </c>
      <c r="BJ6" s="7">
        <v>1.0679999999999999E-3</v>
      </c>
      <c r="BK6" s="7">
        <v>8.1599999999999999E-4</v>
      </c>
      <c r="BL6" s="7">
        <v>8.6600000000000002E-4</v>
      </c>
      <c r="BM6" s="7">
        <v>1.0269999999999999E-3</v>
      </c>
      <c r="BN6" s="7">
        <v>1.2620000000000001E-3</v>
      </c>
      <c r="BO6" s="7">
        <v>1.699E-3</v>
      </c>
      <c r="BP6" s="7">
        <v>2.5230000000000001E-3</v>
      </c>
      <c r="BQ6" s="7">
        <v>4.3480000000000003E-3</v>
      </c>
    </row>
    <row r="7" spans="1:69" x14ac:dyDescent="0.25">
      <c r="A7" s="17">
        <v>5</v>
      </c>
      <c r="B7" s="7">
        <v>2</v>
      </c>
      <c r="C7" s="7">
        <v>2</v>
      </c>
      <c r="D7" s="7">
        <v>2</v>
      </c>
      <c r="E7" s="7">
        <v>2</v>
      </c>
      <c r="F7" s="7">
        <v>2</v>
      </c>
      <c r="G7" s="7">
        <v>2</v>
      </c>
      <c r="H7" s="7">
        <v>2</v>
      </c>
      <c r="I7" s="7">
        <v>2</v>
      </c>
      <c r="J7" s="7">
        <v>2</v>
      </c>
      <c r="K7" s="7">
        <v>2</v>
      </c>
      <c r="L7" s="7">
        <v>2</v>
      </c>
      <c r="M7" s="7">
        <v>3</v>
      </c>
      <c r="N7" s="7">
        <v>3</v>
      </c>
      <c r="O7" s="7"/>
      <c r="P7" s="7">
        <f t="shared" si="0"/>
        <v>0</v>
      </c>
      <c r="Q7" s="7">
        <f t="shared" si="1"/>
        <v>0</v>
      </c>
      <c r="R7" s="7">
        <f t="shared" si="2"/>
        <v>0</v>
      </c>
      <c r="S7" s="7">
        <f t="shared" si="3"/>
        <v>0</v>
      </c>
      <c r="T7" s="7">
        <f t="shared" si="4"/>
        <v>0</v>
      </c>
      <c r="U7" s="7">
        <f t="shared" si="5"/>
        <v>0</v>
      </c>
      <c r="V7" s="7">
        <f t="shared" si="6"/>
        <v>0</v>
      </c>
      <c r="W7" s="7">
        <f t="shared" si="7"/>
        <v>0</v>
      </c>
      <c r="X7" s="7">
        <f t="shared" si="8"/>
        <v>0</v>
      </c>
      <c r="Y7" s="7">
        <f t="shared" si="9"/>
        <v>0</v>
      </c>
      <c r="Z7" s="7">
        <f t="shared" si="10"/>
        <v>-1</v>
      </c>
      <c r="AA7" s="7">
        <f t="shared" si="11"/>
        <v>0</v>
      </c>
      <c r="AB7" s="7"/>
      <c r="AC7" s="7">
        <f t="shared" si="12"/>
        <v>0</v>
      </c>
      <c r="AD7" s="7">
        <f t="shared" si="13"/>
        <v>0</v>
      </c>
      <c r="AE7" s="7">
        <f t="shared" si="14"/>
        <v>0</v>
      </c>
      <c r="AF7" s="7">
        <f t="shared" si="15"/>
        <v>0</v>
      </c>
      <c r="AG7" s="7">
        <f t="shared" si="16"/>
        <v>0</v>
      </c>
      <c r="AH7" s="7">
        <f t="shared" si="17"/>
        <v>0</v>
      </c>
      <c r="AI7" s="7">
        <f t="shared" si="18"/>
        <v>0</v>
      </c>
      <c r="AJ7" s="7">
        <f t="shared" si="19"/>
        <v>1</v>
      </c>
      <c r="AK7" s="7">
        <f t="shared" si="20"/>
        <v>1</v>
      </c>
      <c r="AL7" s="7">
        <f t="shared" si="21"/>
        <v>1</v>
      </c>
      <c r="AM7" s="7">
        <f t="shared" si="22"/>
        <v>1</v>
      </c>
      <c r="AN7" s="7">
        <f t="shared" si="23"/>
        <v>0</v>
      </c>
      <c r="AO7" s="7">
        <f t="shared" si="24"/>
        <v>1</v>
      </c>
      <c r="AP7" s="7"/>
      <c r="AQ7" s="7">
        <f t="shared" si="25"/>
        <v>4</v>
      </c>
      <c r="AR7" s="7">
        <f t="shared" si="26"/>
        <v>4</v>
      </c>
      <c r="AS7" s="7">
        <f t="shared" si="27"/>
        <v>4</v>
      </c>
      <c r="AT7" s="7">
        <f t="shared" si="28"/>
        <v>4</v>
      </c>
      <c r="AU7" s="7">
        <f t="shared" si="29"/>
        <v>4</v>
      </c>
      <c r="AV7" s="7">
        <f t="shared" si="30"/>
        <v>4</v>
      </c>
      <c r="AW7" s="7">
        <f t="shared" si="31"/>
        <v>4</v>
      </c>
      <c r="AX7" s="7">
        <f t="shared" si="32"/>
        <v>4</v>
      </c>
      <c r="AY7" s="7">
        <f t="shared" si="33"/>
        <v>4</v>
      </c>
      <c r="AZ7" s="7">
        <f t="shared" si="34"/>
        <v>4</v>
      </c>
      <c r="BA7" s="7">
        <f t="shared" si="35"/>
        <v>4</v>
      </c>
      <c r="BB7" s="7">
        <f t="shared" si="36"/>
        <v>9</v>
      </c>
      <c r="BC7" s="7">
        <f t="shared" si="37"/>
        <v>9</v>
      </c>
      <c r="BD7" s="7"/>
      <c r="BE7" s="7">
        <v>1.5009999999999999E-3</v>
      </c>
      <c r="BF7" s="7">
        <v>1.4760000000000001E-3</v>
      </c>
      <c r="BG7" s="7">
        <v>1.436E-3</v>
      </c>
      <c r="BH7" s="7">
        <v>1.3879999999999999E-3</v>
      </c>
      <c r="BI7" s="7">
        <v>1.354E-3</v>
      </c>
      <c r="BJ7" s="7">
        <v>1.25E-3</v>
      </c>
      <c r="BK7" s="7">
        <v>1.072E-3</v>
      </c>
      <c r="BL7" s="7">
        <v>1.2080000000000001E-3</v>
      </c>
      <c r="BM7" s="7">
        <v>1.503E-3</v>
      </c>
      <c r="BN7" s="7">
        <v>1.897E-3</v>
      </c>
      <c r="BO7" s="7">
        <v>2.594E-3</v>
      </c>
      <c r="BP7" s="7">
        <v>3.859E-3</v>
      </c>
      <c r="BQ7" s="7">
        <v>6.5570000000000003E-3</v>
      </c>
    </row>
    <row r="8" spans="1:69" x14ac:dyDescent="0.25">
      <c r="A8" s="17">
        <v>6</v>
      </c>
      <c r="B8" s="7">
        <v>2</v>
      </c>
      <c r="C8" s="7">
        <v>2</v>
      </c>
      <c r="D8" s="7">
        <v>2</v>
      </c>
      <c r="E8" s="7">
        <v>2</v>
      </c>
      <c r="F8" s="7">
        <v>2</v>
      </c>
      <c r="G8" s="7">
        <v>2</v>
      </c>
      <c r="H8" s="7">
        <v>2</v>
      </c>
      <c r="I8" s="7">
        <v>3</v>
      </c>
      <c r="J8" s="7">
        <v>3</v>
      </c>
      <c r="K8" s="7">
        <v>3</v>
      </c>
      <c r="L8" s="7">
        <v>3</v>
      </c>
      <c r="M8" s="7">
        <v>3</v>
      </c>
      <c r="N8" s="7">
        <v>4</v>
      </c>
      <c r="O8" s="7"/>
      <c r="P8" s="7">
        <f t="shared" si="0"/>
        <v>0</v>
      </c>
      <c r="Q8" s="7">
        <f t="shared" si="1"/>
        <v>0</v>
      </c>
      <c r="R8" s="7">
        <f t="shared" si="2"/>
        <v>0</v>
      </c>
      <c r="S8" s="7">
        <f t="shared" si="3"/>
        <v>0</v>
      </c>
      <c r="T8" s="7">
        <f t="shared" si="4"/>
        <v>0</v>
      </c>
      <c r="U8" s="7">
        <f t="shared" si="5"/>
        <v>0</v>
      </c>
      <c r="V8" s="7">
        <f t="shared" si="6"/>
        <v>-1</v>
      </c>
      <c r="W8" s="7">
        <f t="shared" si="7"/>
        <v>0</v>
      </c>
      <c r="X8" s="7">
        <f t="shared" si="8"/>
        <v>0</v>
      </c>
      <c r="Y8" s="7">
        <f t="shared" si="9"/>
        <v>0</v>
      </c>
      <c r="Z8" s="7">
        <f t="shared" si="10"/>
        <v>0</v>
      </c>
      <c r="AA8" s="7">
        <f t="shared" si="11"/>
        <v>-1</v>
      </c>
      <c r="AB8" s="7"/>
      <c r="AC8" s="7">
        <f t="shared" si="12"/>
        <v>0</v>
      </c>
      <c r="AD8" s="7">
        <f t="shared" si="13"/>
        <v>0</v>
      </c>
      <c r="AE8" s="7">
        <f t="shared" si="14"/>
        <v>0</v>
      </c>
      <c r="AF8" s="7">
        <f t="shared" si="15"/>
        <v>0</v>
      </c>
      <c r="AG8" s="7">
        <f t="shared" si="16"/>
        <v>1</v>
      </c>
      <c r="AH8" s="7">
        <f t="shared" si="17"/>
        <v>1</v>
      </c>
      <c r="AI8" s="7">
        <f t="shared" si="18"/>
        <v>1</v>
      </c>
      <c r="AJ8" s="7">
        <f t="shared" si="19"/>
        <v>0</v>
      </c>
      <c r="AK8" s="7">
        <f t="shared" si="20"/>
        <v>0</v>
      </c>
      <c r="AL8" s="7">
        <f t="shared" si="21"/>
        <v>0</v>
      </c>
      <c r="AM8" s="7">
        <f t="shared" si="22"/>
        <v>0</v>
      </c>
      <c r="AN8" s="7">
        <f t="shared" si="23"/>
        <v>1</v>
      </c>
      <c r="AO8" s="7">
        <f t="shared" si="24"/>
        <v>0</v>
      </c>
      <c r="AP8" s="7"/>
      <c r="AQ8" s="7">
        <f t="shared" si="25"/>
        <v>4</v>
      </c>
      <c r="AR8" s="7">
        <f t="shared" si="26"/>
        <v>4</v>
      </c>
      <c r="AS8" s="7">
        <f t="shared" si="27"/>
        <v>4</v>
      </c>
      <c r="AT8" s="7">
        <f t="shared" si="28"/>
        <v>4</v>
      </c>
      <c r="AU8" s="7">
        <f t="shared" si="29"/>
        <v>4</v>
      </c>
      <c r="AV8" s="7">
        <f t="shared" si="30"/>
        <v>4</v>
      </c>
      <c r="AW8" s="7">
        <f t="shared" si="31"/>
        <v>4</v>
      </c>
      <c r="AX8" s="7">
        <f t="shared" si="32"/>
        <v>9</v>
      </c>
      <c r="AY8" s="7">
        <f t="shared" si="33"/>
        <v>9</v>
      </c>
      <c r="AZ8" s="7">
        <f t="shared" si="34"/>
        <v>9</v>
      </c>
      <c r="BA8" s="7">
        <f t="shared" si="35"/>
        <v>9</v>
      </c>
      <c r="BB8" s="7">
        <f t="shared" si="36"/>
        <v>9</v>
      </c>
      <c r="BC8" s="7">
        <f t="shared" si="37"/>
        <v>16</v>
      </c>
      <c r="BD8" s="7"/>
      <c r="BE8" s="7">
        <v>1.774E-3</v>
      </c>
      <c r="BF8" s="7">
        <v>1.7489999999999999E-3</v>
      </c>
      <c r="BG8" s="7">
        <v>1.7099999999999999E-3</v>
      </c>
      <c r="BH8" s="7">
        <v>1.668E-3</v>
      </c>
      <c r="BI8" s="7">
        <v>1.6440000000000001E-3</v>
      </c>
      <c r="BJ8" s="7">
        <v>1.333E-3</v>
      </c>
      <c r="BK8" s="7">
        <v>1.3910000000000001E-3</v>
      </c>
      <c r="BL8" s="7">
        <v>1.645E-3</v>
      </c>
      <c r="BM8" s="7">
        <v>2.124E-3</v>
      </c>
      <c r="BN8" s="7">
        <v>2.728E-3</v>
      </c>
      <c r="BO8" s="7">
        <v>3.7659999999999998E-3</v>
      </c>
      <c r="BP8" s="7">
        <v>5.5909999999999996E-3</v>
      </c>
      <c r="BQ8" s="7">
        <v>9.3509999999999999E-3</v>
      </c>
    </row>
    <row r="9" spans="1:69" x14ac:dyDescent="0.25">
      <c r="A9" s="17">
        <v>7</v>
      </c>
      <c r="B9" s="7">
        <v>2</v>
      </c>
      <c r="C9" s="7">
        <v>2</v>
      </c>
      <c r="D9" s="7">
        <v>2</v>
      </c>
      <c r="E9" s="7">
        <v>2</v>
      </c>
      <c r="F9" s="7">
        <v>3</v>
      </c>
      <c r="G9" s="7">
        <v>3</v>
      </c>
      <c r="H9" s="7">
        <v>3</v>
      </c>
      <c r="I9" s="7">
        <v>3</v>
      </c>
      <c r="J9" s="7">
        <v>3</v>
      </c>
      <c r="K9" s="7">
        <v>3</v>
      </c>
      <c r="L9" s="7">
        <v>3</v>
      </c>
      <c r="M9" s="7">
        <v>4</v>
      </c>
      <c r="N9" s="7">
        <v>4</v>
      </c>
      <c r="O9" s="7"/>
      <c r="P9" s="7">
        <f t="shared" si="0"/>
        <v>0</v>
      </c>
      <c r="Q9" s="7">
        <f t="shared" si="1"/>
        <v>0</v>
      </c>
      <c r="R9" s="7">
        <f t="shared" si="2"/>
        <v>0</v>
      </c>
      <c r="S9" s="7">
        <f t="shared" si="3"/>
        <v>-1</v>
      </c>
      <c r="T9" s="7">
        <f t="shared" si="4"/>
        <v>0</v>
      </c>
      <c r="U9" s="7">
        <f t="shared" si="5"/>
        <v>0</v>
      </c>
      <c r="V9" s="7">
        <f t="shared" si="6"/>
        <v>0</v>
      </c>
      <c r="W9" s="7">
        <f t="shared" si="7"/>
        <v>0</v>
      </c>
      <c r="X9" s="7">
        <f t="shared" si="8"/>
        <v>0</v>
      </c>
      <c r="Y9" s="7">
        <f t="shared" si="9"/>
        <v>0</v>
      </c>
      <c r="Z9" s="7">
        <f t="shared" si="10"/>
        <v>-1</v>
      </c>
      <c r="AA9" s="7">
        <f t="shared" si="11"/>
        <v>0</v>
      </c>
      <c r="AB9" s="7"/>
      <c r="AC9" s="7">
        <f t="shared" si="12"/>
        <v>1</v>
      </c>
      <c r="AD9" s="7">
        <f t="shared" si="13"/>
        <v>1</v>
      </c>
      <c r="AE9" s="7">
        <f t="shared" si="14"/>
        <v>1</v>
      </c>
      <c r="AF9" s="7">
        <f t="shared" si="15"/>
        <v>1</v>
      </c>
      <c r="AG9" s="7">
        <f t="shared" si="16"/>
        <v>0</v>
      </c>
      <c r="AH9" s="7">
        <f t="shared" si="17"/>
        <v>0</v>
      </c>
      <c r="AI9" s="7">
        <f t="shared" si="18"/>
        <v>0</v>
      </c>
      <c r="AJ9" s="7">
        <f t="shared" si="19"/>
        <v>0</v>
      </c>
      <c r="AK9" s="7">
        <f t="shared" si="20"/>
        <v>0</v>
      </c>
      <c r="AL9" s="7">
        <f t="shared" si="21"/>
        <v>0</v>
      </c>
      <c r="AM9" s="7">
        <f t="shared" si="22"/>
        <v>1</v>
      </c>
      <c r="AN9" s="7">
        <f t="shared" si="23"/>
        <v>0</v>
      </c>
      <c r="AO9" s="7">
        <f t="shared" si="24"/>
        <v>1</v>
      </c>
      <c r="AP9" s="7"/>
      <c r="AQ9" s="7">
        <f t="shared" si="25"/>
        <v>4</v>
      </c>
      <c r="AR9" s="7">
        <f t="shared" si="26"/>
        <v>4</v>
      </c>
      <c r="AS9" s="7">
        <f t="shared" si="27"/>
        <v>4</v>
      </c>
      <c r="AT9" s="7">
        <f t="shared" si="28"/>
        <v>4</v>
      </c>
      <c r="AU9" s="7">
        <f t="shared" si="29"/>
        <v>9</v>
      </c>
      <c r="AV9" s="7">
        <f t="shared" si="30"/>
        <v>9</v>
      </c>
      <c r="AW9" s="7">
        <f t="shared" si="31"/>
        <v>9</v>
      </c>
      <c r="AX9" s="7">
        <f t="shared" si="32"/>
        <v>9</v>
      </c>
      <c r="AY9" s="7">
        <f t="shared" si="33"/>
        <v>9</v>
      </c>
      <c r="AZ9" s="7">
        <f t="shared" si="34"/>
        <v>9</v>
      </c>
      <c r="BA9" s="7">
        <f t="shared" si="35"/>
        <v>9</v>
      </c>
      <c r="BB9" s="7">
        <f t="shared" si="36"/>
        <v>16</v>
      </c>
      <c r="BC9" s="7">
        <f t="shared" si="37"/>
        <v>16</v>
      </c>
      <c r="BD9" s="7"/>
      <c r="BE9" s="7">
        <v>2.0869999999999999E-3</v>
      </c>
      <c r="BF9" s="7">
        <v>2.0630000000000002E-3</v>
      </c>
      <c r="BG9" s="7">
        <v>2.0279999999999999E-3</v>
      </c>
      <c r="BH9" s="7">
        <v>1.9740000000000001E-3</v>
      </c>
      <c r="BI9" s="7">
        <v>1.6639999999999999E-3</v>
      </c>
      <c r="BJ9" s="7">
        <v>1.6509999999999999E-3</v>
      </c>
      <c r="BK9" s="7">
        <v>1.7830000000000001E-3</v>
      </c>
      <c r="BL9" s="7">
        <v>2.196E-3</v>
      </c>
      <c r="BM9" s="7">
        <v>2.9129999999999998E-3</v>
      </c>
      <c r="BN9" s="7">
        <v>3.787E-3</v>
      </c>
      <c r="BO9" s="7">
        <v>5.2480000000000001E-3</v>
      </c>
      <c r="BP9" s="7">
        <v>7.7510000000000001E-3</v>
      </c>
      <c r="BQ9" s="7">
        <v>1.2735E-2</v>
      </c>
    </row>
    <row r="10" spans="1:69" x14ac:dyDescent="0.25">
      <c r="A10" s="17">
        <v>8</v>
      </c>
      <c r="B10" s="7">
        <v>3</v>
      </c>
      <c r="C10" s="7">
        <v>3</v>
      </c>
      <c r="D10" s="7">
        <v>3</v>
      </c>
      <c r="E10" s="7">
        <v>3</v>
      </c>
      <c r="F10" s="7">
        <v>3</v>
      </c>
      <c r="G10" s="7">
        <v>3</v>
      </c>
      <c r="H10" s="7">
        <v>3</v>
      </c>
      <c r="I10" s="7">
        <v>3</v>
      </c>
      <c r="J10" s="7">
        <v>3</v>
      </c>
      <c r="K10" s="7">
        <v>3</v>
      </c>
      <c r="L10" s="7">
        <v>4</v>
      </c>
      <c r="M10" s="7">
        <v>4</v>
      </c>
      <c r="N10" s="7">
        <v>5</v>
      </c>
      <c r="O10" s="7"/>
      <c r="P10" s="7">
        <f t="shared" si="0"/>
        <v>0</v>
      </c>
      <c r="Q10" s="7">
        <f t="shared" si="1"/>
        <v>0</v>
      </c>
      <c r="R10" s="7">
        <f t="shared" si="2"/>
        <v>0</v>
      </c>
      <c r="S10" s="7">
        <f t="shared" si="3"/>
        <v>0</v>
      </c>
      <c r="T10" s="7">
        <f t="shared" si="4"/>
        <v>0</v>
      </c>
      <c r="U10" s="7">
        <f t="shared" si="5"/>
        <v>0</v>
      </c>
      <c r="V10" s="7">
        <f t="shared" si="6"/>
        <v>0</v>
      </c>
      <c r="W10" s="7">
        <f t="shared" si="7"/>
        <v>0</v>
      </c>
      <c r="X10" s="7">
        <f t="shared" si="8"/>
        <v>0</v>
      </c>
      <c r="Y10" s="7">
        <f t="shared" si="9"/>
        <v>-1</v>
      </c>
      <c r="Z10" s="7">
        <f t="shared" si="10"/>
        <v>0</v>
      </c>
      <c r="AA10" s="7">
        <f t="shared" si="11"/>
        <v>-1</v>
      </c>
      <c r="AB10" s="7"/>
      <c r="AC10" s="7">
        <f t="shared" si="12"/>
        <v>0</v>
      </c>
      <c r="AD10" s="7">
        <f t="shared" si="13"/>
        <v>0</v>
      </c>
      <c r="AE10" s="7">
        <f t="shared" si="14"/>
        <v>0</v>
      </c>
      <c r="AF10" s="7">
        <f t="shared" si="15"/>
        <v>0</v>
      </c>
      <c r="AG10" s="7">
        <f t="shared" si="16"/>
        <v>0</v>
      </c>
      <c r="AH10" s="7">
        <f t="shared" si="17"/>
        <v>0</v>
      </c>
      <c r="AI10" s="7">
        <f t="shared" si="18"/>
        <v>0</v>
      </c>
      <c r="AJ10" s="7">
        <f t="shared" si="19"/>
        <v>0</v>
      </c>
      <c r="AK10" s="7">
        <f t="shared" si="20"/>
        <v>1</v>
      </c>
      <c r="AL10" s="7">
        <f t="shared" si="21"/>
        <v>1</v>
      </c>
      <c r="AM10" s="7">
        <f t="shared" si="22"/>
        <v>0</v>
      </c>
      <c r="AN10" s="7">
        <f t="shared" si="23"/>
        <v>1</v>
      </c>
      <c r="AO10" s="7">
        <f t="shared" si="24"/>
        <v>0</v>
      </c>
      <c r="AP10" s="7"/>
      <c r="AQ10" s="7">
        <f t="shared" si="25"/>
        <v>9</v>
      </c>
      <c r="AR10" s="7">
        <f t="shared" si="26"/>
        <v>9</v>
      </c>
      <c r="AS10" s="7">
        <f t="shared" si="27"/>
        <v>9</v>
      </c>
      <c r="AT10" s="7">
        <f t="shared" si="28"/>
        <v>9</v>
      </c>
      <c r="AU10" s="7">
        <f t="shared" si="29"/>
        <v>9</v>
      </c>
      <c r="AV10" s="7">
        <f t="shared" si="30"/>
        <v>9</v>
      </c>
      <c r="AW10" s="7">
        <f t="shared" si="31"/>
        <v>9</v>
      </c>
      <c r="AX10" s="7">
        <f t="shared" si="32"/>
        <v>9</v>
      </c>
      <c r="AY10" s="7">
        <f t="shared" si="33"/>
        <v>9</v>
      </c>
      <c r="AZ10" s="7">
        <f t="shared" si="34"/>
        <v>9</v>
      </c>
      <c r="BA10" s="7">
        <f t="shared" si="35"/>
        <v>16</v>
      </c>
      <c r="BB10" s="7">
        <f t="shared" si="36"/>
        <v>16</v>
      </c>
      <c r="BC10" s="7">
        <f t="shared" si="37"/>
        <v>25</v>
      </c>
      <c r="BD10" s="7"/>
      <c r="BE10" s="7">
        <v>2.447E-3</v>
      </c>
      <c r="BF10" s="7">
        <v>2.4239999999999999E-3</v>
      </c>
      <c r="BG10" s="7">
        <v>2.317E-3</v>
      </c>
      <c r="BH10" s="7">
        <v>1.9940000000000001E-3</v>
      </c>
      <c r="BI10" s="7">
        <v>1.9849999999999998E-3</v>
      </c>
      <c r="BJ10" s="7">
        <v>2.029E-3</v>
      </c>
      <c r="BK10" s="7">
        <v>2.2599999999999999E-3</v>
      </c>
      <c r="BL10" s="7">
        <v>2.8760000000000001E-3</v>
      </c>
      <c r="BM10" s="7">
        <v>3.8920000000000001E-3</v>
      </c>
      <c r="BN10" s="7">
        <v>5.097E-3</v>
      </c>
      <c r="BO10" s="7">
        <v>7.0670000000000004E-3</v>
      </c>
      <c r="BP10" s="7">
        <v>1.0352999999999999E-2</v>
      </c>
      <c r="BQ10" s="7">
        <v>1.6670000000000001E-2</v>
      </c>
    </row>
    <row r="11" spans="1:69" x14ac:dyDescent="0.25">
      <c r="A11" s="17">
        <v>9</v>
      </c>
      <c r="B11" s="7">
        <v>3</v>
      </c>
      <c r="C11" s="7">
        <v>3</v>
      </c>
      <c r="D11" s="7">
        <v>3</v>
      </c>
      <c r="E11" s="7">
        <v>3</v>
      </c>
      <c r="F11" s="7">
        <v>3</v>
      </c>
      <c r="G11" s="7">
        <v>3</v>
      </c>
      <c r="H11" s="7">
        <v>3</v>
      </c>
      <c r="I11" s="7">
        <v>3</v>
      </c>
      <c r="J11" s="7">
        <v>4</v>
      </c>
      <c r="K11" s="7">
        <v>4</v>
      </c>
      <c r="L11" s="7">
        <v>4</v>
      </c>
      <c r="M11" s="7">
        <v>5</v>
      </c>
      <c r="N11" s="7">
        <v>5</v>
      </c>
      <c r="O11" s="7"/>
      <c r="P11" s="7">
        <f t="shared" si="0"/>
        <v>0</v>
      </c>
      <c r="Q11" s="7">
        <f t="shared" si="1"/>
        <v>0</v>
      </c>
      <c r="R11" s="7">
        <f t="shared" si="2"/>
        <v>0</v>
      </c>
      <c r="S11" s="7">
        <f t="shared" si="3"/>
        <v>0</v>
      </c>
      <c r="T11" s="7">
        <f t="shared" si="4"/>
        <v>0</v>
      </c>
      <c r="U11" s="7">
        <f t="shared" si="5"/>
        <v>0</v>
      </c>
      <c r="V11" s="7">
        <f t="shared" si="6"/>
        <v>0</v>
      </c>
      <c r="W11" s="7">
        <f t="shared" si="7"/>
        <v>-1</v>
      </c>
      <c r="X11" s="7">
        <f t="shared" si="8"/>
        <v>0</v>
      </c>
      <c r="Y11" s="7">
        <f t="shared" si="9"/>
        <v>0</v>
      </c>
      <c r="Z11" s="7">
        <f t="shared" si="10"/>
        <v>-1</v>
      </c>
      <c r="AA11" s="7">
        <f t="shared" si="11"/>
        <v>0</v>
      </c>
      <c r="AB11" s="7"/>
      <c r="AC11" s="7">
        <f t="shared" si="12"/>
        <v>0</v>
      </c>
      <c r="AD11" s="7">
        <f t="shared" si="13"/>
        <v>0</v>
      </c>
      <c r="AE11" s="7">
        <f t="shared" si="14"/>
        <v>0</v>
      </c>
      <c r="AF11" s="7">
        <f t="shared" si="15"/>
        <v>0</v>
      </c>
      <c r="AG11" s="7">
        <f t="shared" si="16"/>
        <v>0</v>
      </c>
      <c r="AH11" s="7">
        <f t="shared" si="17"/>
        <v>0</v>
      </c>
      <c r="AI11" s="7">
        <f t="shared" si="18"/>
        <v>0</v>
      </c>
      <c r="AJ11" s="7">
        <f t="shared" si="19"/>
        <v>1</v>
      </c>
      <c r="AK11" s="7">
        <f t="shared" si="20"/>
        <v>0</v>
      </c>
      <c r="AL11" s="7">
        <f t="shared" si="21"/>
        <v>0</v>
      </c>
      <c r="AM11" s="7">
        <f t="shared" si="22"/>
        <v>1</v>
      </c>
      <c r="AN11" s="7">
        <f t="shared" si="23"/>
        <v>0</v>
      </c>
      <c r="AO11" s="7">
        <f t="shared" si="24"/>
        <v>1</v>
      </c>
      <c r="AP11" s="7"/>
      <c r="AQ11" s="7">
        <f t="shared" si="25"/>
        <v>9</v>
      </c>
      <c r="AR11" s="7">
        <f t="shared" si="26"/>
        <v>9</v>
      </c>
      <c r="AS11" s="7">
        <f t="shared" si="27"/>
        <v>9</v>
      </c>
      <c r="AT11" s="7">
        <f t="shared" si="28"/>
        <v>9</v>
      </c>
      <c r="AU11" s="7">
        <f t="shared" si="29"/>
        <v>9</v>
      </c>
      <c r="AV11" s="7">
        <f t="shared" si="30"/>
        <v>9</v>
      </c>
      <c r="AW11" s="7">
        <f t="shared" si="31"/>
        <v>9</v>
      </c>
      <c r="AX11" s="7">
        <f t="shared" si="32"/>
        <v>9</v>
      </c>
      <c r="AY11" s="7">
        <f t="shared" si="33"/>
        <v>16</v>
      </c>
      <c r="AZ11" s="7">
        <f t="shared" si="34"/>
        <v>16</v>
      </c>
      <c r="BA11" s="7">
        <f t="shared" si="35"/>
        <v>16</v>
      </c>
      <c r="BB11" s="7">
        <f t="shared" si="36"/>
        <v>25</v>
      </c>
      <c r="BC11" s="7">
        <f t="shared" si="37"/>
        <v>25</v>
      </c>
      <c r="BD11" s="7"/>
      <c r="BE11" s="7">
        <v>2.7420000000000001E-3</v>
      </c>
      <c r="BF11" s="7">
        <v>2.5820000000000001E-3</v>
      </c>
      <c r="BG11" s="7">
        <v>2.3930000000000002E-3</v>
      </c>
      <c r="BH11" s="7">
        <v>2.372E-3</v>
      </c>
      <c r="BI11" s="7">
        <v>2.382E-3</v>
      </c>
      <c r="BJ11" s="7">
        <v>2.4759999999999999E-3</v>
      </c>
      <c r="BK11" s="7">
        <v>2.8310000000000002E-3</v>
      </c>
      <c r="BL11" s="7">
        <v>3.702E-3</v>
      </c>
      <c r="BM11" s="7">
        <v>5.0809999999999996E-3</v>
      </c>
      <c r="BN11" s="7">
        <v>6.6779999999999999E-3</v>
      </c>
      <c r="BO11" s="7">
        <v>9.2329999999999999E-3</v>
      </c>
      <c r="BP11" s="7">
        <v>1.3384E-2</v>
      </c>
      <c r="BQ11" s="7">
        <v>2.1062999999999998E-2</v>
      </c>
    </row>
    <row r="12" spans="1:69" x14ac:dyDescent="0.25">
      <c r="A12" s="17">
        <v>10</v>
      </c>
      <c r="B12" s="7">
        <v>3</v>
      </c>
      <c r="C12" s="7">
        <v>3</v>
      </c>
      <c r="D12" s="7">
        <v>3</v>
      </c>
      <c r="E12" s="7">
        <v>3</v>
      </c>
      <c r="F12" s="7">
        <v>3</v>
      </c>
      <c r="G12" s="7">
        <v>3</v>
      </c>
      <c r="H12" s="7">
        <v>3</v>
      </c>
      <c r="I12" s="7">
        <v>4</v>
      </c>
      <c r="J12" s="7">
        <v>4</v>
      </c>
      <c r="K12" s="7">
        <v>4</v>
      </c>
      <c r="L12" s="7">
        <v>5</v>
      </c>
      <c r="M12" s="7">
        <v>5</v>
      </c>
      <c r="N12" s="7">
        <v>6</v>
      </c>
      <c r="O12" s="7"/>
      <c r="P12" s="7">
        <f t="shared" si="0"/>
        <v>0</v>
      </c>
      <c r="Q12" s="7">
        <f t="shared" si="1"/>
        <v>0</v>
      </c>
      <c r="R12" s="7">
        <f t="shared" si="2"/>
        <v>0</v>
      </c>
      <c r="S12" s="7">
        <f t="shared" si="3"/>
        <v>0</v>
      </c>
      <c r="T12" s="7">
        <f t="shared" si="4"/>
        <v>0</v>
      </c>
      <c r="U12" s="7">
        <f t="shared" si="5"/>
        <v>0</v>
      </c>
      <c r="V12" s="7">
        <f t="shared" si="6"/>
        <v>-1</v>
      </c>
      <c r="W12" s="7">
        <f t="shared" si="7"/>
        <v>0</v>
      </c>
      <c r="X12" s="7">
        <f t="shared" si="8"/>
        <v>0</v>
      </c>
      <c r="Y12" s="7">
        <f t="shared" si="9"/>
        <v>-1</v>
      </c>
      <c r="Z12" s="7">
        <f t="shared" si="10"/>
        <v>0</v>
      </c>
      <c r="AA12" s="7">
        <f t="shared" si="11"/>
        <v>-1</v>
      </c>
      <c r="AB12" s="7"/>
      <c r="AC12" s="7">
        <f t="shared" si="12"/>
        <v>0</v>
      </c>
      <c r="AD12" s="7">
        <f t="shared" si="13"/>
        <v>0</v>
      </c>
      <c r="AE12" s="7">
        <f t="shared" si="14"/>
        <v>0</v>
      </c>
      <c r="AF12" s="7">
        <f t="shared" si="15"/>
        <v>1</v>
      </c>
      <c r="AG12" s="7">
        <f t="shared" si="16"/>
        <v>1</v>
      </c>
      <c r="AH12" s="7">
        <f t="shared" si="17"/>
        <v>1</v>
      </c>
      <c r="AI12" s="7">
        <f t="shared" si="18"/>
        <v>1</v>
      </c>
      <c r="AJ12" s="7">
        <f t="shared" si="19"/>
        <v>0</v>
      </c>
      <c r="AK12" s="7">
        <f t="shared" si="20"/>
        <v>0</v>
      </c>
      <c r="AL12" s="7">
        <f t="shared" si="21"/>
        <v>1</v>
      </c>
      <c r="AM12" s="7">
        <f t="shared" si="22"/>
        <v>0</v>
      </c>
      <c r="AN12" s="7">
        <f t="shared" si="23"/>
        <v>1</v>
      </c>
      <c r="AO12" s="7">
        <f t="shared" si="24"/>
        <v>0</v>
      </c>
      <c r="AP12" s="7"/>
      <c r="AQ12" s="7">
        <f t="shared" si="25"/>
        <v>9</v>
      </c>
      <c r="AR12" s="7">
        <f t="shared" si="26"/>
        <v>9</v>
      </c>
      <c r="AS12" s="7">
        <f t="shared" si="27"/>
        <v>9</v>
      </c>
      <c r="AT12" s="7">
        <f t="shared" si="28"/>
        <v>9</v>
      </c>
      <c r="AU12" s="7">
        <f t="shared" si="29"/>
        <v>9</v>
      </c>
      <c r="AV12" s="7">
        <f t="shared" si="30"/>
        <v>9</v>
      </c>
      <c r="AW12" s="7">
        <f t="shared" si="31"/>
        <v>9</v>
      </c>
      <c r="AX12" s="7">
        <f t="shared" si="32"/>
        <v>16</v>
      </c>
      <c r="AY12" s="7">
        <f t="shared" si="33"/>
        <v>16</v>
      </c>
      <c r="AZ12" s="7">
        <f t="shared" si="34"/>
        <v>16</v>
      </c>
      <c r="BA12" s="7">
        <f t="shared" si="35"/>
        <v>25</v>
      </c>
      <c r="BB12" s="7">
        <f t="shared" si="36"/>
        <v>25</v>
      </c>
      <c r="BC12" s="7">
        <f t="shared" si="37"/>
        <v>36</v>
      </c>
      <c r="BD12" s="7"/>
      <c r="BE12" s="7">
        <v>2.856E-3</v>
      </c>
      <c r="BF12" s="7">
        <v>2.8349999999999998E-3</v>
      </c>
      <c r="BG12" s="7">
        <v>2.8110000000000001E-3</v>
      </c>
      <c r="BH12" s="7">
        <v>2.8059999999999999E-3</v>
      </c>
      <c r="BI12" s="7">
        <v>2.8419999999999999E-3</v>
      </c>
      <c r="BJ12" s="7">
        <v>2.9989999999999999E-3</v>
      </c>
      <c r="BK12" s="7">
        <v>3.5079999999999998E-3</v>
      </c>
      <c r="BL12" s="7">
        <v>4.6870000000000002E-3</v>
      </c>
      <c r="BM12" s="7">
        <v>6.4939999999999998E-3</v>
      </c>
      <c r="BN12" s="7">
        <v>8.541E-3</v>
      </c>
      <c r="BO12" s="7">
        <v>1.1743E-2</v>
      </c>
      <c r="BP12" s="7">
        <v>1.6799999999999999E-2</v>
      </c>
      <c r="BQ12" s="7">
        <v>2.5772E-2</v>
      </c>
    </row>
    <row r="13" spans="1:69" x14ac:dyDescent="0.25">
      <c r="A13" s="17">
        <v>11</v>
      </c>
      <c r="B13" s="7">
        <v>3</v>
      </c>
      <c r="C13" s="7">
        <v>3</v>
      </c>
      <c r="D13" s="7">
        <v>3</v>
      </c>
      <c r="E13" s="7">
        <v>4</v>
      </c>
      <c r="F13" s="7">
        <v>4</v>
      </c>
      <c r="G13" s="7">
        <v>4</v>
      </c>
      <c r="H13" s="7">
        <v>4</v>
      </c>
      <c r="I13" s="7">
        <v>4</v>
      </c>
      <c r="J13" s="7">
        <v>4</v>
      </c>
      <c r="K13" s="7">
        <v>5</v>
      </c>
      <c r="L13" s="7">
        <v>5</v>
      </c>
      <c r="M13" s="7">
        <v>6</v>
      </c>
      <c r="N13" s="7">
        <v>6</v>
      </c>
      <c r="O13" s="7"/>
      <c r="P13" s="7">
        <f t="shared" si="0"/>
        <v>0</v>
      </c>
      <c r="Q13" s="7">
        <f t="shared" si="1"/>
        <v>0</v>
      </c>
      <c r="R13" s="7">
        <f>(D13-E13)</f>
        <v>-1</v>
      </c>
      <c r="S13" s="7">
        <f t="shared" si="3"/>
        <v>0</v>
      </c>
      <c r="T13" s="7">
        <f t="shared" si="4"/>
        <v>0</v>
      </c>
      <c r="U13" s="7">
        <f t="shared" si="5"/>
        <v>0</v>
      </c>
      <c r="V13" s="7">
        <f t="shared" si="6"/>
        <v>0</v>
      </c>
      <c r="W13" s="7">
        <f t="shared" si="7"/>
        <v>0</v>
      </c>
      <c r="X13" s="7">
        <f t="shared" si="8"/>
        <v>-1</v>
      </c>
      <c r="Y13" s="7">
        <f t="shared" si="9"/>
        <v>0</v>
      </c>
      <c r="Z13" s="7">
        <f t="shared" si="10"/>
        <v>-1</v>
      </c>
      <c r="AA13" s="7">
        <f t="shared" si="11"/>
        <v>0</v>
      </c>
      <c r="AB13" s="7"/>
      <c r="AC13" s="7">
        <f t="shared" si="12"/>
        <v>1</v>
      </c>
      <c r="AD13" s="7">
        <f t="shared" si="13"/>
        <v>1</v>
      </c>
      <c r="AE13" s="7">
        <f t="shared" si="14"/>
        <v>1</v>
      </c>
      <c r="AF13" s="7">
        <f t="shared" si="15"/>
        <v>0</v>
      </c>
      <c r="AG13" s="7">
        <f t="shared" si="16"/>
        <v>0</v>
      </c>
      <c r="AH13" s="7">
        <f t="shared" si="17"/>
        <v>0</v>
      </c>
      <c r="AI13" s="7">
        <f t="shared" si="18"/>
        <v>0</v>
      </c>
      <c r="AJ13" s="7">
        <f t="shared" si="19"/>
        <v>0</v>
      </c>
      <c r="AK13" s="7">
        <f t="shared" si="20"/>
        <v>1</v>
      </c>
      <c r="AL13" s="7">
        <f t="shared" si="21"/>
        <v>0</v>
      </c>
      <c r="AM13" s="7">
        <f t="shared" si="22"/>
        <v>0</v>
      </c>
      <c r="AN13" s="7">
        <f t="shared" si="23"/>
        <v>0</v>
      </c>
      <c r="AO13" s="7">
        <f t="shared" si="24"/>
        <v>1</v>
      </c>
      <c r="AP13" s="7"/>
      <c r="AQ13" s="7">
        <f t="shared" si="25"/>
        <v>9</v>
      </c>
      <c r="AR13" s="7">
        <f t="shared" si="26"/>
        <v>9</v>
      </c>
      <c r="AS13" s="7">
        <f t="shared" si="27"/>
        <v>9</v>
      </c>
      <c r="AT13" s="7">
        <f t="shared" si="28"/>
        <v>16</v>
      </c>
      <c r="AU13" s="7">
        <f t="shared" si="29"/>
        <v>16</v>
      </c>
      <c r="AV13" s="7">
        <f t="shared" si="30"/>
        <v>16</v>
      </c>
      <c r="AW13" s="7">
        <f t="shared" si="31"/>
        <v>16</v>
      </c>
      <c r="AX13" s="7">
        <f t="shared" si="32"/>
        <v>16</v>
      </c>
      <c r="AY13" s="7">
        <f t="shared" si="33"/>
        <v>16</v>
      </c>
      <c r="AZ13" s="7">
        <f t="shared" si="34"/>
        <v>25</v>
      </c>
      <c r="BA13" s="7">
        <f t="shared" si="35"/>
        <v>25</v>
      </c>
      <c r="BB13" s="7">
        <f t="shared" si="36"/>
        <v>36</v>
      </c>
      <c r="BC13" s="7">
        <f t="shared" si="37"/>
        <v>36</v>
      </c>
      <c r="BD13" s="7"/>
      <c r="BE13" s="7">
        <v>3.3189999999999999E-3</v>
      </c>
      <c r="BF13" s="7">
        <v>3.3019999999999998E-3</v>
      </c>
      <c r="BG13" s="7">
        <v>3.2859999999999999E-3</v>
      </c>
      <c r="BH13" s="7">
        <v>3.3019999999999998E-3</v>
      </c>
      <c r="BI13" s="7">
        <v>3.3700000000000002E-3</v>
      </c>
      <c r="BJ13" s="7">
        <v>3.604E-3</v>
      </c>
      <c r="BK13" s="7">
        <v>4.3010000000000001E-3</v>
      </c>
      <c r="BL13" s="7">
        <v>5.842E-3</v>
      </c>
      <c r="BM13" s="7">
        <v>8.1379999999999994E-3</v>
      </c>
      <c r="BN13" s="7">
        <v>1.0682000000000001E-2</v>
      </c>
      <c r="BO13" s="7">
        <v>1.457E-2</v>
      </c>
      <c r="BP13" s="7">
        <v>2.0525000000000002E-2</v>
      </c>
      <c r="BQ13" s="7">
        <v>3.0613999999999999E-2</v>
      </c>
    </row>
    <row r="14" spans="1:69" x14ac:dyDescent="0.25">
      <c r="A14" s="17">
        <v>12</v>
      </c>
      <c r="B14" s="7">
        <v>4</v>
      </c>
      <c r="C14" s="7">
        <v>4</v>
      </c>
      <c r="D14" s="7">
        <v>4</v>
      </c>
      <c r="E14" s="7">
        <v>4</v>
      </c>
      <c r="F14" s="7">
        <v>4</v>
      </c>
      <c r="G14" s="7">
        <v>4</v>
      </c>
      <c r="H14" s="7">
        <v>4</v>
      </c>
      <c r="I14" s="7">
        <v>4</v>
      </c>
      <c r="J14" s="7">
        <v>5</v>
      </c>
      <c r="K14" s="7">
        <v>5</v>
      </c>
      <c r="L14" s="7">
        <v>5</v>
      </c>
      <c r="M14" s="7">
        <v>6</v>
      </c>
      <c r="N14" s="7">
        <v>7</v>
      </c>
      <c r="O14" s="7"/>
      <c r="P14" s="7">
        <f t="shared" si="0"/>
        <v>0</v>
      </c>
      <c r="Q14" s="7">
        <f t="shared" si="1"/>
        <v>0</v>
      </c>
      <c r="R14" s="7">
        <f t="shared" si="2"/>
        <v>0</v>
      </c>
      <c r="S14" s="7">
        <f t="shared" si="3"/>
        <v>0</v>
      </c>
      <c r="T14" s="7">
        <f t="shared" si="4"/>
        <v>0</v>
      </c>
      <c r="U14" s="7">
        <f t="shared" si="5"/>
        <v>0</v>
      </c>
      <c r="V14" s="7">
        <f t="shared" si="6"/>
        <v>0</v>
      </c>
      <c r="W14" s="7">
        <f t="shared" si="7"/>
        <v>-1</v>
      </c>
      <c r="X14" s="7">
        <f t="shared" si="8"/>
        <v>0</v>
      </c>
      <c r="Y14" s="7">
        <f t="shared" si="9"/>
        <v>0</v>
      </c>
      <c r="Z14" s="7">
        <f t="shared" si="10"/>
        <v>-1</v>
      </c>
      <c r="AA14" s="7">
        <f t="shared" si="11"/>
        <v>-1</v>
      </c>
      <c r="AB14" s="7"/>
      <c r="AC14" s="7">
        <f t="shared" si="12"/>
        <v>0</v>
      </c>
      <c r="AD14" s="7">
        <f t="shared" si="13"/>
        <v>0</v>
      </c>
      <c r="AE14" s="7">
        <f t="shared" si="14"/>
        <v>0</v>
      </c>
      <c r="AF14" s="7">
        <f t="shared" si="15"/>
        <v>0</v>
      </c>
      <c r="AG14" s="7">
        <f t="shared" si="16"/>
        <v>0</v>
      </c>
      <c r="AH14" s="7">
        <f t="shared" si="17"/>
        <v>0</v>
      </c>
      <c r="AI14" s="7">
        <f t="shared" si="18"/>
        <v>0</v>
      </c>
      <c r="AJ14" s="7">
        <f t="shared" si="19"/>
        <v>1</v>
      </c>
      <c r="AK14" s="7">
        <f t="shared" si="20"/>
        <v>0</v>
      </c>
      <c r="AL14" s="7">
        <f t="shared" si="21"/>
        <v>0</v>
      </c>
      <c r="AM14" s="7">
        <f t="shared" si="22"/>
        <v>1</v>
      </c>
      <c r="AN14" s="7">
        <f t="shared" si="23"/>
        <v>0</v>
      </c>
      <c r="AO14" s="7">
        <f t="shared" si="24"/>
        <v>0</v>
      </c>
      <c r="AP14" s="7"/>
      <c r="AQ14" s="7">
        <f t="shared" si="25"/>
        <v>16</v>
      </c>
      <c r="AR14" s="7">
        <f t="shared" si="26"/>
        <v>16</v>
      </c>
      <c r="AS14" s="7">
        <f t="shared" si="27"/>
        <v>16</v>
      </c>
      <c r="AT14" s="7">
        <f t="shared" si="28"/>
        <v>16</v>
      </c>
      <c r="AU14" s="7">
        <f t="shared" si="29"/>
        <v>16</v>
      </c>
      <c r="AV14" s="7">
        <f t="shared" si="30"/>
        <v>16</v>
      </c>
      <c r="AW14" s="7">
        <f t="shared" si="31"/>
        <v>16</v>
      </c>
      <c r="AX14" s="7">
        <f t="shared" si="32"/>
        <v>16</v>
      </c>
      <c r="AY14" s="7">
        <f t="shared" si="33"/>
        <v>25</v>
      </c>
      <c r="AZ14" s="7">
        <f t="shared" si="34"/>
        <v>25</v>
      </c>
      <c r="BA14" s="7">
        <f t="shared" si="35"/>
        <v>25</v>
      </c>
      <c r="BB14" s="7">
        <f t="shared" si="36"/>
        <v>36</v>
      </c>
      <c r="BC14" s="7">
        <f t="shared" si="37"/>
        <v>49</v>
      </c>
      <c r="BD14" s="7"/>
      <c r="BE14" s="7">
        <v>3.8409999999999998E-3</v>
      </c>
      <c r="BF14" s="7">
        <v>3.8279999999999998E-3</v>
      </c>
      <c r="BG14" s="7">
        <v>3.823E-3</v>
      </c>
      <c r="BH14" s="7">
        <v>3.8649999999999999E-3</v>
      </c>
      <c r="BI14" s="7">
        <v>3.973E-3</v>
      </c>
      <c r="BJ14" s="7">
        <v>4.3E-3</v>
      </c>
      <c r="BK14" s="7">
        <v>5.2170000000000003E-3</v>
      </c>
      <c r="BL14" s="7">
        <v>7.1739999999999998E-3</v>
      </c>
      <c r="BM14" s="7">
        <v>1.0012999999999999E-2</v>
      </c>
      <c r="BN14" s="7">
        <v>1.3086E-2</v>
      </c>
      <c r="BO14" s="7">
        <v>1.7668E-2</v>
      </c>
      <c r="BP14" s="7">
        <v>2.4455999999999999E-2</v>
      </c>
      <c r="BQ14" s="7">
        <v>3.5375999999999998E-2</v>
      </c>
    </row>
    <row r="15" spans="1:69" x14ac:dyDescent="0.25">
      <c r="A15" s="17">
        <v>13</v>
      </c>
      <c r="B15" s="7">
        <v>4</v>
      </c>
      <c r="C15" s="7">
        <v>4</v>
      </c>
      <c r="D15" s="7">
        <v>4</v>
      </c>
      <c r="E15" s="7">
        <v>4</v>
      </c>
      <c r="F15" s="7">
        <v>4</v>
      </c>
      <c r="G15" s="7">
        <v>4</v>
      </c>
      <c r="H15" s="7">
        <v>4</v>
      </c>
      <c r="I15" s="7">
        <v>5</v>
      </c>
      <c r="J15" s="7">
        <v>5</v>
      </c>
      <c r="K15" s="7">
        <v>5</v>
      </c>
      <c r="L15" s="7">
        <v>6</v>
      </c>
      <c r="M15" s="7">
        <v>6</v>
      </c>
      <c r="N15" s="7">
        <v>7</v>
      </c>
      <c r="O15" s="7"/>
      <c r="P15" s="7">
        <f t="shared" si="0"/>
        <v>0</v>
      </c>
      <c r="Q15" s="7">
        <f t="shared" si="1"/>
        <v>0</v>
      </c>
      <c r="R15" s="7">
        <f t="shared" si="2"/>
        <v>0</v>
      </c>
      <c r="S15" s="7">
        <f t="shared" si="3"/>
        <v>0</v>
      </c>
      <c r="T15" s="7">
        <f t="shared" si="4"/>
        <v>0</v>
      </c>
      <c r="U15" s="7">
        <f t="shared" si="5"/>
        <v>0</v>
      </c>
      <c r="V15" s="7">
        <f t="shared" si="6"/>
        <v>-1</v>
      </c>
      <c r="W15" s="7">
        <f t="shared" si="7"/>
        <v>0</v>
      </c>
      <c r="X15" s="7">
        <f t="shared" si="8"/>
        <v>0</v>
      </c>
      <c r="Y15" s="7">
        <f t="shared" si="9"/>
        <v>-1</v>
      </c>
      <c r="Z15" s="7">
        <f t="shared" si="10"/>
        <v>0</v>
      </c>
      <c r="AA15" s="7">
        <f t="shared" si="11"/>
        <v>-1</v>
      </c>
      <c r="AB15" s="7"/>
      <c r="AC15" s="7">
        <f t="shared" si="12"/>
        <v>0</v>
      </c>
      <c r="AD15" s="7">
        <f t="shared" si="13"/>
        <v>0</v>
      </c>
      <c r="AE15" s="7">
        <f t="shared" si="14"/>
        <v>0</v>
      </c>
      <c r="AF15" s="7">
        <f t="shared" si="15"/>
        <v>0</v>
      </c>
      <c r="AG15" s="7">
        <f t="shared" si="16"/>
        <v>0</v>
      </c>
      <c r="AH15" s="7">
        <f t="shared" si="17"/>
        <v>1</v>
      </c>
      <c r="AI15" s="7">
        <f t="shared" si="18"/>
        <v>1</v>
      </c>
      <c r="AJ15" s="7">
        <f t="shared" si="19"/>
        <v>0</v>
      </c>
      <c r="AK15" s="7">
        <f t="shared" si="20"/>
        <v>0</v>
      </c>
      <c r="AL15" s="7">
        <f t="shared" si="21"/>
        <v>1</v>
      </c>
      <c r="AM15" s="7">
        <f t="shared" si="22"/>
        <v>0</v>
      </c>
      <c r="AN15" s="7">
        <f t="shared" si="23"/>
        <v>1</v>
      </c>
      <c r="AO15" s="7">
        <f t="shared" si="24"/>
        <v>1</v>
      </c>
      <c r="AP15" s="7"/>
      <c r="AQ15" s="7">
        <f t="shared" si="25"/>
        <v>16</v>
      </c>
      <c r="AR15" s="7">
        <f t="shared" si="26"/>
        <v>16</v>
      </c>
      <c r="AS15" s="7">
        <f t="shared" si="27"/>
        <v>16</v>
      </c>
      <c r="AT15" s="7">
        <f t="shared" si="28"/>
        <v>16</v>
      </c>
      <c r="AU15" s="7">
        <f t="shared" si="29"/>
        <v>16</v>
      </c>
      <c r="AV15" s="7">
        <f t="shared" si="30"/>
        <v>16</v>
      </c>
      <c r="AW15" s="7">
        <f t="shared" si="31"/>
        <v>16</v>
      </c>
      <c r="AX15" s="7">
        <f t="shared" si="32"/>
        <v>25</v>
      </c>
      <c r="AY15" s="7">
        <f t="shared" si="33"/>
        <v>25</v>
      </c>
      <c r="AZ15" s="7">
        <f t="shared" si="34"/>
        <v>25</v>
      </c>
      <c r="BA15" s="7">
        <f t="shared" si="35"/>
        <v>36</v>
      </c>
      <c r="BB15" s="7">
        <f t="shared" si="36"/>
        <v>36</v>
      </c>
      <c r="BC15" s="7">
        <f t="shared" si="37"/>
        <v>49</v>
      </c>
      <c r="BD15" s="7"/>
      <c r="BE15" s="7">
        <v>4.4260000000000002E-3</v>
      </c>
      <c r="BF15" s="7">
        <v>4.4169999999999999E-3</v>
      </c>
      <c r="BG15" s="7">
        <v>4.4270000000000004E-3</v>
      </c>
      <c r="BH15" s="7">
        <v>4.4999999999999997E-3</v>
      </c>
      <c r="BI15" s="7">
        <v>4.6550000000000003E-3</v>
      </c>
      <c r="BJ15" s="7">
        <v>5.0920000000000002E-3</v>
      </c>
      <c r="BK15" s="7">
        <v>6.2630000000000003E-3</v>
      </c>
      <c r="BL15" s="7">
        <v>8.6870000000000003E-3</v>
      </c>
      <c r="BM15" s="7">
        <v>1.2109E-2</v>
      </c>
      <c r="BN15" s="7">
        <v>1.5723000000000001E-2</v>
      </c>
      <c r="BO15" s="7">
        <v>2.0971E-2</v>
      </c>
      <c r="BP15" s="7">
        <v>2.8462000000000001E-2</v>
      </c>
      <c r="BQ15" s="7">
        <v>3.9837999999999998E-2</v>
      </c>
    </row>
    <row r="16" spans="1:69" x14ac:dyDescent="0.25">
      <c r="A16" s="17">
        <v>14</v>
      </c>
      <c r="B16" s="7">
        <v>4</v>
      </c>
      <c r="C16" s="7">
        <v>4</v>
      </c>
      <c r="D16" s="7">
        <v>4</v>
      </c>
      <c r="E16" s="7">
        <v>4</v>
      </c>
      <c r="F16" s="7">
        <v>4</v>
      </c>
      <c r="G16" s="7">
        <v>5</v>
      </c>
      <c r="H16" s="7">
        <v>5</v>
      </c>
      <c r="I16" s="7">
        <v>5</v>
      </c>
      <c r="J16" s="7">
        <v>5</v>
      </c>
      <c r="K16" s="7">
        <v>6</v>
      </c>
      <c r="L16" s="7">
        <v>6</v>
      </c>
      <c r="M16" s="7">
        <v>7</v>
      </c>
      <c r="N16" s="7">
        <v>8</v>
      </c>
      <c r="O16" s="7"/>
      <c r="P16" s="7">
        <f t="shared" si="0"/>
        <v>0</v>
      </c>
      <c r="Q16" s="7">
        <f t="shared" si="1"/>
        <v>0</v>
      </c>
      <c r="R16" s="7">
        <f t="shared" si="2"/>
        <v>0</v>
      </c>
      <c r="S16" s="7">
        <f t="shared" si="3"/>
        <v>0</v>
      </c>
      <c r="T16" s="7">
        <f t="shared" si="4"/>
        <v>-1</v>
      </c>
      <c r="U16" s="7">
        <f t="shared" si="5"/>
        <v>0</v>
      </c>
      <c r="V16" s="7">
        <f t="shared" si="6"/>
        <v>0</v>
      </c>
      <c r="W16" s="7">
        <f t="shared" si="7"/>
        <v>0</v>
      </c>
      <c r="X16" s="7">
        <f t="shared" si="8"/>
        <v>-1</v>
      </c>
      <c r="Y16" s="7">
        <f t="shared" si="9"/>
        <v>0</v>
      </c>
      <c r="Z16" s="7">
        <f t="shared" si="10"/>
        <v>-1</v>
      </c>
      <c r="AA16" s="7">
        <f t="shared" si="11"/>
        <v>-1</v>
      </c>
      <c r="AB16" s="7"/>
      <c r="AC16" s="7">
        <f t="shared" si="12"/>
        <v>1</v>
      </c>
      <c r="AD16" s="7">
        <f t="shared" si="13"/>
        <v>1</v>
      </c>
      <c r="AE16" s="7">
        <f t="shared" si="14"/>
        <v>1</v>
      </c>
      <c r="AF16" s="7">
        <f t="shared" si="15"/>
        <v>1</v>
      </c>
      <c r="AG16" s="7">
        <f t="shared" si="16"/>
        <v>1</v>
      </c>
      <c r="AH16" s="7">
        <f t="shared" si="17"/>
        <v>0</v>
      </c>
      <c r="AI16" s="7">
        <f t="shared" si="18"/>
        <v>0</v>
      </c>
      <c r="AJ16" s="7">
        <f t="shared" si="19"/>
        <v>0</v>
      </c>
      <c r="AK16" s="7">
        <f t="shared" si="20"/>
        <v>1</v>
      </c>
      <c r="AL16" s="7">
        <f t="shared" si="21"/>
        <v>0</v>
      </c>
      <c r="AM16" s="7">
        <f t="shared" si="22"/>
        <v>0</v>
      </c>
      <c r="AN16" s="7">
        <f t="shared" si="23"/>
        <v>0</v>
      </c>
      <c r="AO16" s="7">
        <f t="shared" si="24"/>
        <v>0</v>
      </c>
      <c r="AP16" s="7"/>
      <c r="AQ16" s="7">
        <f t="shared" si="25"/>
        <v>16</v>
      </c>
      <c r="AR16" s="7">
        <f t="shared" si="26"/>
        <v>16</v>
      </c>
      <c r="AS16" s="7">
        <f t="shared" si="27"/>
        <v>16</v>
      </c>
      <c r="AT16" s="7">
        <f t="shared" si="28"/>
        <v>16</v>
      </c>
      <c r="AU16" s="7">
        <f t="shared" si="29"/>
        <v>16</v>
      </c>
      <c r="AV16" s="7">
        <f t="shared" si="30"/>
        <v>25</v>
      </c>
      <c r="AW16" s="7">
        <f t="shared" si="31"/>
        <v>25</v>
      </c>
      <c r="AX16" s="7">
        <f t="shared" si="32"/>
        <v>25</v>
      </c>
      <c r="AY16" s="7">
        <f t="shared" si="33"/>
        <v>25</v>
      </c>
      <c r="AZ16" s="7">
        <f t="shared" si="34"/>
        <v>36</v>
      </c>
      <c r="BA16" s="7">
        <f t="shared" si="35"/>
        <v>36</v>
      </c>
      <c r="BB16" s="7">
        <f t="shared" si="36"/>
        <v>49</v>
      </c>
      <c r="BC16" s="7">
        <f t="shared" si="37"/>
        <v>64</v>
      </c>
      <c r="BD16" s="7"/>
      <c r="BE16" s="7">
        <v>5.0749999999999997E-3</v>
      </c>
      <c r="BF16" s="7">
        <v>5.0740000000000004E-3</v>
      </c>
      <c r="BG16" s="7">
        <v>5.1009999999999996E-3</v>
      </c>
      <c r="BH16" s="7">
        <v>5.2110000000000004E-3</v>
      </c>
      <c r="BI16" s="7">
        <v>5.4209999999999996E-3</v>
      </c>
      <c r="BJ16" s="7">
        <v>5.9849999999999999E-3</v>
      </c>
      <c r="BK16" s="7">
        <v>7.4440000000000001E-3</v>
      </c>
      <c r="BL16" s="7">
        <v>1.0375000000000001E-2</v>
      </c>
      <c r="BM16" s="7">
        <v>1.4402999999999999E-2</v>
      </c>
      <c r="BN16" s="7">
        <v>1.8547999999999999E-2</v>
      </c>
      <c r="BO16" s="7">
        <v>2.4390999999999999E-2</v>
      </c>
      <c r="BP16" s="7">
        <v>3.2398999999999997E-2</v>
      </c>
      <c r="BQ16" s="7">
        <v>4.3789000000000002E-2</v>
      </c>
    </row>
    <row r="17" spans="1:69" x14ac:dyDescent="0.25">
      <c r="A17" s="17">
        <v>15</v>
      </c>
      <c r="B17" s="7">
        <v>5</v>
      </c>
      <c r="C17" s="7">
        <v>5</v>
      </c>
      <c r="D17" s="7">
        <v>5</v>
      </c>
      <c r="E17" s="7">
        <v>5</v>
      </c>
      <c r="F17" s="7">
        <v>5</v>
      </c>
      <c r="G17" s="7">
        <v>5</v>
      </c>
      <c r="H17" s="7">
        <v>5</v>
      </c>
      <c r="I17" s="7">
        <v>5</v>
      </c>
      <c r="J17" s="7">
        <v>6</v>
      </c>
      <c r="K17" s="7">
        <v>6</v>
      </c>
      <c r="L17" s="7">
        <v>6</v>
      </c>
      <c r="M17" s="7">
        <v>7</v>
      </c>
      <c r="N17" s="7">
        <v>8</v>
      </c>
      <c r="O17" s="7"/>
      <c r="P17" s="7">
        <f t="shared" si="0"/>
        <v>0</v>
      </c>
      <c r="Q17" s="7">
        <f t="shared" si="1"/>
        <v>0</v>
      </c>
      <c r="R17" s="7">
        <f t="shared" si="2"/>
        <v>0</v>
      </c>
      <c r="S17" s="7">
        <f t="shared" si="3"/>
        <v>0</v>
      </c>
      <c r="T17" s="7">
        <f t="shared" si="4"/>
        <v>0</v>
      </c>
      <c r="U17" s="7">
        <f t="shared" si="5"/>
        <v>0</v>
      </c>
      <c r="V17" s="7">
        <f t="shared" si="6"/>
        <v>0</v>
      </c>
      <c r="W17" s="7">
        <f t="shared" si="7"/>
        <v>-1</v>
      </c>
      <c r="X17" s="7">
        <f t="shared" si="8"/>
        <v>0</v>
      </c>
      <c r="Y17" s="7">
        <f t="shared" si="9"/>
        <v>0</v>
      </c>
      <c r="Z17" s="7">
        <f t="shared" si="10"/>
        <v>-1</v>
      </c>
      <c r="AA17" s="7">
        <f t="shared" si="11"/>
        <v>-1</v>
      </c>
      <c r="AB17" s="7"/>
      <c r="AC17" s="7">
        <f t="shared" si="12"/>
        <v>0</v>
      </c>
      <c r="AD17" s="7">
        <f t="shared" si="13"/>
        <v>0</v>
      </c>
      <c r="AE17" s="7">
        <f t="shared" si="14"/>
        <v>0</v>
      </c>
      <c r="AF17" s="7">
        <f t="shared" si="15"/>
        <v>0</v>
      </c>
      <c r="AG17" s="7">
        <f t="shared" si="16"/>
        <v>0</v>
      </c>
      <c r="AH17" s="7">
        <f t="shared" si="17"/>
        <v>0</v>
      </c>
      <c r="AI17" s="7">
        <f t="shared" si="18"/>
        <v>0</v>
      </c>
      <c r="AJ17" s="7">
        <f t="shared" si="19"/>
        <v>1</v>
      </c>
      <c r="AK17" s="7">
        <f t="shared" si="20"/>
        <v>0</v>
      </c>
      <c r="AL17" s="7">
        <f t="shared" si="21"/>
        <v>0</v>
      </c>
      <c r="AM17" s="7">
        <f t="shared" si="22"/>
        <v>1</v>
      </c>
      <c r="AN17" s="7">
        <f t="shared" si="23"/>
        <v>0</v>
      </c>
      <c r="AO17" s="7">
        <f t="shared" si="24"/>
        <v>0</v>
      </c>
      <c r="AP17" s="7"/>
      <c r="AQ17" s="7">
        <f t="shared" si="25"/>
        <v>25</v>
      </c>
      <c r="AR17" s="7">
        <f t="shared" si="26"/>
        <v>25</v>
      </c>
      <c r="AS17" s="7">
        <f t="shared" si="27"/>
        <v>25</v>
      </c>
      <c r="AT17" s="7">
        <f t="shared" si="28"/>
        <v>25</v>
      </c>
      <c r="AU17" s="7">
        <f t="shared" si="29"/>
        <v>25</v>
      </c>
      <c r="AV17" s="7">
        <f t="shared" si="30"/>
        <v>25</v>
      </c>
      <c r="AW17" s="7">
        <f t="shared" si="31"/>
        <v>25</v>
      </c>
      <c r="AX17" s="7">
        <f t="shared" si="32"/>
        <v>25</v>
      </c>
      <c r="AY17" s="7">
        <f t="shared" si="33"/>
        <v>36</v>
      </c>
      <c r="AZ17" s="7">
        <f t="shared" si="34"/>
        <v>36</v>
      </c>
      <c r="BA17" s="7">
        <f t="shared" si="35"/>
        <v>36</v>
      </c>
      <c r="BB17" s="7">
        <f t="shared" si="36"/>
        <v>49</v>
      </c>
      <c r="BC17" s="7">
        <f t="shared" si="37"/>
        <v>64</v>
      </c>
      <c r="BD17" s="7"/>
      <c r="BE17" s="7">
        <v>5.7939999999999997E-3</v>
      </c>
      <c r="BF17" s="7">
        <v>5.7999999999999996E-3</v>
      </c>
      <c r="BG17" s="7">
        <v>5.8479999999999999E-3</v>
      </c>
      <c r="BH17" s="7">
        <v>6.0020000000000004E-3</v>
      </c>
      <c r="BI17" s="7">
        <v>6.2760000000000003E-3</v>
      </c>
      <c r="BJ17" s="7">
        <v>6.9820000000000004E-3</v>
      </c>
      <c r="BK17" s="7">
        <v>8.7580000000000002E-3</v>
      </c>
      <c r="BL17" s="7">
        <v>1.223E-2</v>
      </c>
      <c r="BM17" s="7">
        <v>1.6865000000000002E-2</v>
      </c>
      <c r="BN17" s="7">
        <v>2.1502E-2</v>
      </c>
      <c r="BO17" s="7">
        <v>2.7831000000000002E-2</v>
      </c>
      <c r="BP17" s="7">
        <v>3.6117000000000003E-2</v>
      </c>
      <c r="BQ17" s="7">
        <v>4.7052999999999998E-2</v>
      </c>
    </row>
    <row r="18" spans="1:69" x14ac:dyDescent="0.25">
      <c r="A18" s="17">
        <v>16</v>
      </c>
      <c r="B18" s="7">
        <v>5</v>
      </c>
      <c r="C18" s="7">
        <v>5</v>
      </c>
      <c r="D18" s="7">
        <v>5</v>
      </c>
      <c r="E18" s="7">
        <v>5</v>
      </c>
      <c r="F18" s="7">
        <v>5</v>
      </c>
      <c r="G18" s="7">
        <v>5</v>
      </c>
      <c r="H18" s="7">
        <v>5</v>
      </c>
      <c r="I18" s="7">
        <v>6</v>
      </c>
      <c r="J18" s="7">
        <v>6</v>
      </c>
      <c r="K18" s="7">
        <v>6</v>
      </c>
      <c r="L18" s="7">
        <v>7</v>
      </c>
      <c r="M18" s="7">
        <v>7</v>
      </c>
      <c r="N18" s="7">
        <v>8</v>
      </c>
      <c r="O18" s="7"/>
      <c r="P18" s="7">
        <f t="shared" si="0"/>
        <v>0</v>
      </c>
      <c r="Q18" s="7">
        <f t="shared" si="1"/>
        <v>0</v>
      </c>
      <c r="R18" s="7">
        <f t="shared" si="2"/>
        <v>0</v>
      </c>
      <c r="S18" s="7">
        <f t="shared" si="3"/>
        <v>0</v>
      </c>
      <c r="T18" s="7">
        <f t="shared" si="4"/>
        <v>0</v>
      </c>
      <c r="U18" s="7">
        <f t="shared" si="5"/>
        <v>0</v>
      </c>
      <c r="V18" s="7">
        <f t="shared" si="6"/>
        <v>-1</v>
      </c>
      <c r="W18" s="7">
        <f t="shared" si="7"/>
        <v>0</v>
      </c>
      <c r="X18" s="7">
        <f t="shared" si="8"/>
        <v>0</v>
      </c>
      <c r="Y18" s="7">
        <f t="shared" si="9"/>
        <v>-1</v>
      </c>
      <c r="Z18" s="7">
        <f t="shared" si="10"/>
        <v>0</v>
      </c>
      <c r="AA18" s="7">
        <f>(M18-N18)</f>
        <v>-1</v>
      </c>
      <c r="AB18" s="7"/>
      <c r="AC18" s="7">
        <f t="shared" si="12"/>
        <v>0</v>
      </c>
      <c r="AD18" s="7">
        <f t="shared" si="13"/>
        <v>0</v>
      </c>
      <c r="AE18" s="7">
        <f t="shared" si="14"/>
        <v>0</v>
      </c>
      <c r="AF18" s="7">
        <f t="shared" si="15"/>
        <v>0</v>
      </c>
      <c r="AG18" s="7">
        <f t="shared" si="16"/>
        <v>0</v>
      </c>
      <c r="AH18" s="7">
        <f t="shared" si="17"/>
        <v>0</v>
      </c>
      <c r="AI18" s="7">
        <f t="shared" si="18"/>
        <v>0</v>
      </c>
      <c r="AJ18" s="7">
        <f t="shared" si="19"/>
        <v>0</v>
      </c>
      <c r="AK18" s="7">
        <f t="shared" si="20"/>
        <v>0</v>
      </c>
      <c r="AL18" s="7">
        <f t="shared" si="21"/>
        <v>1</v>
      </c>
      <c r="AM18" s="7">
        <f t="shared" si="22"/>
        <v>0</v>
      </c>
      <c r="AN18" s="7">
        <f t="shared" si="23"/>
        <v>1</v>
      </c>
      <c r="AO18" s="7">
        <f t="shared" si="24"/>
        <v>1</v>
      </c>
      <c r="AP18" s="7"/>
      <c r="AQ18" s="7">
        <f t="shared" si="25"/>
        <v>25</v>
      </c>
      <c r="AR18" s="7">
        <f t="shared" si="26"/>
        <v>25</v>
      </c>
      <c r="AS18" s="7">
        <f t="shared" si="27"/>
        <v>25</v>
      </c>
      <c r="AT18" s="7">
        <f t="shared" si="28"/>
        <v>25</v>
      </c>
      <c r="AU18" s="7">
        <f t="shared" si="29"/>
        <v>25</v>
      </c>
      <c r="AV18" s="7">
        <f t="shared" si="30"/>
        <v>25</v>
      </c>
      <c r="AW18" s="7">
        <f t="shared" si="31"/>
        <v>25</v>
      </c>
      <c r="AX18" s="7">
        <f t="shared" si="32"/>
        <v>36</v>
      </c>
      <c r="AY18" s="7">
        <f t="shared" si="33"/>
        <v>36</v>
      </c>
      <c r="AZ18" s="7">
        <f t="shared" si="34"/>
        <v>36</v>
      </c>
      <c r="BA18" s="7">
        <f t="shared" si="35"/>
        <v>49</v>
      </c>
      <c r="BB18" s="7">
        <f t="shared" si="36"/>
        <v>49</v>
      </c>
      <c r="BC18" s="7">
        <f t="shared" si="37"/>
        <v>64</v>
      </c>
      <c r="BD18" s="7"/>
      <c r="BE18" s="7">
        <v>6.5830000000000003E-3</v>
      </c>
      <c r="BF18" s="7">
        <v>6.5989999999999998E-3</v>
      </c>
      <c r="BG18" s="7">
        <v>6.6709999999999998E-3</v>
      </c>
      <c r="BH18" s="7">
        <v>6.875E-3</v>
      </c>
      <c r="BI18" s="7">
        <v>7.221E-3</v>
      </c>
      <c r="BJ18" s="7">
        <v>8.0859999999999994E-3</v>
      </c>
      <c r="BK18" s="7">
        <v>1.0205000000000001E-2</v>
      </c>
      <c r="BL18" s="7">
        <v>1.4234999999999999E-2</v>
      </c>
      <c r="BM18" s="7">
        <v>1.9451E-2</v>
      </c>
      <c r="BN18" s="7">
        <v>2.4514000000000001E-2</v>
      </c>
      <c r="BO18" s="7">
        <v>3.1181E-2</v>
      </c>
      <c r="BP18" s="7">
        <v>3.9472E-2</v>
      </c>
      <c r="BQ18" s="7">
        <v>4.9496999999999999E-2</v>
      </c>
    </row>
    <row r="19" spans="1:69" x14ac:dyDescent="0.25">
      <c r="A19" s="17">
        <v>17</v>
      </c>
      <c r="B19" s="7">
        <v>5</v>
      </c>
      <c r="C19" s="7">
        <v>5</v>
      </c>
      <c r="D19" s="7">
        <v>5</v>
      </c>
      <c r="E19" s="7">
        <v>5</v>
      </c>
      <c r="F19" s="7">
        <v>5</v>
      </c>
      <c r="G19" s="7">
        <v>5</v>
      </c>
      <c r="H19" s="7">
        <v>5</v>
      </c>
      <c r="I19" s="7">
        <v>6</v>
      </c>
      <c r="J19" s="7">
        <v>6</v>
      </c>
      <c r="K19" s="7">
        <v>7</v>
      </c>
      <c r="L19" s="7">
        <v>7</v>
      </c>
      <c r="M19" s="7">
        <v>8</v>
      </c>
      <c r="N19" s="7">
        <v>9</v>
      </c>
      <c r="O19" s="7"/>
      <c r="P19" s="7">
        <f t="shared" si="0"/>
        <v>0</v>
      </c>
      <c r="Q19" s="7">
        <f t="shared" si="1"/>
        <v>0</v>
      </c>
      <c r="R19" s="7">
        <f t="shared" si="2"/>
        <v>0</v>
      </c>
      <c r="S19" s="7">
        <f t="shared" si="3"/>
        <v>0</v>
      </c>
      <c r="T19" s="7">
        <f t="shared" si="4"/>
        <v>0</v>
      </c>
      <c r="U19" s="7">
        <f t="shared" si="5"/>
        <v>0</v>
      </c>
      <c r="V19" s="7">
        <f t="shared" si="6"/>
        <v>-1</v>
      </c>
      <c r="W19" s="7">
        <f t="shared" si="7"/>
        <v>0</v>
      </c>
      <c r="X19" s="7">
        <f t="shared" si="8"/>
        <v>-1</v>
      </c>
      <c r="Y19" s="7">
        <f t="shared" si="9"/>
        <v>0</v>
      </c>
      <c r="Z19" s="7">
        <f t="shared" si="10"/>
        <v>-1</v>
      </c>
      <c r="AA19" s="7">
        <f t="shared" si="11"/>
        <v>-1</v>
      </c>
      <c r="AB19" s="7"/>
      <c r="AC19" s="7">
        <f t="shared" si="12"/>
        <v>0</v>
      </c>
      <c r="AD19" s="7">
        <f t="shared" si="13"/>
        <v>0</v>
      </c>
      <c r="AE19" s="7">
        <f t="shared" si="14"/>
        <v>0</v>
      </c>
      <c r="AF19" s="7">
        <f t="shared" si="15"/>
        <v>0</v>
      </c>
      <c r="AG19" s="7">
        <f t="shared" si="16"/>
        <v>0</v>
      </c>
      <c r="AH19" s="7">
        <f t="shared" si="17"/>
        <v>1</v>
      </c>
      <c r="AI19" s="7">
        <f t="shared" si="18"/>
        <v>1</v>
      </c>
      <c r="AJ19" s="7">
        <f t="shared" si="19"/>
        <v>0</v>
      </c>
      <c r="AK19" s="7">
        <f t="shared" si="20"/>
        <v>1</v>
      </c>
      <c r="AL19" s="7">
        <f t="shared" si="21"/>
        <v>0</v>
      </c>
      <c r="AM19" s="7">
        <f t="shared" si="22"/>
        <v>0</v>
      </c>
      <c r="AN19" s="7">
        <f t="shared" si="23"/>
        <v>0</v>
      </c>
      <c r="AO19" s="7">
        <f t="shared" si="24"/>
        <v>0</v>
      </c>
      <c r="AP19" s="7"/>
      <c r="AQ19" s="7">
        <f t="shared" si="25"/>
        <v>25</v>
      </c>
      <c r="AR19" s="7">
        <f t="shared" si="26"/>
        <v>25</v>
      </c>
      <c r="AS19" s="7">
        <f t="shared" si="27"/>
        <v>25</v>
      </c>
      <c r="AT19" s="7">
        <f t="shared" si="28"/>
        <v>25</v>
      </c>
      <c r="AU19" s="7">
        <f t="shared" si="29"/>
        <v>25</v>
      </c>
      <c r="AV19" s="7">
        <f t="shared" si="30"/>
        <v>25</v>
      </c>
      <c r="AW19" s="7">
        <f t="shared" si="31"/>
        <v>25</v>
      </c>
      <c r="AX19" s="7">
        <f t="shared" si="32"/>
        <v>36</v>
      </c>
      <c r="AY19" s="7">
        <f t="shared" si="33"/>
        <v>36</v>
      </c>
      <c r="AZ19" s="7">
        <f t="shared" si="34"/>
        <v>49</v>
      </c>
      <c r="BA19" s="7">
        <f t="shared" si="35"/>
        <v>49</v>
      </c>
      <c r="BB19" s="7">
        <f t="shared" si="36"/>
        <v>64</v>
      </c>
      <c r="BC19" s="7">
        <f t="shared" si="37"/>
        <v>81</v>
      </c>
      <c r="BD19" s="7"/>
      <c r="BE19" s="7">
        <v>7.443E-3</v>
      </c>
      <c r="BF19" s="7">
        <v>7.4720000000000003E-3</v>
      </c>
      <c r="BG19" s="7">
        <v>7.5709999999999996E-3</v>
      </c>
      <c r="BH19" s="7">
        <v>7.8320000000000004E-3</v>
      </c>
      <c r="BI19" s="7">
        <v>8.2570000000000005E-3</v>
      </c>
      <c r="BJ19" s="7">
        <v>9.2949999999999994E-3</v>
      </c>
      <c r="BK19" s="7">
        <v>1.1776999999999999E-2</v>
      </c>
      <c r="BL19" s="7">
        <v>1.6364E-2</v>
      </c>
      <c r="BM19" s="7">
        <v>2.2110999999999999E-2</v>
      </c>
      <c r="BN19" s="7">
        <v>2.7505000000000002E-2</v>
      </c>
      <c r="BO19" s="7">
        <v>3.4332000000000001E-2</v>
      </c>
      <c r="BP19" s="7">
        <v>4.2338000000000001E-2</v>
      </c>
      <c r="BQ19" s="7">
        <v>5.1049999999999998E-2</v>
      </c>
    </row>
    <row r="20" spans="1:69" x14ac:dyDescent="0.25">
      <c r="A20" s="17">
        <v>18</v>
      </c>
      <c r="B20" s="7">
        <v>5</v>
      </c>
      <c r="C20" s="7">
        <v>5</v>
      </c>
      <c r="D20" s="7">
        <v>5</v>
      </c>
      <c r="E20" s="7">
        <v>5</v>
      </c>
      <c r="F20" s="7">
        <v>5</v>
      </c>
      <c r="G20" s="7">
        <v>6</v>
      </c>
      <c r="H20" s="7">
        <v>6</v>
      </c>
      <c r="I20" s="7">
        <v>6</v>
      </c>
      <c r="J20" s="7">
        <v>7</v>
      </c>
      <c r="K20" s="7">
        <v>7</v>
      </c>
      <c r="L20" s="7">
        <v>7</v>
      </c>
      <c r="M20" s="7">
        <v>8</v>
      </c>
      <c r="N20" s="7">
        <v>9</v>
      </c>
      <c r="O20" s="7"/>
      <c r="P20" s="7">
        <f t="shared" si="0"/>
        <v>0</v>
      </c>
      <c r="Q20" s="7">
        <f t="shared" si="1"/>
        <v>0</v>
      </c>
      <c r="R20" s="7">
        <f t="shared" si="2"/>
        <v>0</v>
      </c>
      <c r="S20" s="7">
        <f t="shared" si="3"/>
        <v>0</v>
      </c>
      <c r="T20" s="7">
        <f t="shared" si="4"/>
        <v>-1</v>
      </c>
      <c r="U20" s="7">
        <f t="shared" si="5"/>
        <v>0</v>
      </c>
      <c r="V20" s="7">
        <f t="shared" si="6"/>
        <v>0</v>
      </c>
      <c r="W20" s="7">
        <f t="shared" si="7"/>
        <v>-1</v>
      </c>
      <c r="X20" s="7">
        <f t="shared" si="8"/>
        <v>0</v>
      </c>
      <c r="Y20" s="7">
        <f t="shared" si="9"/>
        <v>0</v>
      </c>
      <c r="Z20" s="7">
        <f t="shared" si="10"/>
        <v>-1</v>
      </c>
      <c r="AA20" s="7">
        <f t="shared" si="11"/>
        <v>-1</v>
      </c>
      <c r="AB20" s="7"/>
      <c r="AC20" s="7">
        <f t="shared" si="12"/>
        <v>1</v>
      </c>
      <c r="AD20" s="7">
        <f t="shared" si="13"/>
        <v>1</v>
      </c>
      <c r="AE20" s="7">
        <f t="shared" si="14"/>
        <v>1</v>
      </c>
      <c r="AF20" s="7">
        <f t="shared" si="15"/>
        <v>1</v>
      </c>
      <c r="AG20" s="7">
        <f t="shared" si="16"/>
        <v>1</v>
      </c>
      <c r="AH20" s="7">
        <f t="shared" si="17"/>
        <v>0</v>
      </c>
      <c r="AI20" s="7">
        <f t="shared" si="18"/>
        <v>0</v>
      </c>
      <c r="AJ20" s="7">
        <f t="shared" si="19"/>
        <v>1</v>
      </c>
      <c r="AK20" s="7">
        <f t="shared" si="20"/>
        <v>0</v>
      </c>
      <c r="AL20" s="7">
        <f t="shared" si="21"/>
        <v>0</v>
      </c>
      <c r="AM20" s="7">
        <f t="shared" si="22"/>
        <v>1</v>
      </c>
      <c r="AN20" s="7">
        <f t="shared" si="23"/>
        <v>1</v>
      </c>
      <c r="AO20" s="7">
        <f t="shared" si="24"/>
        <v>1</v>
      </c>
      <c r="AP20" s="7"/>
      <c r="AQ20" s="7">
        <f t="shared" si="25"/>
        <v>25</v>
      </c>
      <c r="AR20" s="7">
        <f t="shared" si="26"/>
        <v>25</v>
      </c>
      <c r="AS20" s="7">
        <f t="shared" si="27"/>
        <v>25</v>
      </c>
      <c r="AT20" s="7">
        <f t="shared" si="28"/>
        <v>25</v>
      </c>
      <c r="AU20" s="7">
        <f t="shared" si="29"/>
        <v>25</v>
      </c>
      <c r="AV20" s="7">
        <f t="shared" si="30"/>
        <v>36</v>
      </c>
      <c r="AW20" s="7">
        <f t="shared" si="31"/>
        <v>36</v>
      </c>
      <c r="AX20" s="7">
        <f t="shared" si="32"/>
        <v>36</v>
      </c>
      <c r="AY20" s="7">
        <f t="shared" si="33"/>
        <v>49</v>
      </c>
      <c r="AZ20" s="7">
        <f t="shared" si="34"/>
        <v>49</v>
      </c>
      <c r="BA20" s="7">
        <f t="shared" si="35"/>
        <v>49</v>
      </c>
      <c r="BB20" s="7">
        <f t="shared" si="36"/>
        <v>64</v>
      </c>
      <c r="BC20" s="7">
        <f t="shared" si="37"/>
        <v>81</v>
      </c>
      <c r="BD20" s="7"/>
      <c r="BE20" s="7">
        <v>8.3759999999999998E-3</v>
      </c>
      <c r="BF20" s="7">
        <v>8.4180000000000001E-3</v>
      </c>
      <c r="BG20" s="7">
        <v>8.5489999999999993E-3</v>
      </c>
      <c r="BH20" s="7">
        <v>8.8730000000000007E-3</v>
      </c>
      <c r="BI20" s="7">
        <v>9.3849999999999992E-3</v>
      </c>
      <c r="BJ20" s="7">
        <v>1.0607E-2</v>
      </c>
      <c r="BK20" s="7">
        <v>1.3462E-2</v>
      </c>
      <c r="BL20" s="7">
        <v>1.8586999999999999E-2</v>
      </c>
      <c r="BM20" s="7">
        <v>2.4785999999999999E-2</v>
      </c>
      <c r="BN20" s="7">
        <v>3.0391999999999999E-2</v>
      </c>
      <c r="BO20" s="7">
        <v>3.7178000000000003E-2</v>
      </c>
      <c r="BP20" s="7">
        <v>4.4614000000000001E-2</v>
      </c>
      <c r="BQ20" s="7">
        <v>5.1694999999999998E-2</v>
      </c>
    </row>
    <row r="21" spans="1:69" x14ac:dyDescent="0.25">
      <c r="A21" s="17">
        <v>19</v>
      </c>
      <c r="B21" s="7">
        <v>6</v>
      </c>
      <c r="C21" s="7">
        <v>6</v>
      </c>
      <c r="D21" s="7">
        <v>6</v>
      </c>
      <c r="E21" s="7">
        <v>6</v>
      </c>
      <c r="F21" s="7">
        <v>6</v>
      </c>
      <c r="G21" s="7">
        <v>6</v>
      </c>
      <c r="H21" s="7">
        <v>6</v>
      </c>
      <c r="I21" s="7">
        <v>7</v>
      </c>
      <c r="J21" s="7">
        <v>7</v>
      </c>
      <c r="K21" s="7">
        <v>7</v>
      </c>
      <c r="L21" s="7">
        <v>8</v>
      </c>
      <c r="M21" s="7">
        <v>9</v>
      </c>
      <c r="N21" s="7">
        <v>10</v>
      </c>
      <c r="O21" s="7"/>
      <c r="P21" s="7">
        <f t="shared" si="0"/>
        <v>0</v>
      </c>
      <c r="Q21" s="7">
        <f t="shared" si="1"/>
        <v>0</v>
      </c>
      <c r="R21" s="7">
        <f t="shared" si="2"/>
        <v>0</v>
      </c>
      <c r="S21" s="7">
        <f t="shared" si="3"/>
        <v>0</v>
      </c>
      <c r="T21" s="7">
        <f t="shared" si="4"/>
        <v>0</v>
      </c>
      <c r="U21" s="7">
        <f t="shared" si="5"/>
        <v>0</v>
      </c>
      <c r="V21" s="7">
        <f t="shared" si="6"/>
        <v>-1</v>
      </c>
      <c r="W21" s="7">
        <f t="shared" si="7"/>
        <v>0</v>
      </c>
      <c r="X21" s="7">
        <f t="shared" si="8"/>
        <v>0</v>
      </c>
      <c r="Y21" s="7">
        <f t="shared" si="9"/>
        <v>-1</v>
      </c>
      <c r="Z21" s="7">
        <f t="shared" si="10"/>
        <v>-1</v>
      </c>
      <c r="AA21" s="7">
        <f t="shared" si="11"/>
        <v>-1</v>
      </c>
      <c r="AB21" s="7"/>
      <c r="AC21" s="7">
        <f t="shared" si="12"/>
        <v>0</v>
      </c>
      <c r="AD21" s="7">
        <f t="shared" si="13"/>
        <v>0</v>
      </c>
      <c r="AE21" s="7">
        <f t="shared" si="14"/>
        <v>0</v>
      </c>
      <c r="AF21" s="7">
        <f t="shared" si="15"/>
        <v>0</v>
      </c>
      <c r="AG21" s="7">
        <f t="shared" si="16"/>
        <v>0</v>
      </c>
      <c r="AH21" s="7">
        <f t="shared" si="17"/>
        <v>0</v>
      </c>
      <c r="AI21" s="7">
        <f t="shared" si="18"/>
        <v>0</v>
      </c>
      <c r="AJ21" s="7">
        <f t="shared" si="19"/>
        <v>0</v>
      </c>
      <c r="AK21" s="7">
        <f t="shared" si="20"/>
        <v>0</v>
      </c>
      <c r="AL21" s="7">
        <f t="shared" si="21"/>
        <v>1</v>
      </c>
      <c r="AM21" s="7">
        <f t="shared" si="22"/>
        <v>0</v>
      </c>
      <c r="AN21" s="7">
        <f t="shared" si="23"/>
        <v>0</v>
      </c>
      <c r="AO21" s="7">
        <f t="shared" si="24"/>
        <v>0</v>
      </c>
      <c r="AP21" s="7"/>
      <c r="AQ21" s="7">
        <f t="shared" si="25"/>
        <v>36</v>
      </c>
      <c r="AR21" s="7">
        <f t="shared" si="26"/>
        <v>36</v>
      </c>
      <c r="AS21" s="7">
        <f t="shared" si="27"/>
        <v>36</v>
      </c>
      <c r="AT21" s="7">
        <f t="shared" si="28"/>
        <v>36</v>
      </c>
      <c r="AU21" s="7">
        <f t="shared" si="29"/>
        <v>36</v>
      </c>
      <c r="AV21" s="7">
        <f t="shared" si="30"/>
        <v>36</v>
      </c>
      <c r="AW21" s="7">
        <f t="shared" si="31"/>
        <v>36</v>
      </c>
      <c r="AX21" s="7">
        <f t="shared" si="32"/>
        <v>49</v>
      </c>
      <c r="AY21" s="7">
        <f t="shared" si="33"/>
        <v>49</v>
      </c>
      <c r="AZ21" s="7">
        <f t="shared" si="34"/>
        <v>49</v>
      </c>
      <c r="BA21" s="7">
        <f t="shared" si="35"/>
        <v>64</v>
      </c>
      <c r="BB21" s="7">
        <f t="shared" si="36"/>
        <v>81</v>
      </c>
      <c r="BC21" s="7">
        <f t="shared" si="37"/>
        <v>100</v>
      </c>
      <c r="BD21" s="7"/>
      <c r="BE21" s="7">
        <v>9.3799999999999994E-3</v>
      </c>
      <c r="BF21" s="7">
        <v>9.4380000000000002E-3</v>
      </c>
      <c r="BG21" s="7">
        <v>9.6039999999999997E-3</v>
      </c>
      <c r="BH21" s="7">
        <v>9.9959999999999997E-3</v>
      </c>
      <c r="BI21" s="7">
        <v>1.0600999999999999E-2</v>
      </c>
      <c r="BJ21" s="7">
        <v>1.2016000000000001E-2</v>
      </c>
      <c r="BK21" s="7">
        <v>1.5245E-2</v>
      </c>
      <c r="BL21" s="7">
        <v>2.0867E-2</v>
      </c>
      <c r="BM21" s="7">
        <v>2.7411999999999999E-2</v>
      </c>
      <c r="BN21" s="7">
        <v>3.3092000000000003E-2</v>
      </c>
      <c r="BO21" s="7">
        <v>3.9628999999999998E-2</v>
      </c>
      <c r="BP21" s="7">
        <v>4.6233999999999997E-2</v>
      </c>
      <c r="BQ21" s="7">
        <v>5.1469000000000001E-2</v>
      </c>
    </row>
    <row r="22" spans="1:69" x14ac:dyDescent="0.25">
      <c r="A22" s="17">
        <v>20</v>
      </c>
      <c r="B22" s="7">
        <v>6</v>
      </c>
      <c r="C22" s="7">
        <v>6</v>
      </c>
      <c r="D22" s="7">
        <v>6</v>
      </c>
      <c r="E22" s="7">
        <v>6</v>
      </c>
      <c r="F22" s="7">
        <v>6</v>
      </c>
      <c r="G22" s="7">
        <v>6</v>
      </c>
      <c r="H22" s="7">
        <v>6</v>
      </c>
      <c r="I22" s="7">
        <v>7</v>
      </c>
      <c r="J22" s="7">
        <v>7</v>
      </c>
      <c r="K22" s="7">
        <v>8</v>
      </c>
      <c r="L22" s="7">
        <v>8</v>
      </c>
      <c r="M22" s="7">
        <v>9</v>
      </c>
      <c r="N22" s="7">
        <v>10</v>
      </c>
      <c r="O22" s="7"/>
      <c r="P22" s="7">
        <f t="shared" si="0"/>
        <v>0</v>
      </c>
      <c r="Q22" s="7">
        <f t="shared" si="1"/>
        <v>0</v>
      </c>
      <c r="R22" s="7">
        <f t="shared" si="2"/>
        <v>0</v>
      </c>
      <c r="S22" s="7">
        <f t="shared" si="3"/>
        <v>0</v>
      </c>
      <c r="T22" s="7">
        <f t="shared" si="4"/>
        <v>0</v>
      </c>
      <c r="U22" s="7">
        <f t="shared" si="5"/>
        <v>0</v>
      </c>
      <c r="V22" s="7">
        <f t="shared" si="6"/>
        <v>-1</v>
      </c>
      <c r="W22" s="7">
        <f t="shared" si="7"/>
        <v>0</v>
      </c>
      <c r="X22" s="7">
        <f t="shared" si="8"/>
        <v>-1</v>
      </c>
      <c r="Y22" s="7">
        <f t="shared" si="9"/>
        <v>0</v>
      </c>
      <c r="Z22" s="7">
        <f t="shared" si="10"/>
        <v>-1</v>
      </c>
      <c r="AA22" s="7">
        <f t="shared" si="11"/>
        <v>-1</v>
      </c>
      <c r="AB22" s="7"/>
      <c r="AC22" s="7">
        <f t="shared" si="12"/>
        <v>0</v>
      </c>
      <c r="AD22" s="7">
        <f t="shared" si="13"/>
        <v>0</v>
      </c>
      <c r="AE22" s="7">
        <f t="shared" si="14"/>
        <v>0</v>
      </c>
      <c r="AF22" s="7">
        <f t="shared" si="15"/>
        <v>0</v>
      </c>
      <c r="AG22" s="7">
        <f t="shared" si="16"/>
        <v>0</v>
      </c>
      <c r="AH22" s="7">
        <f t="shared" si="17"/>
        <v>0</v>
      </c>
      <c r="AI22" s="7">
        <f t="shared" si="18"/>
        <v>1</v>
      </c>
      <c r="AJ22" s="7">
        <f t="shared" si="19"/>
        <v>0</v>
      </c>
      <c r="AK22" s="7">
        <f t="shared" si="20"/>
        <v>1</v>
      </c>
      <c r="AL22" s="7">
        <f t="shared" si="21"/>
        <v>0</v>
      </c>
      <c r="AM22" s="7">
        <f t="shared" si="22"/>
        <v>1</v>
      </c>
      <c r="AN22" s="7">
        <f t="shared" si="23"/>
        <v>1</v>
      </c>
      <c r="AO22" s="7">
        <f t="shared" si="24"/>
        <v>1</v>
      </c>
      <c r="AP22" s="7"/>
      <c r="AQ22" s="7">
        <f t="shared" si="25"/>
        <v>36</v>
      </c>
      <c r="AR22" s="7">
        <f t="shared" si="26"/>
        <v>36</v>
      </c>
      <c r="AS22" s="7">
        <f t="shared" si="27"/>
        <v>36</v>
      </c>
      <c r="AT22" s="7">
        <f t="shared" si="28"/>
        <v>36</v>
      </c>
      <c r="AU22" s="7">
        <f t="shared" si="29"/>
        <v>36</v>
      </c>
      <c r="AV22" s="7">
        <f t="shared" si="30"/>
        <v>36</v>
      </c>
      <c r="AW22" s="7">
        <f t="shared" si="31"/>
        <v>36</v>
      </c>
      <c r="AX22" s="7">
        <f t="shared" si="32"/>
        <v>49</v>
      </c>
      <c r="AY22" s="7">
        <f t="shared" si="33"/>
        <v>49</v>
      </c>
      <c r="AZ22" s="7">
        <f t="shared" si="34"/>
        <v>64</v>
      </c>
      <c r="BA22" s="7">
        <f t="shared" si="35"/>
        <v>64</v>
      </c>
      <c r="BB22" s="7">
        <f t="shared" si="36"/>
        <v>81</v>
      </c>
      <c r="BC22" s="7">
        <f t="shared" si="37"/>
        <v>100</v>
      </c>
      <c r="BD22" s="7"/>
      <c r="BE22" s="7">
        <v>1.0453E-2</v>
      </c>
      <c r="BF22" s="7">
        <v>1.0529E-2</v>
      </c>
      <c r="BG22" s="7">
        <v>1.0732999999999999E-2</v>
      </c>
      <c r="BH22" s="7">
        <v>1.1199000000000001E-2</v>
      </c>
      <c r="BI22" s="7">
        <v>1.1901E-2</v>
      </c>
      <c r="BJ22" s="7">
        <v>1.3513000000000001E-2</v>
      </c>
      <c r="BK22" s="7">
        <v>1.7107000000000001E-2</v>
      </c>
      <c r="BL22" s="7">
        <v>2.3163E-2</v>
      </c>
      <c r="BM22" s="7">
        <v>2.9923999999999999E-2</v>
      </c>
      <c r="BN22" s="7">
        <v>3.5527000000000003E-2</v>
      </c>
      <c r="BO22" s="7">
        <v>4.1607999999999999E-2</v>
      </c>
      <c r="BP22" s="7">
        <v>4.7164999999999999E-2</v>
      </c>
      <c r="BQ22" s="7">
        <v>5.0455E-2</v>
      </c>
    </row>
    <row r="23" spans="1:69" x14ac:dyDescent="0.25">
      <c r="A23" s="17">
        <v>21</v>
      </c>
      <c r="B23" s="7">
        <v>6</v>
      </c>
      <c r="C23" s="7">
        <v>6</v>
      </c>
      <c r="D23" s="7">
        <v>6</v>
      </c>
      <c r="E23" s="7">
        <v>6</v>
      </c>
      <c r="F23" s="7">
        <v>6</v>
      </c>
      <c r="G23" s="7">
        <v>6</v>
      </c>
      <c r="H23" s="7">
        <v>7</v>
      </c>
      <c r="I23" s="7">
        <v>7</v>
      </c>
      <c r="J23" s="7">
        <v>8</v>
      </c>
      <c r="K23" s="7">
        <v>8</v>
      </c>
      <c r="L23" s="7">
        <v>9</v>
      </c>
      <c r="M23" s="7">
        <v>10</v>
      </c>
      <c r="N23" s="7">
        <v>11</v>
      </c>
      <c r="O23" s="7"/>
      <c r="P23" s="7">
        <f t="shared" si="0"/>
        <v>0</v>
      </c>
      <c r="Q23" s="7">
        <f t="shared" si="1"/>
        <v>0</v>
      </c>
      <c r="R23" s="7">
        <f t="shared" si="2"/>
        <v>0</v>
      </c>
      <c r="S23" s="7">
        <f t="shared" si="3"/>
        <v>0</v>
      </c>
      <c r="T23" s="7">
        <f t="shared" si="4"/>
        <v>0</v>
      </c>
      <c r="U23" s="7">
        <f t="shared" si="5"/>
        <v>-1</v>
      </c>
      <c r="V23" s="7">
        <f t="shared" si="6"/>
        <v>0</v>
      </c>
      <c r="W23" s="7">
        <f t="shared" si="7"/>
        <v>-1</v>
      </c>
      <c r="X23" s="7">
        <f t="shared" si="8"/>
        <v>0</v>
      </c>
      <c r="Y23" s="7">
        <f t="shared" si="9"/>
        <v>-1</v>
      </c>
      <c r="Z23" s="7">
        <f t="shared" si="10"/>
        <v>-1</v>
      </c>
      <c r="AA23" s="7">
        <f t="shared" si="11"/>
        <v>-1</v>
      </c>
      <c r="AB23" s="7"/>
      <c r="AC23" s="7">
        <f t="shared" si="12"/>
        <v>0</v>
      </c>
      <c r="AD23" s="7">
        <f t="shared" si="13"/>
        <v>0</v>
      </c>
      <c r="AE23" s="7">
        <f t="shared" si="14"/>
        <v>0</v>
      </c>
      <c r="AF23" s="7">
        <f t="shared" si="15"/>
        <v>0</v>
      </c>
      <c r="AG23" s="7">
        <f t="shared" si="16"/>
        <v>0</v>
      </c>
      <c r="AH23" s="7">
        <f t="shared" si="17"/>
        <v>1</v>
      </c>
      <c r="AI23" s="7">
        <f t="shared" si="18"/>
        <v>0</v>
      </c>
      <c r="AJ23" s="7">
        <f t="shared" si="19"/>
        <v>0</v>
      </c>
      <c r="AK23" s="7">
        <f t="shared" si="20"/>
        <v>0</v>
      </c>
      <c r="AL23" s="7">
        <f t="shared" si="21"/>
        <v>1</v>
      </c>
      <c r="AM23" s="7">
        <f t="shared" si="22"/>
        <v>0</v>
      </c>
      <c r="AN23" s="7">
        <f t="shared" si="23"/>
        <v>0</v>
      </c>
      <c r="AO23" s="7">
        <f t="shared" si="24"/>
        <v>0</v>
      </c>
      <c r="AP23" s="7"/>
      <c r="AQ23" s="7">
        <f t="shared" si="25"/>
        <v>36</v>
      </c>
      <c r="AR23" s="7">
        <f t="shared" si="26"/>
        <v>36</v>
      </c>
      <c r="AS23" s="7">
        <f t="shared" si="27"/>
        <v>36</v>
      </c>
      <c r="AT23" s="7">
        <f t="shared" si="28"/>
        <v>36</v>
      </c>
      <c r="AU23" s="7">
        <f t="shared" si="29"/>
        <v>36</v>
      </c>
      <c r="AV23" s="7">
        <f t="shared" si="30"/>
        <v>36</v>
      </c>
      <c r="AW23" s="7">
        <f t="shared" si="31"/>
        <v>49</v>
      </c>
      <c r="AX23" s="7">
        <f t="shared" si="32"/>
        <v>49</v>
      </c>
      <c r="AY23" s="7">
        <f t="shared" si="33"/>
        <v>64</v>
      </c>
      <c r="AZ23" s="7">
        <f t="shared" si="34"/>
        <v>64</v>
      </c>
      <c r="BA23" s="7">
        <f t="shared" si="35"/>
        <v>81</v>
      </c>
      <c r="BB23" s="7">
        <f t="shared" si="36"/>
        <v>100</v>
      </c>
      <c r="BC23" s="7">
        <f t="shared" si="37"/>
        <v>121</v>
      </c>
      <c r="BD23" s="7"/>
      <c r="BE23" s="7">
        <v>1.1592E-2</v>
      </c>
      <c r="BF23" s="7">
        <v>1.1686999999999999E-2</v>
      </c>
      <c r="BG23" s="7">
        <v>1.1932999999999999E-2</v>
      </c>
      <c r="BH23" s="7">
        <v>1.2475999999999999E-2</v>
      </c>
      <c r="BI23" s="7">
        <v>1.3278E-2</v>
      </c>
      <c r="BJ23" s="7">
        <v>1.5086E-2</v>
      </c>
      <c r="BK23" s="7">
        <v>1.9022000000000001E-2</v>
      </c>
      <c r="BL23" s="7">
        <v>2.5427000000000002E-2</v>
      </c>
      <c r="BM23" s="7">
        <v>3.2257000000000001E-2</v>
      </c>
      <c r="BN23" s="7">
        <v>3.7627000000000001E-2</v>
      </c>
      <c r="BO23" s="7">
        <v>4.3064999999999999E-2</v>
      </c>
      <c r="BP23" s="7">
        <v>4.7412000000000003E-2</v>
      </c>
      <c r="BQ23" s="7">
        <v>4.8759999999999998E-2</v>
      </c>
    </row>
    <row r="24" spans="1:69" x14ac:dyDescent="0.25">
      <c r="A24" s="17">
        <v>22</v>
      </c>
      <c r="B24" s="7">
        <v>6</v>
      </c>
      <c r="C24" s="7">
        <v>6</v>
      </c>
      <c r="D24" s="7">
        <v>6</v>
      </c>
      <c r="E24" s="7">
        <v>6</v>
      </c>
      <c r="F24" s="7">
        <v>6</v>
      </c>
      <c r="G24" s="7">
        <v>7</v>
      </c>
      <c r="H24" s="7">
        <v>7</v>
      </c>
      <c r="I24" s="7">
        <v>7</v>
      </c>
      <c r="J24" s="7">
        <v>8</v>
      </c>
      <c r="K24" s="7">
        <v>9</v>
      </c>
      <c r="L24" s="7">
        <v>9</v>
      </c>
      <c r="M24" s="7">
        <v>10</v>
      </c>
      <c r="N24" s="7">
        <v>11</v>
      </c>
      <c r="O24" s="7"/>
      <c r="P24" s="7">
        <f t="shared" si="0"/>
        <v>0</v>
      </c>
      <c r="Q24" s="7">
        <f t="shared" si="1"/>
        <v>0</v>
      </c>
      <c r="R24" s="7">
        <f t="shared" si="2"/>
        <v>0</v>
      </c>
      <c r="S24" s="7">
        <f t="shared" si="3"/>
        <v>0</v>
      </c>
      <c r="T24" s="7">
        <f t="shared" si="4"/>
        <v>-1</v>
      </c>
      <c r="U24" s="7">
        <f t="shared" si="5"/>
        <v>0</v>
      </c>
      <c r="V24" s="7">
        <f t="shared" si="6"/>
        <v>0</v>
      </c>
      <c r="W24" s="7">
        <f t="shared" si="7"/>
        <v>-1</v>
      </c>
      <c r="X24" s="7">
        <f t="shared" si="8"/>
        <v>-1</v>
      </c>
      <c r="Y24" s="7">
        <f t="shared" si="9"/>
        <v>0</v>
      </c>
      <c r="Z24" s="7">
        <f t="shared" si="10"/>
        <v>-1</v>
      </c>
      <c r="AA24" s="7">
        <f t="shared" si="11"/>
        <v>-1</v>
      </c>
      <c r="AB24" s="7"/>
      <c r="AC24" s="7">
        <f t="shared" si="12"/>
        <v>0</v>
      </c>
      <c r="AD24" s="7">
        <f t="shared" si="13"/>
        <v>0</v>
      </c>
      <c r="AE24" s="7">
        <f t="shared" si="14"/>
        <v>0</v>
      </c>
      <c r="AF24" s="7">
        <f t="shared" si="15"/>
        <v>0</v>
      </c>
      <c r="AG24" s="7">
        <f t="shared" si="16"/>
        <v>1</v>
      </c>
      <c r="AH24" s="7">
        <f t="shared" si="17"/>
        <v>0</v>
      </c>
      <c r="AI24" s="7">
        <f t="shared" si="18"/>
        <v>0</v>
      </c>
      <c r="AJ24" s="7">
        <f t="shared" si="19"/>
        <v>1</v>
      </c>
      <c r="AK24" s="7">
        <f t="shared" si="20"/>
        <v>0</v>
      </c>
      <c r="AL24" s="7">
        <f t="shared" si="21"/>
        <v>0</v>
      </c>
      <c r="AM24" s="7">
        <f t="shared" si="22"/>
        <v>1</v>
      </c>
      <c r="AN24" s="7">
        <f t="shared" si="23"/>
        <v>0</v>
      </c>
      <c r="AO24" s="7">
        <f t="shared" si="24"/>
        <v>0</v>
      </c>
      <c r="AP24" s="7"/>
      <c r="AQ24" s="7">
        <f t="shared" si="25"/>
        <v>36</v>
      </c>
      <c r="AR24" s="7">
        <f t="shared" si="26"/>
        <v>36</v>
      </c>
      <c r="AS24" s="7">
        <f t="shared" si="27"/>
        <v>36</v>
      </c>
      <c r="AT24" s="7">
        <f t="shared" si="28"/>
        <v>36</v>
      </c>
      <c r="AU24" s="7">
        <f t="shared" si="29"/>
        <v>36</v>
      </c>
      <c r="AV24" s="7">
        <f t="shared" si="30"/>
        <v>49</v>
      </c>
      <c r="AW24" s="7">
        <f t="shared" si="31"/>
        <v>49</v>
      </c>
      <c r="AX24" s="7">
        <f t="shared" si="32"/>
        <v>49</v>
      </c>
      <c r="AY24" s="7">
        <f t="shared" si="33"/>
        <v>64</v>
      </c>
      <c r="AZ24" s="7">
        <f t="shared" si="34"/>
        <v>81</v>
      </c>
      <c r="BA24" s="7">
        <f t="shared" si="35"/>
        <v>81</v>
      </c>
      <c r="BB24" s="7">
        <f t="shared" si="36"/>
        <v>100</v>
      </c>
      <c r="BC24" s="7">
        <f t="shared" si="37"/>
        <v>121</v>
      </c>
      <c r="BD24" s="7"/>
      <c r="BE24" s="7">
        <v>1.2792E-2</v>
      </c>
      <c r="BF24" s="7">
        <v>1.2907999999999999E-2</v>
      </c>
      <c r="BG24" s="7">
        <v>1.3198E-2</v>
      </c>
      <c r="BH24" s="7">
        <v>1.3820000000000001E-2</v>
      </c>
      <c r="BI24" s="7">
        <v>1.4722000000000001E-2</v>
      </c>
      <c r="BJ24" s="7">
        <v>1.6719999999999999E-2</v>
      </c>
      <c r="BK24" s="7">
        <v>2.0964E-2</v>
      </c>
      <c r="BL24" s="7">
        <v>2.7612999999999999E-2</v>
      </c>
      <c r="BM24" s="7">
        <v>3.4349999999999999E-2</v>
      </c>
      <c r="BN24" s="7">
        <v>3.9336999999999997E-2</v>
      </c>
      <c r="BO24" s="7">
        <v>4.3970000000000002E-2</v>
      </c>
      <c r="BP24" s="7">
        <v>4.7009000000000002E-2</v>
      </c>
      <c r="BQ24" s="7">
        <v>4.6505999999999999E-2</v>
      </c>
    </row>
    <row r="25" spans="1:69" x14ac:dyDescent="0.25">
      <c r="A25" s="17">
        <v>23</v>
      </c>
      <c r="B25" s="7">
        <v>6</v>
      </c>
      <c r="C25" s="7">
        <v>6</v>
      </c>
      <c r="D25" s="7">
        <v>6</v>
      </c>
      <c r="E25" s="7">
        <v>6</v>
      </c>
      <c r="F25" s="7">
        <v>7</v>
      </c>
      <c r="G25" s="7">
        <v>7</v>
      </c>
      <c r="H25" s="7">
        <v>7</v>
      </c>
      <c r="I25" s="7">
        <v>8</v>
      </c>
      <c r="J25" s="7">
        <v>8</v>
      </c>
      <c r="K25" s="7">
        <v>9</v>
      </c>
      <c r="L25" s="7">
        <v>10</v>
      </c>
      <c r="M25" s="7">
        <v>10</v>
      </c>
      <c r="N25" s="7">
        <v>11</v>
      </c>
      <c r="O25" s="7"/>
      <c r="P25" s="7">
        <f t="shared" si="0"/>
        <v>0</v>
      </c>
      <c r="Q25" s="7">
        <f t="shared" si="1"/>
        <v>0</v>
      </c>
      <c r="R25" s="7">
        <f t="shared" si="2"/>
        <v>0</v>
      </c>
      <c r="S25" s="7">
        <f t="shared" si="3"/>
        <v>-1</v>
      </c>
      <c r="T25" s="7">
        <f t="shared" si="4"/>
        <v>0</v>
      </c>
      <c r="U25" s="7">
        <f t="shared" si="5"/>
        <v>0</v>
      </c>
      <c r="V25" s="7">
        <f t="shared" si="6"/>
        <v>-1</v>
      </c>
      <c r="W25" s="7">
        <f t="shared" si="7"/>
        <v>0</v>
      </c>
      <c r="X25" s="7">
        <f t="shared" si="8"/>
        <v>-1</v>
      </c>
      <c r="Y25" s="7">
        <f t="shared" si="9"/>
        <v>-1</v>
      </c>
      <c r="Z25" s="7">
        <f t="shared" si="10"/>
        <v>0</v>
      </c>
      <c r="AA25" s="7">
        <f t="shared" si="11"/>
        <v>-1</v>
      </c>
      <c r="AB25" s="7"/>
      <c r="AC25" s="7">
        <f t="shared" si="12"/>
        <v>1</v>
      </c>
      <c r="AD25" s="7">
        <f t="shared" si="13"/>
        <v>1</v>
      </c>
      <c r="AE25" s="7">
        <f t="shared" si="14"/>
        <v>1</v>
      </c>
      <c r="AF25" s="7">
        <f t="shared" si="15"/>
        <v>1</v>
      </c>
      <c r="AG25" s="7">
        <f t="shared" si="16"/>
        <v>0</v>
      </c>
      <c r="AH25" s="7">
        <f t="shared" si="17"/>
        <v>0</v>
      </c>
      <c r="AI25" s="7">
        <f t="shared" si="18"/>
        <v>0</v>
      </c>
      <c r="AJ25" s="7">
        <f t="shared" si="19"/>
        <v>0</v>
      </c>
      <c r="AK25" s="7">
        <f t="shared" si="20"/>
        <v>1</v>
      </c>
      <c r="AL25" s="7">
        <f t="shared" si="21"/>
        <v>0</v>
      </c>
      <c r="AM25" s="7">
        <f t="shared" si="22"/>
        <v>0</v>
      </c>
      <c r="AN25" s="7">
        <f t="shared" si="23"/>
        <v>1</v>
      </c>
      <c r="AO25" s="7">
        <f t="shared" si="24"/>
        <v>1</v>
      </c>
      <c r="AP25" s="7"/>
      <c r="AQ25" s="7">
        <f t="shared" si="25"/>
        <v>36</v>
      </c>
      <c r="AR25" s="7">
        <f t="shared" si="26"/>
        <v>36</v>
      </c>
      <c r="AS25" s="7">
        <f t="shared" si="27"/>
        <v>36</v>
      </c>
      <c r="AT25" s="7">
        <f t="shared" si="28"/>
        <v>36</v>
      </c>
      <c r="AU25" s="7">
        <f t="shared" si="29"/>
        <v>49</v>
      </c>
      <c r="AV25" s="7">
        <f t="shared" si="30"/>
        <v>49</v>
      </c>
      <c r="AW25" s="7">
        <f t="shared" si="31"/>
        <v>49</v>
      </c>
      <c r="AX25" s="7">
        <f t="shared" si="32"/>
        <v>64</v>
      </c>
      <c r="AY25" s="7">
        <f t="shared" si="33"/>
        <v>64</v>
      </c>
      <c r="AZ25" s="7">
        <f t="shared" si="34"/>
        <v>81</v>
      </c>
      <c r="BA25" s="7">
        <f t="shared" si="35"/>
        <v>100</v>
      </c>
      <c r="BB25" s="7">
        <f t="shared" si="36"/>
        <v>100</v>
      </c>
      <c r="BC25" s="7">
        <f t="shared" si="37"/>
        <v>121</v>
      </c>
      <c r="BD25" s="7"/>
      <c r="BE25" s="7">
        <v>1.4045999999999999E-2</v>
      </c>
      <c r="BF25" s="7">
        <v>1.4184E-2</v>
      </c>
      <c r="BG25" s="7">
        <v>1.452E-2</v>
      </c>
      <c r="BH25" s="7">
        <v>1.5223E-2</v>
      </c>
      <c r="BI25" s="7">
        <v>1.6222E-2</v>
      </c>
      <c r="BJ25" s="7">
        <v>1.8398000000000001E-2</v>
      </c>
      <c r="BK25" s="7">
        <v>2.29E-2</v>
      </c>
      <c r="BL25" s="7">
        <v>2.9673000000000001E-2</v>
      </c>
      <c r="BM25" s="7">
        <v>3.6151000000000003E-2</v>
      </c>
      <c r="BN25" s="7">
        <v>4.0613999999999997E-2</v>
      </c>
      <c r="BO25" s="7">
        <v>4.4318999999999997E-2</v>
      </c>
      <c r="BP25" s="7">
        <v>4.6012999999999998E-2</v>
      </c>
      <c r="BQ25" s="7">
        <v>4.3816000000000001E-2</v>
      </c>
    </row>
    <row r="26" spans="1:69" x14ac:dyDescent="0.25">
      <c r="A26" s="17">
        <v>24</v>
      </c>
      <c r="B26" s="7">
        <v>7</v>
      </c>
      <c r="C26" s="7">
        <v>7</v>
      </c>
      <c r="D26" s="7">
        <v>7</v>
      </c>
      <c r="E26" s="7">
        <v>7</v>
      </c>
      <c r="F26" s="7">
        <v>7</v>
      </c>
      <c r="G26" s="7">
        <v>7</v>
      </c>
      <c r="H26" s="7">
        <v>7</v>
      </c>
      <c r="I26" s="7">
        <v>8</v>
      </c>
      <c r="J26" s="7">
        <v>9</v>
      </c>
      <c r="K26" s="7">
        <v>9</v>
      </c>
      <c r="L26" s="7">
        <v>10</v>
      </c>
      <c r="M26" s="7">
        <v>11</v>
      </c>
      <c r="N26" s="7">
        <v>12</v>
      </c>
      <c r="O26" s="7"/>
      <c r="P26" s="7">
        <f t="shared" si="0"/>
        <v>0</v>
      </c>
      <c r="Q26" s="7">
        <f t="shared" si="1"/>
        <v>0</v>
      </c>
      <c r="R26" s="7">
        <f t="shared" si="2"/>
        <v>0</v>
      </c>
      <c r="S26" s="7">
        <f t="shared" si="3"/>
        <v>0</v>
      </c>
      <c r="T26" s="7">
        <f t="shared" si="4"/>
        <v>0</v>
      </c>
      <c r="U26" s="7">
        <f t="shared" si="5"/>
        <v>0</v>
      </c>
      <c r="V26" s="7">
        <f t="shared" si="6"/>
        <v>-1</v>
      </c>
      <c r="W26" s="7">
        <f t="shared" si="7"/>
        <v>-1</v>
      </c>
      <c r="X26" s="7">
        <f t="shared" si="8"/>
        <v>0</v>
      </c>
      <c r="Y26" s="7">
        <f t="shared" si="9"/>
        <v>-1</v>
      </c>
      <c r="Z26" s="7">
        <f t="shared" si="10"/>
        <v>-1</v>
      </c>
      <c r="AA26" s="7">
        <f t="shared" si="11"/>
        <v>-1</v>
      </c>
      <c r="AB26" s="7"/>
      <c r="AC26" s="7">
        <f t="shared" si="12"/>
        <v>0</v>
      </c>
      <c r="AD26" s="7">
        <f t="shared" si="13"/>
        <v>0</v>
      </c>
      <c r="AE26" s="7">
        <f t="shared" si="14"/>
        <v>0</v>
      </c>
      <c r="AF26" s="7">
        <f t="shared" si="15"/>
        <v>0</v>
      </c>
      <c r="AG26" s="7">
        <f t="shared" si="16"/>
        <v>0</v>
      </c>
      <c r="AH26" s="7">
        <f t="shared" si="17"/>
        <v>0</v>
      </c>
      <c r="AI26" s="7">
        <f t="shared" si="18"/>
        <v>1</v>
      </c>
      <c r="AJ26" s="7">
        <f t="shared" si="19"/>
        <v>0</v>
      </c>
      <c r="AK26" s="7">
        <f t="shared" si="20"/>
        <v>0</v>
      </c>
      <c r="AL26" s="7">
        <f t="shared" si="21"/>
        <v>1</v>
      </c>
      <c r="AM26" s="7">
        <f t="shared" si="22"/>
        <v>0</v>
      </c>
      <c r="AN26" s="7">
        <f t="shared" si="23"/>
        <v>0</v>
      </c>
      <c r="AO26" s="7">
        <f t="shared" si="24"/>
        <v>0</v>
      </c>
      <c r="AP26" s="7"/>
      <c r="AQ26" s="7">
        <f t="shared" si="25"/>
        <v>49</v>
      </c>
      <c r="AR26" s="7">
        <f t="shared" si="26"/>
        <v>49</v>
      </c>
      <c r="AS26" s="7">
        <f t="shared" si="27"/>
        <v>49</v>
      </c>
      <c r="AT26" s="7">
        <f t="shared" si="28"/>
        <v>49</v>
      </c>
      <c r="AU26" s="7">
        <f t="shared" si="29"/>
        <v>49</v>
      </c>
      <c r="AV26" s="7">
        <f t="shared" si="30"/>
        <v>49</v>
      </c>
      <c r="AW26" s="7">
        <f t="shared" si="31"/>
        <v>49</v>
      </c>
      <c r="AX26" s="7">
        <f t="shared" si="32"/>
        <v>64</v>
      </c>
      <c r="AY26" s="7">
        <f t="shared" si="33"/>
        <v>81</v>
      </c>
      <c r="AZ26" s="7">
        <f t="shared" si="34"/>
        <v>81</v>
      </c>
      <c r="BA26" s="7">
        <f t="shared" si="35"/>
        <v>100</v>
      </c>
      <c r="BB26" s="7">
        <f t="shared" si="36"/>
        <v>121</v>
      </c>
      <c r="BC26" s="7">
        <f t="shared" si="37"/>
        <v>144</v>
      </c>
      <c r="BD26" s="7"/>
      <c r="BE26" s="7">
        <v>1.5347E-2</v>
      </c>
      <c r="BF26" s="7">
        <v>1.5507999999999999E-2</v>
      </c>
      <c r="BG26" s="7">
        <v>1.5890999999999999E-2</v>
      </c>
      <c r="BH26" s="7">
        <v>1.6671999999999999E-2</v>
      </c>
      <c r="BI26" s="7">
        <v>1.7763999999999999E-2</v>
      </c>
      <c r="BJ26" s="7">
        <v>2.0098000000000001E-2</v>
      </c>
      <c r="BK26" s="7">
        <v>2.4798000000000001E-2</v>
      </c>
      <c r="BL26" s="7">
        <v>3.1559999999999998E-2</v>
      </c>
      <c r="BM26" s="7">
        <v>3.7616999999999998E-2</v>
      </c>
      <c r="BN26" s="7">
        <v>4.1436000000000001E-2</v>
      </c>
      <c r="BO26" s="7">
        <v>4.4128000000000001E-2</v>
      </c>
      <c r="BP26" s="7">
        <v>4.4500999999999999E-2</v>
      </c>
      <c r="BQ26" s="7">
        <v>4.0804E-2</v>
      </c>
    </row>
    <row r="27" spans="1:69" x14ac:dyDescent="0.25">
      <c r="A27" s="17">
        <v>25</v>
      </c>
      <c r="B27" s="7">
        <v>7</v>
      </c>
      <c r="C27" s="7">
        <v>7</v>
      </c>
      <c r="D27" s="7">
        <v>7</v>
      </c>
      <c r="E27" s="7">
        <v>7</v>
      </c>
      <c r="F27" s="7">
        <v>7</v>
      </c>
      <c r="G27" s="7">
        <v>7</v>
      </c>
      <c r="H27" s="7">
        <v>8</v>
      </c>
      <c r="I27" s="7">
        <v>8</v>
      </c>
      <c r="J27" s="7">
        <v>9</v>
      </c>
      <c r="K27" s="7">
        <v>10</v>
      </c>
      <c r="L27" s="7">
        <v>10</v>
      </c>
      <c r="M27" s="7">
        <v>11</v>
      </c>
      <c r="N27" s="7">
        <v>12</v>
      </c>
      <c r="O27" s="7"/>
      <c r="P27" s="7">
        <f t="shared" si="0"/>
        <v>0</v>
      </c>
      <c r="Q27" s="7">
        <f t="shared" si="1"/>
        <v>0</v>
      </c>
      <c r="R27" s="7">
        <f t="shared" si="2"/>
        <v>0</v>
      </c>
      <c r="S27" s="7">
        <f t="shared" si="3"/>
        <v>0</v>
      </c>
      <c r="T27" s="7">
        <f t="shared" si="4"/>
        <v>0</v>
      </c>
      <c r="U27" s="7">
        <f t="shared" si="5"/>
        <v>-1</v>
      </c>
      <c r="V27" s="7">
        <f t="shared" si="6"/>
        <v>0</v>
      </c>
      <c r="W27" s="7">
        <f t="shared" si="7"/>
        <v>-1</v>
      </c>
      <c r="X27" s="7">
        <f t="shared" si="8"/>
        <v>-1</v>
      </c>
      <c r="Y27" s="7">
        <f t="shared" si="9"/>
        <v>0</v>
      </c>
      <c r="Z27" s="7">
        <f t="shared" si="10"/>
        <v>-1</v>
      </c>
      <c r="AA27" s="7">
        <f t="shared" si="11"/>
        <v>-1</v>
      </c>
      <c r="AB27" s="7"/>
      <c r="AC27" s="7">
        <f t="shared" si="12"/>
        <v>0</v>
      </c>
      <c r="AD27" s="7">
        <f t="shared" si="13"/>
        <v>0</v>
      </c>
      <c r="AE27" s="7">
        <f t="shared" si="14"/>
        <v>0</v>
      </c>
      <c r="AF27" s="7">
        <f t="shared" si="15"/>
        <v>0</v>
      </c>
      <c r="AG27" s="7">
        <f t="shared" si="16"/>
        <v>0</v>
      </c>
      <c r="AH27" s="7">
        <f t="shared" si="17"/>
        <v>1</v>
      </c>
      <c r="AI27" s="7">
        <f t="shared" si="18"/>
        <v>0</v>
      </c>
      <c r="AJ27" s="7">
        <f t="shared" si="19"/>
        <v>1</v>
      </c>
      <c r="AK27" s="7">
        <f t="shared" si="20"/>
        <v>0</v>
      </c>
      <c r="AL27" s="7">
        <f t="shared" si="21"/>
        <v>0</v>
      </c>
      <c r="AM27" s="7">
        <f t="shared" si="22"/>
        <v>1</v>
      </c>
      <c r="AN27" s="7">
        <f t="shared" si="23"/>
        <v>0</v>
      </c>
      <c r="AO27" s="7">
        <f t="shared" si="24"/>
        <v>0</v>
      </c>
      <c r="AP27" s="7"/>
      <c r="AQ27" s="7">
        <f t="shared" si="25"/>
        <v>49</v>
      </c>
      <c r="AR27" s="7">
        <f t="shared" si="26"/>
        <v>49</v>
      </c>
      <c r="AS27" s="7">
        <f t="shared" si="27"/>
        <v>49</v>
      </c>
      <c r="AT27" s="7">
        <f t="shared" si="28"/>
        <v>49</v>
      </c>
      <c r="AU27" s="7">
        <f t="shared" si="29"/>
        <v>49</v>
      </c>
      <c r="AV27" s="7">
        <f t="shared" si="30"/>
        <v>49</v>
      </c>
      <c r="AW27" s="7">
        <f t="shared" si="31"/>
        <v>64</v>
      </c>
      <c r="AX27" s="7">
        <f t="shared" si="32"/>
        <v>64</v>
      </c>
      <c r="AY27" s="7">
        <f t="shared" si="33"/>
        <v>81</v>
      </c>
      <c r="AZ27" s="7">
        <f t="shared" si="34"/>
        <v>100</v>
      </c>
      <c r="BA27" s="7">
        <f t="shared" si="35"/>
        <v>100</v>
      </c>
      <c r="BB27" s="7">
        <f t="shared" si="36"/>
        <v>121</v>
      </c>
      <c r="BC27" s="7">
        <f t="shared" si="37"/>
        <v>144</v>
      </c>
      <c r="BD27" s="7"/>
      <c r="BE27" s="7">
        <v>1.6684999999999998E-2</v>
      </c>
      <c r="BF27" s="7">
        <v>1.687E-2</v>
      </c>
      <c r="BG27" s="7">
        <v>1.7298000000000001E-2</v>
      </c>
      <c r="BH27" s="7">
        <v>1.8154E-2</v>
      </c>
      <c r="BI27" s="7">
        <v>1.933E-2</v>
      </c>
      <c r="BJ27" s="7">
        <v>2.1798999999999999E-2</v>
      </c>
      <c r="BK27" s="7">
        <v>2.6623999999999998E-2</v>
      </c>
      <c r="BL27" s="7">
        <v>3.3231999999999998E-2</v>
      </c>
      <c r="BM27" s="7">
        <v>3.8713999999999998E-2</v>
      </c>
      <c r="BN27" s="7">
        <v>4.1794999999999999E-2</v>
      </c>
      <c r="BO27" s="7">
        <v>4.3434E-2</v>
      </c>
      <c r="BP27" s="7">
        <v>4.2554000000000002E-2</v>
      </c>
      <c r="BQ27" s="7">
        <v>3.7573000000000002E-2</v>
      </c>
    </row>
    <row r="28" spans="1:69" x14ac:dyDescent="0.25">
      <c r="A28" s="17">
        <v>26</v>
      </c>
      <c r="B28" s="7">
        <v>7</v>
      </c>
      <c r="C28" s="7">
        <v>7</v>
      </c>
      <c r="D28" s="7">
        <v>7</v>
      </c>
      <c r="E28" s="7">
        <v>7</v>
      </c>
      <c r="F28" s="7">
        <v>7</v>
      </c>
      <c r="G28" s="7">
        <v>8</v>
      </c>
      <c r="H28" s="7">
        <v>8</v>
      </c>
      <c r="I28" s="7">
        <v>9</v>
      </c>
      <c r="J28" s="7">
        <v>9</v>
      </c>
      <c r="K28" s="7">
        <v>10</v>
      </c>
      <c r="L28" s="7">
        <v>11</v>
      </c>
      <c r="M28" s="7">
        <v>11</v>
      </c>
      <c r="N28" s="7">
        <v>12</v>
      </c>
      <c r="O28" s="7"/>
      <c r="P28" s="7">
        <f t="shared" si="0"/>
        <v>0</v>
      </c>
      <c r="Q28" s="7">
        <f t="shared" si="1"/>
        <v>0</v>
      </c>
      <c r="R28" s="7">
        <f t="shared" si="2"/>
        <v>0</v>
      </c>
      <c r="S28" s="7">
        <f t="shared" si="3"/>
        <v>0</v>
      </c>
      <c r="T28" s="7">
        <f t="shared" si="4"/>
        <v>-1</v>
      </c>
      <c r="U28" s="7">
        <f t="shared" si="5"/>
        <v>0</v>
      </c>
      <c r="V28" s="7">
        <f t="shared" si="6"/>
        <v>-1</v>
      </c>
      <c r="W28" s="7">
        <f t="shared" si="7"/>
        <v>0</v>
      </c>
      <c r="X28" s="7">
        <f t="shared" si="8"/>
        <v>-1</v>
      </c>
      <c r="Y28" s="7">
        <f t="shared" si="9"/>
        <v>-1</v>
      </c>
      <c r="Z28" s="7">
        <f t="shared" si="10"/>
        <v>0</v>
      </c>
      <c r="AA28" s="7">
        <f t="shared" si="11"/>
        <v>-1</v>
      </c>
      <c r="AB28" s="7"/>
      <c r="AC28" s="7">
        <f t="shared" si="12"/>
        <v>0</v>
      </c>
      <c r="AD28" s="7">
        <f t="shared" si="13"/>
        <v>0</v>
      </c>
      <c r="AE28" s="7">
        <f t="shared" si="14"/>
        <v>0</v>
      </c>
      <c r="AF28" s="7">
        <f t="shared" si="15"/>
        <v>0</v>
      </c>
      <c r="AG28" s="7">
        <f t="shared" si="16"/>
        <v>0</v>
      </c>
      <c r="AH28" s="7">
        <f t="shared" si="17"/>
        <v>0</v>
      </c>
      <c r="AI28" s="7">
        <f t="shared" si="18"/>
        <v>0</v>
      </c>
      <c r="AJ28" s="7">
        <f t="shared" si="19"/>
        <v>0</v>
      </c>
      <c r="AK28" s="7">
        <f t="shared" si="20"/>
        <v>1</v>
      </c>
      <c r="AL28" s="7">
        <f t="shared" si="21"/>
        <v>0</v>
      </c>
      <c r="AM28" s="7">
        <f t="shared" si="22"/>
        <v>0</v>
      </c>
      <c r="AN28" s="7">
        <f t="shared" si="23"/>
        <v>1</v>
      </c>
      <c r="AO28" s="7">
        <f t="shared" si="24"/>
        <v>1</v>
      </c>
      <c r="AP28" s="7"/>
      <c r="AQ28" s="7">
        <f t="shared" si="25"/>
        <v>49</v>
      </c>
      <c r="AR28" s="7">
        <f t="shared" si="26"/>
        <v>49</v>
      </c>
      <c r="AS28" s="7">
        <f t="shared" si="27"/>
        <v>49</v>
      </c>
      <c r="AT28" s="7">
        <f t="shared" si="28"/>
        <v>49</v>
      </c>
      <c r="AU28" s="7">
        <f t="shared" si="29"/>
        <v>49</v>
      </c>
      <c r="AV28" s="7">
        <f t="shared" si="30"/>
        <v>64</v>
      </c>
      <c r="AW28" s="7">
        <f t="shared" si="31"/>
        <v>64</v>
      </c>
      <c r="AX28" s="7">
        <f t="shared" si="32"/>
        <v>81</v>
      </c>
      <c r="AY28" s="7">
        <f t="shared" si="33"/>
        <v>81</v>
      </c>
      <c r="AZ28" s="7">
        <f t="shared" si="34"/>
        <v>100</v>
      </c>
      <c r="BA28" s="7">
        <f t="shared" si="35"/>
        <v>121</v>
      </c>
      <c r="BB28" s="7">
        <f t="shared" si="36"/>
        <v>121</v>
      </c>
      <c r="BC28" s="7">
        <f t="shared" si="37"/>
        <v>144</v>
      </c>
      <c r="BD28" s="7"/>
      <c r="BE28" s="7">
        <v>1.8048999999999999E-2</v>
      </c>
      <c r="BF28" s="7">
        <v>1.8258E-2</v>
      </c>
      <c r="BG28" s="7">
        <v>1.873E-2</v>
      </c>
      <c r="BH28" s="7">
        <v>1.9653E-2</v>
      </c>
      <c r="BI28" s="7">
        <v>2.0902E-2</v>
      </c>
      <c r="BJ28" s="7">
        <v>2.3473000000000001E-2</v>
      </c>
      <c r="BK28" s="7">
        <v>2.8343E-2</v>
      </c>
      <c r="BL28" s="7">
        <v>3.4652000000000002E-2</v>
      </c>
      <c r="BM28" s="7">
        <v>3.9424000000000001E-2</v>
      </c>
      <c r="BN28" s="7">
        <v>4.1699E-2</v>
      </c>
      <c r="BO28" s="7">
        <v>4.2285999999999997E-2</v>
      </c>
      <c r="BP28" s="7">
        <v>4.0259999999999997E-2</v>
      </c>
      <c r="BQ28" s="7">
        <v>3.4211999999999999E-2</v>
      </c>
    </row>
    <row r="29" spans="1:69" x14ac:dyDescent="0.25">
      <c r="A29" s="17">
        <v>27</v>
      </c>
      <c r="B29" s="7">
        <v>7</v>
      </c>
      <c r="C29" s="7">
        <v>7</v>
      </c>
      <c r="D29" s="7">
        <v>7</v>
      </c>
      <c r="E29" s="7">
        <v>7</v>
      </c>
      <c r="F29" s="7">
        <v>7</v>
      </c>
      <c r="G29" s="7">
        <v>8</v>
      </c>
      <c r="H29" s="7">
        <v>8</v>
      </c>
      <c r="I29" s="7">
        <v>9</v>
      </c>
      <c r="J29" s="7">
        <v>10</v>
      </c>
      <c r="K29" s="7">
        <v>10</v>
      </c>
      <c r="L29" s="7">
        <v>11</v>
      </c>
      <c r="M29" s="7">
        <v>12</v>
      </c>
      <c r="N29" s="7">
        <v>13</v>
      </c>
      <c r="O29" s="7"/>
      <c r="P29" s="7">
        <f t="shared" si="0"/>
        <v>0</v>
      </c>
      <c r="Q29" s="7">
        <f t="shared" si="1"/>
        <v>0</v>
      </c>
      <c r="R29" s="7">
        <f t="shared" si="2"/>
        <v>0</v>
      </c>
      <c r="S29" s="7">
        <f t="shared" si="3"/>
        <v>0</v>
      </c>
      <c r="T29" s="7">
        <f t="shared" si="4"/>
        <v>-1</v>
      </c>
      <c r="U29" s="7">
        <f t="shared" si="5"/>
        <v>0</v>
      </c>
      <c r="V29" s="7">
        <f t="shared" si="6"/>
        <v>-1</v>
      </c>
      <c r="W29" s="7">
        <f t="shared" si="7"/>
        <v>-1</v>
      </c>
      <c r="X29" s="7">
        <f t="shared" si="8"/>
        <v>0</v>
      </c>
      <c r="Y29" s="7">
        <f t="shared" si="9"/>
        <v>-1</v>
      </c>
      <c r="Z29" s="7">
        <f t="shared" si="10"/>
        <v>-1</v>
      </c>
      <c r="AA29" s="7">
        <f t="shared" si="11"/>
        <v>-1</v>
      </c>
      <c r="AB29" s="7"/>
      <c r="AC29" s="7">
        <f t="shared" si="12"/>
        <v>0</v>
      </c>
      <c r="AD29" s="7">
        <f t="shared" si="13"/>
        <v>0</v>
      </c>
      <c r="AE29" s="7">
        <f t="shared" si="14"/>
        <v>0</v>
      </c>
      <c r="AF29" s="7">
        <f t="shared" si="15"/>
        <v>1</v>
      </c>
      <c r="AG29" s="7">
        <f t="shared" si="16"/>
        <v>1</v>
      </c>
      <c r="AH29" s="7">
        <f t="shared" si="17"/>
        <v>0</v>
      </c>
      <c r="AI29" s="7">
        <f t="shared" si="18"/>
        <v>0</v>
      </c>
      <c r="AJ29" s="7">
        <f t="shared" si="19"/>
        <v>0</v>
      </c>
      <c r="AK29" s="7">
        <f t="shared" si="20"/>
        <v>0</v>
      </c>
      <c r="AL29" s="7">
        <f t="shared" si="21"/>
        <v>0</v>
      </c>
      <c r="AM29" s="7">
        <f t="shared" si="22"/>
        <v>0</v>
      </c>
      <c r="AN29" s="7">
        <f t="shared" si="23"/>
        <v>0</v>
      </c>
      <c r="AO29" s="7">
        <f t="shared" si="24"/>
        <v>0</v>
      </c>
      <c r="AP29" s="7"/>
      <c r="AQ29" s="7">
        <f t="shared" si="25"/>
        <v>49</v>
      </c>
      <c r="AR29" s="7">
        <f t="shared" si="26"/>
        <v>49</v>
      </c>
      <c r="AS29" s="7">
        <f t="shared" si="27"/>
        <v>49</v>
      </c>
      <c r="AT29" s="7">
        <f t="shared" si="28"/>
        <v>49</v>
      </c>
      <c r="AU29" s="7">
        <f t="shared" si="29"/>
        <v>49</v>
      </c>
      <c r="AV29" s="7">
        <f t="shared" si="30"/>
        <v>64</v>
      </c>
      <c r="AW29" s="7">
        <f t="shared" si="31"/>
        <v>64</v>
      </c>
      <c r="AX29" s="7">
        <f t="shared" si="32"/>
        <v>81</v>
      </c>
      <c r="AY29" s="7">
        <f t="shared" si="33"/>
        <v>100</v>
      </c>
      <c r="AZ29" s="7">
        <f t="shared" si="34"/>
        <v>100</v>
      </c>
      <c r="BA29" s="7">
        <f t="shared" si="35"/>
        <v>121</v>
      </c>
      <c r="BB29" s="7">
        <f t="shared" si="36"/>
        <v>144</v>
      </c>
      <c r="BC29" s="7">
        <f t="shared" si="37"/>
        <v>169</v>
      </c>
      <c r="BD29" s="7"/>
      <c r="BE29" s="7">
        <v>1.9428000000000001E-2</v>
      </c>
      <c r="BF29" s="7">
        <v>1.9658999999999999E-2</v>
      </c>
      <c r="BG29" s="7">
        <v>2.017E-2</v>
      </c>
      <c r="BH29" s="7">
        <v>2.1153000000000002E-2</v>
      </c>
      <c r="BI29" s="7">
        <v>2.2460000000000001E-2</v>
      </c>
      <c r="BJ29" s="7">
        <v>2.5097000000000001E-2</v>
      </c>
      <c r="BK29" s="7">
        <v>2.9922000000000001E-2</v>
      </c>
      <c r="BL29" s="7">
        <v>3.5789000000000001E-2</v>
      </c>
      <c r="BM29" s="7">
        <v>3.9738000000000002E-2</v>
      </c>
      <c r="BN29" s="7">
        <v>4.1170999999999999E-2</v>
      </c>
      <c r="BO29" s="7">
        <v>4.0743000000000001E-2</v>
      </c>
      <c r="BP29" s="7">
        <v>3.7700999999999998E-2</v>
      </c>
      <c r="BQ29" s="7">
        <v>3.0797000000000001E-2</v>
      </c>
    </row>
    <row r="30" spans="1:69" x14ac:dyDescent="0.25">
      <c r="A30" s="17">
        <v>28</v>
      </c>
      <c r="B30" s="7">
        <v>7</v>
      </c>
      <c r="C30" s="7">
        <v>7</v>
      </c>
      <c r="D30" s="7">
        <v>7</v>
      </c>
      <c r="E30" s="7">
        <v>8</v>
      </c>
      <c r="F30" s="7">
        <v>8</v>
      </c>
      <c r="G30" s="7">
        <v>8</v>
      </c>
      <c r="H30" s="7">
        <v>8</v>
      </c>
      <c r="I30" s="7">
        <v>9</v>
      </c>
      <c r="J30" s="7">
        <v>10</v>
      </c>
      <c r="K30" s="7">
        <v>10</v>
      </c>
      <c r="L30" s="7">
        <v>11</v>
      </c>
      <c r="M30" s="7">
        <v>12</v>
      </c>
      <c r="N30" s="7">
        <v>13</v>
      </c>
      <c r="O30" s="7"/>
      <c r="P30" s="7">
        <f t="shared" si="0"/>
        <v>0</v>
      </c>
      <c r="Q30" s="7">
        <f t="shared" si="1"/>
        <v>0</v>
      </c>
      <c r="R30" s="7">
        <f t="shared" si="2"/>
        <v>-1</v>
      </c>
      <c r="S30" s="7">
        <f t="shared" si="3"/>
        <v>0</v>
      </c>
      <c r="T30" s="7">
        <f t="shared" si="4"/>
        <v>0</v>
      </c>
      <c r="U30" s="7">
        <f t="shared" si="5"/>
        <v>0</v>
      </c>
      <c r="V30" s="7">
        <f t="shared" si="6"/>
        <v>-1</v>
      </c>
      <c r="W30" s="7">
        <f t="shared" si="7"/>
        <v>-1</v>
      </c>
      <c r="X30" s="7">
        <f t="shared" si="8"/>
        <v>0</v>
      </c>
      <c r="Y30" s="7">
        <f t="shared" si="9"/>
        <v>-1</v>
      </c>
      <c r="Z30" s="7">
        <f t="shared" si="10"/>
        <v>-1</v>
      </c>
      <c r="AA30" s="7">
        <f t="shared" si="11"/>
        <v>-1</v>
      </c>
      <c r="AB30" s="7"/>
      <c r="AC30" s="7">
        <f t="shared" si="12"/>
        <v>1</v>
      </c>
      <c r="AD30" s="7">
        <f t="shared" si="13"/>
        <v>1</v>
      </c>
      <c r="AE30" s="7">
        <f t="shared" si="14"/>
        <v>1</v>
      </c>
      <c r="AF30" s="7">
        <f t="shared" si="15"/>
        <v>0</v>
      </c>
      <c r="AG30" s="7">
        <f t="shared" si="16"/>
        <v>0</v>
      </c>
      <c r="AH30" s="7">
        <f t="shared" si="17"/>
        <v>0</v>
      </c>
      <c r="AI30" s="7">
        <f t="shared" si="18"/>
        <v>1</v>
      </c>
      <c r="AJ30" s="7">
        <f t="shared" si="19"/>
        <v>0</v>
      </c>
      <c r="AK30" s="7">
        <f t="shared" si="20"/>
        <v>0</v>
      </c>
      <c r="AL30" s="7">
        <f t="shared" si="21"/>
        <v>1</v>
      </c>
      <c r="AM30" s="7">
        <f t="shared" si="22"/>
        <v>0</v>
      </c>
      <c r="AN30" s="7">
        <f t="shared" si="23"/>
        <v>0</v>
      </c>
      <c r="AO30" s="7">
        <f t="shared" si="24"/>
        <v>0</v>
      </c>
      <c r="AP30" s="7"/>
      <c r="AQ30" s="7">
        <f t="shared" si="25"/>
        <v>49</v>
      </c>
      <c r="AR30" s="7">
        <f t="shared" si="26"/>
        <v>49</v>
      </c>
      <c r="AS30" s="7">
        <f t="shared" si="27"/>
        <v>49</v>
      </c>
      <c r="AT30" s="7">
        <f t="shared" si="28"/>
        <v>64</v>
      </c>
      <c r="AU30" s="7">
        <f t="shared" si="29"/>
        <v>64</v>
      </c>
      <c r="AV30" s="7">
        <f t="shared" si="30"/>
        <v>64</v>
      </c>
      <c r="AW30" s="7">
        <f t="shared" si="31"/>
        <v>64</v>
      </c>
      <c r="AX30" s="7">
        <f t="shared" si="32"/>
        <v>81</v>
      </c>
      <c r="AY30" s="7">
        <f t="shared" si="33"/>
        <v>100</v>
      </c>
      <c r="AZ30" s="7">
        <f t="shared" si="34"/>
        <v>100</v>
      </c>
      <c r="BA30" s="7">
        <f t="shared" si="35"/>
        <v>121</v>
      </c>
      <c r="BB30" s="7">
        <f t="shared" si="36"/>
        <v>144</v>
      </c>
      <c r="BC30" s="7">
        <f t="shared" si="37"/>
        <v>169</v>
      </c>
      <c r="BD30" s="7"/>
      <c r="BE30" s="7">
        <v>2.0808E-2</v>
      </c>
      <c r="BF30" s="7">
        <v>2.1058E-2</v>
      </c>
      <c r="BG30" s="7">
        <v>2.1604000000000002E-2</v>
      </c>
      <c r="BH30" s="7">
        <v>2.2634999999999999E-2</v>
      </c>
      <c r="BI30" s="7">
        <v>2.3980999999999999E-2</v>
      </c>
      <c r="BJ30" s="7">
        <v>2.6641000000000001E-2</v>
      </c>
      <c r="BK30" s="7">
        <v>3.1328000000000002E-2</v>
      </c>
      <c r="BL30" s="7">
        <v>3.6621000000000001E-2</v>
      </c>
      <c r="BM30" s="7">
        <v>3.9662000000000003E-2</v>
      </c>
      <c r="BN30" s="7">
        <v>4.0245000000000003E-2</v>
      </c>
      <c r="BO30" s="7">
        <v>3.8869000000000001E-2</v>
      </c>
      <c r="BP30" s="7">
        <v>3.4953999999999999E-2</v>
      </c>
      <c r="BQ30" s="7">
        <v>2.7396E-2</v>
      </c>
    </row>
    <row r="31" spans="1:69" x14ac:dyDescent="0.25">
      <c r="A31" s="17">
        <v>29</v>
      </c>
      <c r="B31" s="7">
        <v>8</v>
      </c>
      <c r="C31" s="7">
        <v>8</v>
      </c>
      <c r="D31" s="7">
        <v>8</v>
      </c>
      <c r="E31" s="7">
        <v>8</v>
      </c>
      <c r="F31" s="7">
        <v>8</v>
      </c>
      <c r="G31" s="7">
        <v>8</v>
      </c>
      <c r="H31" s="7">
        <v>9</v>
      </c>
      <c r="I31" s="7">
        <v>9</v>
      </c>
      <c r="J31" s="7">
        <v>10</v>
      </c>
      <c r="K31" s="7">
        <v>11</v>
      </c>
      <c r="L31" s="7">
        <v>11</v>
      </c>
      <c r="M31" s="7">
        <v>12</v>
      </c>
      <c r="N31" s="7">
        <v>13</v>
      </c>
      <c r="O31" s="7"/>
      <c r="P31" s="7">
        <f t="shared" si="0"/>
        <v>0</v>
      </c>
      <c r="Q31" s="7">
        <f t="shared" si="1"/>
        <v>0</v>
      </c>
      <c r="R31" s="7">
        <f t="shared" si="2"/>
        <v>0</v>
      </c>
      <c r="S31" s="7">
        <f t="shared" si="3"/>
        <v>0</v>
      </c>
      <c r="T31" s="7">
        <f t="shared" si="4"/>
        <v>0</v>
      </c>
      <c r="U31" s="7">
        <f t="shared" si="5"/>
        <v>-1</v>
      </c>
      <c r="V31" s="7">
        <f t="shared" si="6"/>
        <v>0</v>
      </c>
      <c r="W31" s="7">
        <f t="shared" si="7"/>
        <v>-1</v>
      </c>
      <c r="X31" s="7">
        <f t="shared" si="8"/>
        <v>-1</v>
      </c>
      <c r="Y31" s="7">
        <f t="shared" si="9"/>
        <v>0</v>
      </c>
      <c r="Z31" s="7">
        <f t="shared" si="10"/>
        <v>-1</v>
      </c>
      <c r="AA31" s="7">
        <f t="shared" si="11"/>
        <v>-1</v>
      </c>
      <c r="AB31" s="7"/>
      <c r="AC31" s="7">
        <f t="shared" si="12"/>
        <v>0</v>
      </c>
      <c r="AD31" s="7">
        <f t="shared" si="13"/>
        <v>0</v>
      </c>
      <c r="AE31" s="7">
        <f t="shared" si="14"/>
        <v>0</v>
      </c>
      <c r="AF31" s="7">
        <f t="shared" si="15"/>
        <v>0</v>
      </c>
      <c r="AG31" s="7">
        <f t="shared" si="16"/>
        <v>0</v>
      </c>
      <c r="AH31" s="7">
        <f t="shared" si="17"/>
        <v>1</v>
      </c>
      <c r="AI31" s="7">
        <f t="shared" si="18"/>
        <v>0</v>
      </c>
      <c r="AJ31" s="7">
        <f t="shared" si="19"/>
        <v>1</v>
      </c>
      <c r="AK31" s="7">
        <f t="shared" si="20"/>
        <v>0</v>
      </c>
      <c r="AL31" s="7">
        <f t="shared" si="21"/>
        <v>0</v>
      </c>
      <c r="AM31" s="7">
        <f t="shared" si="22"/>
        <v>1</v>
      </c>
      <c r="AN31" s="7">
        <f t="shared" si="23"/>
        <v>1</v>
      </c>
      <c r="AO31" s="7">
        <f t="shared" si="24"/>
        <v>1</v>
      </c>
      <c r="AP31" s="7"/>
      <c r="AQ31" s="7">
        <f t="shared" si="25"/>
        <v>64</v>
      </c>
      <c r="AR31" s="7">
        <f t="shared" si="26"/>
        <v>64</v>
      </c>
      <c r="AS31" s="7">
        <f t="shared" si="27"/>
        <v>64</v>
      </c>
      <c r="AT31" s="7">
        <f t="shared" si="28"/>
        <v>64</v>
      </c>
      <c r="AU31" s="7">
        <f t="shared" si="29"/>
        <v>64</v>
      </c>
      <c r="AV31" s="7">
        <f t="shared" si="30"/>
        <v>64</v>
      </c>
      <c r="AW31" s="7">
        <f t="shared" si="31"/>
        <v>81</v>
      </c>
      <c r="AX31" s="7">
        <f t="shared" si="32"/>
        <v>81</v>
      </c>
      <c r="AY31" s="7">
        <f t="shared" si="33"/>
        <v>100</v>
      </c>
      <c r="AZ31" s="7">
        <f t="shared" si="34"/>
        <v>121</v>
      </c>
      <c r="BA31" s="7">
        <f t="shared" si="35"/>
        <v>121</v>
      </c>
      <c r="BB31" s="7">
        <f t="shared" si="36"/>
        <v>144</v>
      </c>
      <c r="BC31" s="7">
        <f t="shared" si="37"/>
        <v>169</v>
      </c>
      <c r="BD31" s="7"/>
      <c r="BE31" s="7">
        <v>2.2172999999999998E-2</v>
      </c>
      <c r="BF31" s="7">
        <v>2.2440000000000002E-2</v>
      </c>
      <c r="BG31" s="7">
        <v>2.3014E-2</v>
      </c>
      <c r="BH31" s="7">
        <v>2.4077000000000001E-2</v>
      </c>
      <c r="BI31" s="7">
        <v>2.5443E-2</v>
      </c>
      <c r="BJ31" s="7">
        <v>2.8080999999999998E-2</v>
      </c>
      <c r="BK31" s="7">
        <v>3.2535000000000001E-2</v>
      </c>
      <c r="BL31" s="7">
        <v>3.7134E-2</v>
      </c>
      <c r="BM31" s="7">
        <v>3.9211000000000003E-2</v>
      </c>
      <c r="BN31" s="7">
        <v>3.8966000000000001E-2</v>
      </c>
      <c r="BO31" s="7">
        <v>3.6729999999999999E-2</v>
      </c>
      <c r="BP31" s="7">
        <v>3.2087999999999998E-2</v>
      </c>
      <c r="BQ31" s="7">
        <v>2.4072E-2</v>
      </c>
    </row>
    <row r="32" spans="1:69" x14ac:dyDescent="0.25">
      <c r="A32" s="17">
        <v>30</v>
      </c>
      <c r="B32" s="7">
        <v>8</v>
      </c>
      <c r="C32" s="7">
        <v>8</v>
      </c>
      <c r="D32" s="7">
        <v>8</v>
      </c>
      <c r="E32" s="7">
        <v>8</v>
      </c>
      <c r="F32" s="7">
        <v>8</v>
      </c>
      <c r="G32" s="7">
        <v>9</v>
      </c>
      <c r="H32" s="7">
        <v>9</v>
      </c>
      <c r="I32" s="7">
        <v>10</v>
      </c>
      <c r="J32" s="7">
        <v>10</v>
      </c>
      <c r="K32" s="7">
        <v>11</v>
      </c>
      <c r="L32" s="7">
        <v>12</v>
      </c>
      <c r="M32" s="7">
        <v>13</v>
      </c>
      <c r="N32" s="7">
        <v>14</v>
      </c>
      <c r="O32" s="7"/>
      <c r="P32" s="7">
        <f t="shared" si="0"/>
        <v>0</v>
      </c>
      <c r="Q32" s="7">
        <f t="shared" si="1"/>
        <v>0</v>
      </c>
      <c r="R32" s="7">
        <f t="shared" si="2"/>
        <v>0</v>
      </c>
      <c r="S32" s="7">
        <f t="shared" si="3"/>
        <v>0</v>
      </c>
      <c r="T32" s="7">
        <f t="shared" si="4"/>
        <v>-1</v>
      </c>
      <c r="U32" s="7">
        <f t="shared" si="5"/>
        <v>0</v>
      </c>
      <c r="V32" s="7">
        <f t="shared" si="6"/>
        <v>-1</v>
      </c>
      <c r="W32" s="7">
        <f t="shared" si="7"/>
        <v>0</v>
      </c>
      <c r="X32" s="7">
        <f t="shared" si="8"/>
        <v>-1</v>
      </c>
      <c r="Y32" s="7">
        <f t="shared" si="9"/>
        <v>-1</v>
      </c>
      <c r="Z32" s="7">
        <f t="shared" si="10"/>
        <v>-1</v>
      </c>
      <c r="AA32" s="7">
        <f t="shared" si="11"/>
        <v>-1</v>
      </c>
      <c r="AB32" s="7"/>
      <c r="AC32" s="7">
        <f t="shared" si="12"/>
        <v>0</v>
      </c>
      <c r="AD32" s="7">
        <f t="shared" si="13"/>
        <v>0</v>
      </c>
      <c r="AE32" s="7">
        <f t="shared" si="14"/>
        <v>0</v>
      </c>
      <c r="AF32" s="7">
        <f t="shared" si="15"/>
        <v>0</v>
      </c>
      <c r="AG32" s="7">
        <f t="shared" si="16"/>
        <v>0</v>
      </c>
      <c r="AH32" s="7">
        <f t="shared" si="17"/>
        <v>0</v>
      </c>
      <c r="AI32" s="7">
        <f t="shared" si="18"/>
        <v>0</v>
      </c>
      <c r="AJ32" s="7">
        <f t="shared" si="19"/>
        <v>0</v>
      </c>
      <c r="AK32" s="7">
        <f t="shared" si="20"/>
        <v>1</v>
      </c>
      <c r="AL32" s="7">
        <f t="shared" si="21"/>
        <v>0</v>
      </c>
      <c r="AM32" s="7">
        <f t="shared" si="22"/>
        <v>0</v>
      </c>
      <c r="AN32" s="7">
        <f t="shared" si="23"/>
        <v>0</v>
      </c>
      <c r="AO32" s="7">
        <f t="shared" si="24"/>
        <v>0</v>
      </c>
      <c r="AP32" s="7"/>
      <c r="AQ32" s="7">
        <f t="shared" si="25"/>
        <v>64</v>
      </c>
      <c r="AR32" s="7">
        <f t="shared" si="26"/>
        <v>64</v>
      </c>
      <c r="AS32" s="7">
        <f t="shared" si="27"/>
        <v>64</v>
      </c>
      <c r="AT32" s="7">
        <f t="shared" si="28"/>
        <v>64</v>
      </c>
      <c r="AU32" s="7">
        <f t="shared" si="29"/>
        <v>64</v>
      </c>
      <c r="AV32" s="7">
        <f t="shared" si="30"/>
        <v>81</v>
      </c>
      <c r="AW32" s="7">
        <f t="shared" si="31"/>
        <v>81</v>
      </c>
      <c r="AX32" s="7">
        <f t="shared" si="32"/>
        <v>100</v>
      </c>
      <c r="AY32" s="7">
        <f t="shared" si="33"/>
        <v>100</v>
      </c>
      <c r="AZ32" s="7">
        <f t="shared" si="34"/>
        <v>121</v>
      </c>
      <c r="BA32" s="7">
        <f t="shared" si="35"/>
        <v>144</v>
      </c>
      <c r="BB32" s="7">
        <f t="shared" si="36"/>
        <v>169</v>
      </c>
      <c r="BC32" s="7">
        <f t="shared" si="37"/>
        <v>196</v>
      </c>
      <c r="BD32" s="7"/>
      <c r="BE32" s="7">
        <v>2.3507E-2</v>
      </c>
      <c r="BF32" s="7">
        <v>2.3786999999999999E-2</v>
      </c>
      <c r="BG32" s="7">
        <v>2.4379999999999999E-2</v>
      </c>
      <c r="BH32" s="7">
        <v>2.546E-2</v>
      </c>
      <c r="BI32" s="7">
        <v>2.6821000000000001E-2</v>
      </c>
      <c r="BJ32" s="7">
        <v>2.9388000000000001E-2</v>
      </c>
      <c r="BK32" s="7">
        <v>3.3516999999999998E-2</v>
      </c>
      <c r="BL32" s="7">
        <v>3.7322000000000001E-2</v>
      </c>
      <c r="BM32" s="7">
        <v>3.8411000000000001E-2</v>
      </c>
      <c r="BN32" s="7">
        <v>3.7380999999999998E-2</v>
      </c>
      <c r="BO32" s="7">
        <v>3.4389000000000003E-2</v>
      </c>
      <c r="BP32" s="7">
        <v>2.9166000000000001E-2</v>
      </c>
      <c r="BQ32" s="7">
        <v>2.0879999999999999E-2</v>
      </c>
    </row>
    <row r="33" spans="1:69" x14ac:dyDescent="0.25">
      <c r="A33" s="17">
        <v>31</v>
      </c>
      <c r="B33" s="7">
        <v>8</v>
      </c>
      <c r="C33" s="7">
        <v>8</v>
      </c>
      <c r="D33" s="7">
        <v>8</v>
      </c>
      <c r="E33" s="7">
        <v>8</v>
      </c>
      <c r="F33" s="7">
        <v>8</v>
      </c>
      <c r="G33" s="7">
        <v>9</v>
      </c>
      <c r="H33" s="7">
        <v>9</v>
      </c>
      <c r="I33" s="7">
        <v>10</v>
      </c>
      <c r="J33" s="7">
        <v>11</v>
      </c>
      <c r="K33" s="7">
        <v>11</v>
      </c>
      <c r="L33" s="7">
        <v>12</v>
      </c>
      <c r="M33" s="7">
        <v>13</v>
      </c>
      <c r="N33" s="7">
        <v>14</v>
      </c>
      <c r="O33" s="7"/>
      <c r="P33" s="7">
        <f t="shared" si="0"/>
        <v>0</v>
      </c>
      <c r="Q33" s="7">
        <f t="shared" si="1"/>
        <v>0</v>
      </c>
      <c r="R33" s="7">
        <f t="shared" si="2"/>
        <v>0</v>
      </c>
      <c r="S33" s="7">
        <f t="shared" si="3"/>
        <v>0</v>
      </c>
      <c r="T33" s="7">
        <f t="shared" si="4"/>
        <v>-1</v>
      </c>
      <c r="U33" s="7">
        <f t="shared" si="5"/>
        <v>0</v>
      </c>
      <c r="V33" s="7">
        <f t="shared" si="6"/>
        <v>-1</v>
      </c>
      <c r="W33" s="7">
        <f t="shared" si="7"/>
        <v>-1</v>
      </c>
      <c r="X33" s="7">
        <f t="shared" si="8"/>
        <v>0</v>
      </c>
      <c r="Y33" s="7">
        <f t="shared" si="9"/>
        <v>-1</v>
      </c>
      <c r="Z33" s="7">
        <f t="shared" si="10"/>
        <v>-1</v>
      </c>
      <c r="AA33" s="7">
        <f t="shared" si="11"/>
        <v>-1</v>
      </c>
      <c r="AB33" s="7"/>
      <c r="AC33" s="7">
        <f t="shared" si="12"/>
        <v>0</v>
      </c>
      <c r="AD33" s="7">
        <f t="shared" si="13"/>
        <v>0</v>
      </c>
      <c r="AE33" s="7">
        <f t="shared" si="14"/>
        <v>0</v>
      </c>
      <c r="AF33" s="7">
        <f t="shared" si="15"/>
        <v>1</v>
      </c>
      <c r="AG33" s="7">
        <f t="shared" si="16"/>
        <v>1</v>
      </c>
      <c r="AH33" s="7">
        <f t="shared" si="17"/>
        <v>0</v>
      </c>
      <c r="AI33" s="7">
        <f t="shared" si="18"/>
        <v>1</v>
      </c>
      <c r="AJ33" s="7">
        <f t="shared" si="19"/>
        <v>0</v>
      </c>
      <c r="AK33" s="7">
        <f t="shared" si="20"/>
        <v>0</v>
      </c>
      <c r="AL33" s="7">
        <f t="shared" si="21"/>
        <v>1</v>
      </c>
      <c r="AM33" s="7">
        <f t="shared" si="22"/>
        <v>0</v>
      </c>
      <c r="AN33" s="7">
        <f t="shared" si="23"/>
        <v>0</v>
      </c>
      <c r="AO33" s="7">
        <f t="shared" si="24"/>
        <v>0</v>
      </c>
      <c r="AP33" s="7"/>
      <c r="AQ33" s="7">
        <f t="shared" si="25"/>
        <v>64</v>
      </c>
      <c r="AR33" s="7">
        <f t="shared" si="26"/>
        <v>64</v>
      </c>
      <c r="AS33" s="7">
        <f t="shared" si="27"/>
        <v>64</v>
      </c>
      <c r="AT33" s="7">
        <f t="shared" si="28"/>
        <v>64</v>
      </c>
      <c r="AU33" s="7">
        <f t="shared" si="29"/>
        <v>64</v>
      </c>
      <c r="AV33" s="7">
        <f t="shared" si="30"/>
        <v>81</v>
      </c>
      <c r="AW33" s="7">
        <f t="shared" si="31"/>
        <v>81</v>
      </c>
      <c r="AX33" s="7">
        <f t="shared" si="32"/>
        <v>100</v>
      </c>
      <c r="AY33" s="7">
        <f t="shared" si="33"/>
        <v>121</v>
      </c>
      <c r="AZ33" s="7">
        <f t="shared" si="34"/>
        <v>121</v>
      </c>
      <c r="BA33" s="7">
        <f t="shared" si="35"/>
        <v>144</v>
      </c>
      <c r="BB33" s="7">
        <f t="shared" si="36"/>
        <v>169</v>
      </c>
      <c r="BC33" s="7">
        <f t="shared" si="37"/>
        <v>196</v>
      </c>
      <c r="BD33" s="7"/>
      <c r="BE33" s="7">
        <v>2.4794E-2</v>
      </c>
      <c r="BF33" s="7">
        <v>2.5082E-2</v>
      </c>
      <c r="BG33" s="7">
        <v>2.5684999999999999E-2</v>
      </c>
      <c r="BH33" s="7">
        <v>2.6762000000000001E-2</v>
      </c>
      <c r="BI33" s="7">
        <v>2.8094000000000001E-2</v>
      </c>
      <c r="BJ33" s="7">
        <v>3.0540000000000001E-2</v>
      </c>
      <c r="BK33" s="7">
        <v>3.4255000000000001E-2</v>
      </c>
      <c r="BL33" s="7">
        <v>3.7187999999999999E-2</v>
      </c>
      <c r="BM33" s="7">
        <v>3.7293E-2</v>
      </c>
      <c r="BN33" s="7">
        <v>3.5541999999999997E-2</v>
      </c>
      <c r="BO33" s="7">
        <v>3.1905999999999997E-2</v>
      </c>
      <c r="BP33" s="7">
        <v>2.6242999999999999E-2</v>
      </c>
      <c r="BQ33" s="7">
        <v>1.7871000000000001E-2</v>
      </c>
    </row>
    <row r="34" spans="1:69" x14ac:dyDescent="0.25">
      <c r="A34" s="17">
        <v>32</v>
      </c>
      <c r="B34" s="7">
        <v>8</v>
      </c>
      <c r="C34" s="7">
        <v>8</v>
      </c>
      <c r="D34" s="7">
        <v>8</v>
      </c>
      <c r="E34" s="7">
        <v>9</v>
      </c>
      <c r="F34" s="7">
        <v>9</v>
      </c>
      <c r="G34" s="7">
        <v>9</v>
      </c>
      <c r="H34" s="7">
        <v>10</v>
      </c>
      <c r="I34" s="7">
        <v>10</v>
      </c>
      <c r="J34" s="7">
        <v>11</v>
      </c>
      <c r="K34" s="7">
        <v>12</v>
      </c>
      <c r="L34" s="7">
        <v>12</v>
      </c>
      <c r="M34" s="7">
        <v>13</v>
      </c>
      <c r="N34" s="7">
        <v>14</v>
      </c>
      <c r="O34" s="7"/>
      <c r="P34" s="7">
        <f t="shared" ref="P34:P68" si="38">(B34-C34)</f>
        <v>0</v>
      </c>
      <c r="Q34" s="7">
        <f t="shared" ref="Q34:Q68" si="39">(C34-D34)</f>
        <v>0</v>
      </c>
      <c r="R34" s="7">
        <f t="shared" ref="R34:R68" si="40">(D34-E34)</f>
        <v>-1</v>
      </c>
      <c r="S34" s="7">
        <f t="shared" ref="S34:S68" si="41">(E34-F34)</f>
        <v>0</v>
      </c>
      <c r="T34" s="7">
        <f t="shared" ref="T34:T68" si="42">(F34-G34)</f>
        <v>0</v>
      </c>
      <c r="U34" s="7">
        <f t="shared" ref="U34:U68" si="43">(G34-H34)</f>
        <v>-1</v>
      </c>
      <c r="V34" s="7">
        <f t="shared" ref="V34:V68" si="44">(H34-I34)</f>
        <v>0</v>
      </c>
      <c r="W34" s="7">
        <f t="shared" ref="W34:W68" si="45">(I34-J34)</f>
        <v>-1</v>
      </c>
      <c r="X34" s="7">
        <f t="shared" ref="X34:X68" si="46">(J34-K34)</f>
        <v>-1</v>
      </c>
      <c r="Y34" s="7">
        <f t="shared" ref="Y34:Y68" si="47">(K34-L34)</f>
        <v>0</v>
      </c>
      <c r="Z34" s="7">
        <f t="shared" ref="Z34:Z68" si="48">(L34-M34)</f>
        <v>-1</v>
      </c>
      <c r="AA34" s="7">
        <f t="shared" ref="AA34:AA68" si="49">(M34-N34)</f>
        <v>-1</v>
      </c>
      <c r="AB34" s="7"/>
      <c r="AC34" s="7">
        <f t="shared" ref="AC34:AC67" si="50">(B35-B34)</f>
        <v>1</v>
      </c>
      <c r="AD34" s="7">
        <f t="shared" ref="AD34:AD67" si="51">(C35-C34)</f>
        <v>1</v>
      </c>
      <c r="AE34" s="7">
        <f t="shared" ref="AE34:AE67" si="52">(D35-D34)</f>
        <v>1</v>
      </c>
      <c r="AF34" s="7">
        <f t="shared" ref="AF34:AF67" si="53">(E35-E34)</f>
        <v>0</v>
      </c>
      <c r="AG34" s="7">
        <f t="shared" ref="AG34:AG67" si="54">(F35-F34)</f>
        <v>0</v>
      </c>
      <c r="AH34" s="7">
        <f t="shared" ref="AH34:AH67" si="55">(G35-G34)</f>
        <v>0</v>
      </c>
      <c r="AI34" s="7">
        <f t="shared" ref="AI34:AI67" si="56">(H35-H34)</f>
        <v>0</v>
      </c>
      <c r="AJ34" s="7">
        <f t="shared" ref="AJ34:AJ67" si="57">(I35-I34)</f>
        <v>0</v>
      </c>
      <c r="AK34" s="7">
        <f t="shared" ref="AK34:AK67" si="58">(J35-J34)</f>
        <v>0</v>
      </c>
      <c r="AL34" s="7">
        <f t="shared" ref="AL34:AL67" si="59">(K35-K34)</f>
        <v>0</v>
      </c>
      <c r="AM34" s="7">
        <f t="shared" ref="AM34:AM67" si="60">(L35-L34)</f>
        <v>1</v>
      </c>
      <c r="AN34" s="7">
        <f t="shared" ref="AN34:AN67" si="61">(M35-M34)</f>
        <v>1</v>
      </c>
      <c r="AO34" s="7">
        <f t="shared" ref="AO34:AO67" si="62">(N35-N34)</f>
        <v>1</v>
      </c>
      <c r="AP34" s="7"/>
      <c r="AQ34" s="7">
        <f t="shared" ref="AQ34:AQ68" si="63">B34^2</f>
        <v>64</v>
      </c>
      <c r="AR34" s="7">
        <f t="shared" ref="AR34:AR68" si="64">C34^2</f>
        <v>64</v>
      </c>
      <c r="AS34" s="7">
        <f t="shared" ref="AS34:AS68" si="65">D34^2</f>
        <v>64</v>
      </c>
      <c r="AT34" s="7">
        <f t="shared" ref="AT34:AT68" si="66">E34^2</f>
        <v>81</v>
      </c>
      <c r="AU34" s="7">
        <f t="shared" ref="AU34:AU68" si="67">F34^2</f>
        <v>81</v>
      </c>
      <c r="AV34" s="7">
        <f t="shared" ref="AV34:AV68" si="68">G34^2</f>
        <v>81</v>
      </c>
      <c r="AW34" s="7">
        <f t="shared" ref="AW34:AW68" si="69">H34^2</f>
        <v>100</v>
      </c>
      <c r="AX34" s="7">
        <f t="shared" ref="AX34:AX68" si="70">I34^2</f>
        <v>100</v>
      </c>
      <c r="AY34" s="7">
        <f t="shared" ref="AY34:AY68" si="71">J34^2</f>
        <v>121</v>
      </c>
      <c r="AZ34" s="7">
        <f t="shared" ref="AZ34:AZ68" si="72">K34^2</f>
        <v>144</v>
      </c>
      <c r="BA34" s="7">
        <f t="shared" ref="BA34:BA68" si="73">L34^2</f>
        <v>144</v>
      </c>
      <c r="BB34" s="7">
        <f t="shared" ref="BB34:BB68" si="74">M34^2</f>
        <v>169</v>
      </c>
      <c r="BC34" s="7">
        <f t="shared" ref="BC34:BC68" si="75">N34^2</f>
        <v>196</v>
      </c>
      <c r="BD34" s="7"/>
      <c r="BE34" s="7">
        <v>2.6016999999999998E-2</v>
      </c>
      <c r="BF34" s="7">
        <v>2.6307000000000001E-2</v>
      </c>
      <c r="BG34" s="7">
        <v>2.6907E-2</v>
      </c>
      <c r="BH34" s="7">
        <v>2.7961E-2</v>
      </c>
      <c r="BI34" s="7">
        <v>2.9239000000000001E-2</v>
      </c>
      <c r="BJ34" s="7">
        <v>3.1514E-2</v>
      </c>
      <c r="BK34" s="7">
        <v>3.4736000000000003E-2</v>
      </c>
      <c r="BL34" s="7">
        <v>3.6742999999999998E-2</v>
      </c>
      <c r="BM34" s="7">
        <v>3.5896999999999998E-2</v>
      </c>
      <c r="BN34" s="7">
        <v>3.3501999999999997E-2</v>
      </c>
      <c r="BO34" s="7">
        <v>2.9337999999999999E-2</v>
      </c>
      <c r="BP34" s="7">
        <v>2.3369000000000001E-2</v>
      </c>
      <c r="BQ34" s="7">
        <v>1.5089E-2</v>
      </c>
    </row>
    <row r="35" spans="1:69" x14ac:dyDescent="0.25">
      <c r="A35" s="17">
        <v>33</v>
      </c>
      <c r="B35" s="7">
        <v>9</v>
      </c>
      <c r="C35" s="7">
        <v>9</v>
      </c>
      <c r="D35" s="7">
        <v>9</v>
      </c>
      <c r="E35" s="7">
        <v>9</v>
      </c>
      <c r="F35" s="7">
        <v>9</v>
      </c>
      <c r="G35" s="7">
        <v>9</v>
      </c>
      <c r="H35" s="7">
        <v>10</v>
      </c>
      <c r="I35" s="7">
        <v>10</v>
      </c>
      <c r="J35" s="7">
        <v>11</v>
      </c>
      <c r="K35" s="7">
        <v>12</v>
      </c>
      <c r="L35" s="7">
        <v>13</v>
      </c>
      <c r="M35" s="7">
        <v>14</v>
      </c>
      <c r="N35" s="7">
        <v>15</v>
      </c>
      <c r="O35" s="7"/>
      <c r="P35" s="7">
        <f t="shared" si="38"/>
        <v>0</v>
      </c>
      <c r="Q35" s="7">
        <f t="shared" si="39"/>
        <v>0</v>
      </c>
      <c r="R35" s="7">
        <f t="shared" si="40"/>
        <v>0</v>
      </c>
      <c r="S35" s="7">
        <f t="shared" si="41"/>
        <v>0</v>
      </c>
      <c r="T35" s="7">
        <f t="shared" si="42"/>
        <v>0</v>
      </c>
      <c r="U35" s="7">
        <f t="shared" si="43"/>
        <v>-1</v>
      </c>
      <c r="V35" s="7">
        <f t="shared" si="44"/>
        <v>0</v>
      </c>
      <c r="W35" s="7">
        <f t="shared" si="45"/>
        <v>-1</v>
      </c>
      <c r="X35" s="7">
        <f t="shared" si="46"/>
        <v>-1</v>
      </c>
      <c r="Y35" s="7">
        <f t="shared" si="47"/>
        <v>-1</v>
      </c>
      <c r="Z35" s="7">
        <f t="shared" si="48"/>
        <v>-1</v>
      </c>
      <c r="AA35" s="7">
        <f t="shared" si="49"/>
        <v>-1</v>
      </c>
      <c r="AB35" s="7"/>
      <c r="AC35" s="7">
        <f t="shared" si="50"/>
        <v>0</v>
      </c>
      <c r="AD35" s="7">
        <f t="shared" si="51"/>
        <v>0</v>
      </c>
      <c r="AE35" s="7">
        <f t="shared" si="52"/>
        <v>0</v>
      </c>
      <c r="AF35" s="7">
        <f t="shared" si="53"/>
        <v>0</v>
      </c>
      <c r="AG35" s="7">
        <f t="shared" si="54"/>
        <v>0</v>
      </c>
      <c r="AH35" s="7">
        <f t="shared" si="55"/>
        <v>1</v>
      </c>
      <c r="AI35" s="7">
        <f t="shared" si="56"/>
        <v>0</v>
      </c>
      <c r="AJ35" s="7">
        <f t="shared" si="57"/>
        <v>1</v>
      </c>
      <c r="AK35" s="7">
        <f t="shared" si="58"/>
        <v>1</v>
      </c>
      <c r="AL35" s="7">
        <f t="shared" si="59"/>
        <v>0</v>
      </c>
      <c r="AM35" s="7">
        <f t="shared" si="60"/>
        <v>0</v>
      </c>
      <c r="AN35" s="7">
        <f t="shared" si="61"/>
        <v>0</v>
      </c>
      <c r="AO35" s="7">
        <f t="shared" si="62"/>
        <v>0</v>
      </c>
      <c r="AP35" s="7"/>
      <c r="AQ35" s="7">
        <f t="shared" si="63"/>
        <v>81</v>
      </c>
      <c r="AR35" s="7">
        <f t="shared" si="64"/>
        <v>81</v>
      </c>
      <c r="AS35" s="7">
        <f t="shared" si="65"/>
        <v>81</v>
      </c>
      <c r="AT35" s="7">
        <f t="shared" si="66"/>
        <v>81</v>
      </c>
      <c r="AU35" s="7">
        <f t="shared" si="67"/>
        <v>81</v>
      </c>
      <c r="AV35" s="7">
        <f t="shared" si="68"/>
        <v>81</v>
      </c>
      <c r="AW35" s="7">
        <f t="shared" si="69"/>
        <v>100</v>
      </c>
      <c r="AX35" s="7">
        <f t="shared" si="70"/>
        <v>100</v>
      </c>
      <c r="AY35" s="7">
        <f t="shared" si="71"/>
        <v>121</v>
      </c>
      <c r="AZ35" s="7">
        <f t="shared" si="72"/>
        <v>144</v>
      </c>
      <c r="BA35" s="7">
        <f t="shared" si="73"/>
        <v>169</v>
      </c>
      <c r="BB35" s="7">
        <f t="shared" si="74"/>
        <v>196</v>
      </c>
      <c r="BC35" s="7">
        <f t="shared" si="75"/>
        <v>225</v>
      </c>
      <c r="BD35" s="7"/>
      <c r="BE35" s="7">
        <v>2.7156E-2</v>
      </c>
      <c r="BF35" s="7">
        <v>2.7442999999999999E-2</v>
      </c>
      <c r="BG35" s="7">
        <v>2.8027E-2</v>
      </c>
      <c r="BH35" s="7">
        <v>2.9037E-2</v>
      </c>
      <c r="BI35" s="7">
        <v>3.0234E-2</v>
      </c>
      <c r="BJ35" s="7">
        <v>3.2289999999999999E-2</v>
      </c>
      <c r="BK35" s="7">
        <v>3.4951999999999997E-2</v>
      </c>
      <c r="BL35" s="7">
        <v>3.6005000000000002E-2</v>
      </c>
      <c r="BM35" s="7">
        <v>3.4264999999999997E-2</v>
      </c>
      <c r="BN35" s="7">
        <v>3.1313000000000001E-2</v>
      </c>
      <c r="BO35" s="7">
        <v>2.6734999999999998E-2</v>
      </c>
      <c r="BP35" s="7">
        <v>2.0589E-2</v>
      </c>
      <c r="BQ35" s="7">
        <v>1.2566000000000001E-2</v>
      </c>
    </row>
    <row r="36" spans="1:69" x14ac:dyDescent="0.25">
      <c r="A36" s="17">
        <v>34</v>
      </c>
      <c r="B36" s="7">
        <v>9</v>
      </c>
      <c r="C36" s="7">
        <v>9</v>
      </c>
      <c r="D36" s="7">
        <v>9</v>
      </c>
      <c r="E36" s="7">
        <v>9</v>
      </c>
      <c r="F36" s="7">
        <v>9</v>
      </c>
      <c r="G36" s="7">
        <v>10</v>
      </c>
      <c r="H36" s="7">
        <v>10</v>
      </c>
      <c r="I36" s="7">
        <v>11</v>
      </c>
      <c r="J36" s="7">
        <v>12</v>
      </c>
      <c r="K36" s="7">
        <v>12</v>
      </c>
      <c r="L36" s="7">
        <v>13</v>
      </c>
      <c r="M36" s="7">
        <v>14</v>
      </c>
      <c r="N36" s="7">
        <v>15</v>
      </c>
      <c r="O36" s="7"/>
      <c r="P36" s="7">
        <f t="shared" si="38"/>
        <v>0</v>
      </c>
      <c r="Q36" s="7">
        <f t="shared" si="39"/>
        <v>0</v>
      </c>
      <c r="R36" s="7">
        <f t="shared" si="40"/>
        <v>0</v>
      </c>
      <c r="S36" s="7">
        <f t="shared" si="41"/>
        <v>0</v>
      </c>
      <c r="T36" s="7">
        <f t="shared" si="42"/>
        <v>-1</v>
      </c>
      <c r="U36" s="7">
        <f t="shared" si="43"/>
        <v>0</v>
      </c>
      <c r="V36" s="7">
        <f t="shared" si="44"/>
        <v>-1</v>
      </c>
      <c r="W36" s="7">
        <f t="shared" si="45"/>
        <v>-1</v>
      </c>
      <c r="X36" s="7">
        <f t="shared" si="46"/>
        <v>0</v>
      </c>
      <c r="Y36" s="7">
        <f t="shared" si="47"/>
        <v>-1</v>
      </c>
      <c r="Z36" s="7">
        <f t="shared" si="48"/>
        <v>-1</v>
      </c>
      <c r="AA36" s="7">
        <f t="shared" si="49"/>
        <v>-1</v>
      </c>
      <c r="AB36" s="7"/>
      <c r="AC36" s="7">
        <f t="shared" si="50"/>
        <v>0</v>
      </c>
      <c r="AD36" s="7">
        <f t="shared" si="51"/>
        <v>0</v>
      </c>
      <c r="AE36" s="7">
        <f t="shared" si="52"/>
        <v>0</v>
      </c>
      <c r="AF36" s="7">
        <f t="shared" si="53"/>
        <v>0</v>
      </c>
      <c r="AG36" s="7">
        <f t="shared" si="54"/>
        <v>0</v>
      </c>
      <c r="AH36" s="7">
        <f t="shared" si="55"/>
        <v>0</v>
      </c>
      <c r="AI36" s="7">
        <f t="shared" si="56"/>
        <v>0</v>
      </c>
      <c r="AJ36" s="7">
        <f t="shared" si="57"/>
        <v>0</v>
      </c>
      <c r="AK36" s="7">
        <f t="shared" si="58"/>
        <v>0</v>
      </c>
      <c r="AL36" s="7">
        <f t="shared" si="59"/>
        <v>1</v>
      </c>
      <c r="AM36" s="7">
        <f t="shared" si="60"/>
        <v>0</v>
      </c>
      <c r="AN36" s="7">
        <f t="shared" si="61"/>
        <v>0</v>
      </c>
      <c r="AO36" s="7">
        <f t="shared" si="62"/>
        <v>0</v>
      </c>
      <c r="AP36" s="7"/>
      <c r="AQ36" s="7">
        <f t="shared" si="63"/>
        <v>81</v>
      </c>
      <c r="AR36" s="7">
        <f t="shared" si="64"/>
        <v>81</v>
      </c>
      <c r="AS36" s="7">
        <f t="shared" si="65"/>
        <v>81</v>
      </c>
      <c r="AT36" s="7">
        <f t="shared" si="66"/>
        <v>81</v>
      </c>
      <c r="AU36" s="7">
        <f t="shared" si="67"/>
        <v>81</v>
      </c>
      <c r="AV36" s="7">
        <f t="shared" si="68"/>
        <v>100</v>
      </c>
      <c r="AW36" s="7">
        <f t="shared" si="69"/>
        <v>100</v>
      </c>
      <c r="AX36" s="7">
        <f t="shared" si="70"/>
        <v>121</v>
      </c>
      <c r="AY36" s="7">
        <f t="shared" si="71"/>
        <v>144</v>
      </c>
      <c r="AZ36" s="7">
        <f t="shared" si="72"/>
        <v>144</v>
      </c>
      <c r="BA36" s="7">
        <f t="shared" si="73"/>
        <v>169</v>
      </c>
      <c r="BB36" s="7">
        <f t="shared" si="74"/>
        <v>196</v>
      </c>
      <c r="BC36" s="7">
        <f t="shared" si="75"/>
        <v>225</v>
      </c>
      <c r="BD36" s="7"/>
      <c r="BE36" s="7">
        <v>2.8195000000000001E-2</v>
      </c>
      <c r="BF36" s="7">
        <v>2.8471E-2</v>
      </c>
      <c r="BG36" s="7">
        <v>2.9027000000000001E-2</v>
      </c>
      <c r="BH36" s="7">
        <v>2.997E-2</v>
      </c>
      <c r="BI36" s="7">
        <v>3.1060999999999998E-2</v>
      </c>
      <c r="BJ36" s="7">
        <v>3.2855000000000002E-2</v>
      </c>
      <c r="BK36" s="7">
        <v>3.4901000000000001E-2</v>
      </c>
      <c r="BL36" s="7">
        <v>3.4998000000000001E-2</v>
      </c>
      <c r="BM36" s="7">
        <v>3.2440999999999998E-2</v>
      </c>
      <c r="BN36" s="7">
        <v>2.9021999999999999E-2</v>
      </c>
      <c r="BO36" s="7">
        <v>2.4140999999999999E-2</v>
      </c>
      <c r="BP36" s="7">
        <v>1.7942E-2</v>
      </c>
      <c r="BQ36" s="7">
        <v>1.0324E-2</v>
      </c>
    </row>
    <row r="37" spans="1:69" x14ac:dyDescent="0.25">
      <c r="A37" s="17">
        <v>35</v>
      </c>
      <c r="B37" s="7">
        <v>9</v>
      </c>
      <c r="C37" s="7">
        <v>9</v>
      </c>
      <c r="D37" s="7">
        <v>9</v>
      </c>
      <c r="E37" s="7">
        <v>9</v>
      </c>
      <c r="F37" s="7">
        <v>9</v>
      </c>
      <c r="G37" s="7">
        <v>10</v>
      </c>
      <c r="H37" s="7">
        <v>10</v>
      </c>
      <c r="I37" s="7">
        <v>11</v>
      </c>
      <c r="J37" s="7">
        <v>12</v>
      </c>
      <c r="K37" s="7">
        <v>13</v>
      </c>
      <c r="L37" s="7">
        <v>13</v>
      </c>
      <c r="M37" s="7">
        <v>14</v>
      </c>
      <c r="N37" s="7">
        <v>15</v>
      </c>
      <c r="O37" s="7"/>
      <c r="P37" s="7">
        <f t="shared" si="38"/>
        <v>0</v>
      </c>
      <c r="Q37" s="7">
        <f t="shared" si="39"/>
        <v>0</v>
      </c>
      <c r="R37" s="7">
        <f t="shared" si="40"/>
        <v>0</v>
      </c>
      <c r="S37" s="7">
        <f t="shared" si="41"/>
        <v>0</v>
      </c>
      <c r="T37" s="7">
        <f t="shared" si="42"/>
        <v>-1</v>
      </c>
      <c r="U37" s="7">
        <f t="shared" si="43"/>
        <v>0</v>
      </c>
      <c r="V37" s="7">
        <f t="shared" si="44"/>
        <v>-1</v>
      </c>
      <c r="W37" s="7">
        <f t="shared" si="45"/>
        <v>-1</v>
      </c>
      <c r="X37" s="7">
        <f t="shared" si="46"/>
        <v>-1</v>
      </c>
      <c r="Y37" s="7">
        <f t="shared" si="47"/>
        <v>0</v>
      </c>
      <c r="Z37" s="7">
        <f t="shared" si="48"/>
        <v>-1</v>
      </c>
      <c r="AA37" s="7">
        <f t="shared" si="49"/>
        <v>-1</v>
      </c>
      <c r="AB37" s="7"/>
      <c r="AC37" s="7">
        <f t="shared" si="50"/>
        <v>0</v>
      </c>
      <c r="AD37" s="7">
        <f t="shared" si="51"/>
        <v>0</v>
      </c>
      <c r="AE37" s="7">
        <f t="shared" si="52"/>
        <v>0</v>
      </c>
      <c r="AF37" s="7">
        <f t="shared" si="53"/>
        <v>0</v>
      </c>
      <c r="AG37" s="7">
        <f t="shared" si="54"/>
        <v>1</v>
      </c>
      <c r="AH37" s="7">
        <f t="shared" si="55"/>
        <v>0</v>
      </c>
      <c r="AI37" s="7">
        <f t="shared" si="56"/>
        <v>1</v>
      </c>
      <c r="AJ37" s="7">
        <f t="shared" si="57"/>
        <v>0</v>
      </c>
      <c r="AK37" s="7">
        <f t="shared" si="58"/>
        <v>0</v>
      </c>
      <c r="AL37" s="7">
        <f t="shared" si="59"/>
        <v>0</v>
      </c>
      <c r="AM37" s="7">
        <f t="shared" si="60"/>
        <v>1</v>
      </c>
      <c r="AN37" s="7">
        <f t="shared" si="61"/>
        <v>1</v>
      </c>
      <c r="AO37" s="7">
        <f t="shared" si="62"/>
        <v>1</v>
      </c>
      <c r="AP37" s="7"/>
      <c r="AQ37" s="7">
        <f t="shared" si="63"/>
        <v>81</v>
      </c>
      <c r="AR37" s="7">
        <f t="shared" si="64"/>
        <v>81</v>
      </c>
      <c r="AS37" s="7">
        <f t="shared" si="65"/>
        <v>81</v>
      </c>
      <c r="AT37" s="7">
        <f t="shared" si="66"/>
        <v>81</v>
      </c>
      <c r="AU37" s="7">
        <f t="shared" si="67"/>
        <v>81</v>
      </c>
      <c r="AV37" s="7">
        <f t="shared" si="68"/>
        <v>100</v>
      </c>
      <c r="AW37" s="7">
        <f t="shared" si="69"/>
        <v>100</v>
      </c>
      <c r="AX37" s="7">
        <f t="shared" si="70"/>
        <v>121</v>
      </c>
      <c r="AY37" s="7">
        <f t="shared" si="71"/>
        <v>144</v>
      </c>
      <c r="AZ37" s="7">
        <f t="shared" si="72"/>
        <v>169</v>
      </c>
      <c r="BA37" s="7">
        <f t="shared" si="73"/>
        <v>169</v>
      </c>
      <c r="BB37" s="7">
        <f t="shared" si="74"/>
        <v>196</v>
      </c>
      <c r="BC37" s="7">
        <f t="shared" si="75"/>
        <v>225</v>
      </c>
      <c r="BD37" s="7"/>
      <c r="BE37" s="7">
        <v>2.9114999999999999E-2</v>
      </c>
      <c r="BF37" s="7">
        <v>2.9374000000000001E-2</v>
      </c>
      <c r="BG37" s="7">
        <v>2.9888000000000001E-2</v>
      </c>
      <c r="BH37" s="7">
        <v>3.0742999999999999E-2</v>
      </c>
      <c r="BI37" s="7">
        <v>3.1703000000000002E-2</v>
      </c>
      <c r="BJ37" s="7">
        <v>3.3196000000000003E-2</v>
      </c>
      <c r="BK37" s="7">
        <v>3.4588000000000001E-2</v>
      </c>
      <c r="BL37" s="7">
        <v>3.3751999999999997E-2</v>
      </c>
      <c r="BM37" s="7">
        <v>3.0467999999999999E-2</v>
      </c>
      <c r="BN37" s="7">
        <v>2.6676999999999999E-2</v>
      </c>
      <c r="BO37" s="7">
        <v>2.1599E-2</v>
      </c>
      <c r="BP37" s="7">
        <v>1.5461000000000001E-2</v>
      </c>
      <c r="BQ37" s="7">
        <v>8.3739999999999995E-3</v>
      </c>
    </row>
    <row r="38" spans="1:69" x14ac:dyDescent="0.25">
      <c r="A38" s="17">
        <v>36</v>
      </c>
      <c r="B38" s="7">
        <v>9</v>
      </c>
      <c r="C38" s="7">
        <v>9</v>
      </c>
      <c r="D38" s="7">
        <v>9</v>
      </c>
      <c r="E38" s="7">
        <v>9</v>
      </c>
      <c r="F38" s="7">
        <v>10</v>
      </c>
      <c r="G38" s="7">
        <v>10</v>
      </c>
      <c r="H38" s="7">
        <v>11</v>
      </c>
      <c r="I38" s="7">
        <v>11</v>
      </c>
      <c r="J38" s="7">
        <v>12</v>
      </c>
      <c r="K38" s="7">
        <v>13</v>
      </c>
      <c r="L38" s="7">
        <v>14</v>
      </c>
      <c r="M38" s="7">
        <v>15</v>
      </c>
      <c r="N38" s="7">
        <v>16</v>
      </c>
      <c r="O38" s="7"/>
      <c r="P38" s="7">
        <f t="shared" si="38"/>
        <v>0</v>
      </c>
      <c r="Q38" s="7">
        <f t="shared" si="39"/>
        <v>0</v>
      </c>
      <c r="R38" s="7">
        <f t="shared" si="40"/>
        <v>0</v>
      </c>
      <c r="S38" s="7">
        <f t="shared" si="41"/>
        <v>-1</v>
      </c>
      <c r="T38" s="7">
        <f t="shared" si="42"/>
        <v>0</v>
      </c>
      <c r="U38" s="7">
        <f t="shared" si="43"/>
        <v>-1</v>
      </c>
      <c r="V38" s="7">
        <f t="shared" si="44"/>
        <v>0</v>
      </c>
      <c r="W38" s="7">
        <f t="shared" si="45"/>
        <v>-1</v>
      </c>
      <c r="X38" s="7">
        <f t="shared" si="46"/>
        <v>-1</v>
      </c>
      <c r="Y38" s="7">
        <f t="shared" si="47"/>
        <v>-1</v>
      </c>
      <c r="Z38" s="7">
        <f t="shared" si="48"/>
        <v>-1</v>
      </c>
      <c r="AA38" s="7">
        <f t="shared" si="49"/>
        <v>-1</v>
      </c>
      <c r="AB38" s="7"/>
      <c r="AC38" s="7">
        <f t="shared" si="50"/>
        <v>1</v>
      </c>
      <c r="AD38" s="7">
        <f t="shared" si="51"/>
        <v>1</v>
      </c>
      <c r="AE38" s="7">
        <f t="shared" si="52"/>
        <v>1</v>
      </c>
      <c r="AF38" s="7">
        <f t="shared" si="53"/>
        <v>1</v>
      </c>
      <c r="AG38" s="7">
        <f t="shared" si="54"/>
        <v>0</v>
      </c>
      <c r="AH38" s="7">
        <f t="shared" si="55"/>
        <v>0</v>
      </c>
      <c r="AI38" s="7">
        <f t="shared" si="56"/>
        <v>0</v>
      </c>
      <c r="AJ38" s="7">
        <f t="shared" si="57"/>
        <v>1</v>
      </c>
      <c r="AK38" s="7">
        <f t="shared" si="58"/>
        <v>0</v>
      </c>
      <c r="AL38" s="7">
        <f t="shared" si="59"/>
        <v>0</v>
      </c>
      <c r="AM38" s="7">
        <f t="shared" si="60"/>
        <v>0</v>
      </c>
      <c r="AN38" s="7">
        <f t="shared" si="61"/>
        <v>0</v>
      </c>
      <c r="AO38" s="7">
        <f t="shared" si="62"/>
        <v>0</v>
      </c>
      <c r="AP38" s="7"/>
      <c r="AQ38" s="7">
        <f t="shared" si="63"/>
        <v>81</v>
      </c>
      <c r="AR38" s="7">
        <f t="shared" si="64"/>
        <v>81</v>
      </c>
      <c r="AS38" s="7">
        <f t="shared" si="65"/>
        <v>81</v>
      </c>
      <c r="AT38" s="7">
        <f t="shared" si="66"/>
        <v>81</v>
      </c>
      <c r="AU38" s="7">
        <f t="shared" si="67"/>
        <v>100</v>
      </c>
      <c r="AV38" s="7">
        <f t="shared" si="68"/>
        <v>100</v>
      </c>
      <c r="AW38" s="7">
        <f t="shared" si="69"/>
        <v>121</v>
      </c>
      <c r="AX38" s="7">
        <f t="shared" si="70"/>
        <v>121</v>
      </c>
      <c r="AY38" s="7">
        <f t="shared" si="71"/>
        <v>144</v>
      </c>
      <c r="AZ38" s="7">
        <f t="shared" si="72"/>
        <v>169</v>
      </c>
      <c r="BA38" s="7">
        <f t="shared" si="73"/>
        <v>196</v>
      </c>
      <c r="BB38" s="7">
        <f t="shared" si="74"/>
        <v>225</v>
      </c>
      <c r="BC38" s="7">
        <f t="shared" si="75"/>
        <v>256</v>
      </c>
      <c r="BD38" s="7"/>
      <c r="BE38" s="7">
        <v>2.9901E-2</v>
      </c>
      <c r="BF38" s="7">
        <v>3.0134000000000001E-2</v>
      </c>
      <c r="BG38" s="7">
        <v>3.0594E-2</v>
      </c>
      <c r="BH38" s="7">
        <v>3.1341000000000001E-2</v>
      </c>
      <c r="BI38" s="7">
        <v>3.2148000000000003E-2</v>
      </c>
      <c r="BJ38" s="7">
        <v>3.3307000000000003E-2</v>
      </c>
      <c r="BK38" s="7">
        <v>3.4021999999999997E-2</v>
      </c>
      <c r="BL38" s="7">
        <v>3.2299000000000001E-2</v>
      </c>
      <c r="BM38" s="7">
        <v>2.8389000000000001E-2</v>
      </c>
      <c r="BN38" s="7">
        <v>2.4317999999999999E-2</v>
      </c>
      <c r="BO38" s="7">
        <v>1.9143E-2</v>
      </c>
      <c r="BP38" s="7">
        <v>1.3173000000000001E-2</v>
      </c>
      <c r="BQ38" s="7">
        <v>6.711E-3</v>
      </c>
    </row>
    <row r="39" spans="1:69" x14ac:dyDescent="0.25">
      <c r="A39" s="17">
        <v>37</v>
      </c>
      <c r="B39" s="7">
        <v>10</v>
      </c>
      <c r="C39" s="7">
        <v>10</v>
      </c>
      <c r="D39" s="7">
        <v>10</v>
      </c>
      <c r="E39" s="7">
        <v>10</v>
      </c>
      <c r="F39" s="7">
        <v>10</v>
      </c>
      <c r="G39" s="7">
        <v>10</v>
      </c>
      <c r="H39" s="7">
        <v>11</v>
      </c>
      <c r="I39" s="7">
        <v>12</v>
      </c>
      <c r="J39" s="7">
        <v>12</v>
      </c>
      <c r="K39" s="7">
        <v>13</v>
      </c>
      <c r="L39" s="7">
        <v>14</v>
      </c>
      <c r="M39" s="7">
        <v>15</v>
      </c>
      <c r="N39" s="7">
        <v>16</v>
      </c>
      <c r="O39" s="7"/>
      <c r="P39" s="7">
        <f t="shared" si="38"/>
        <v>0</v>
      </c>
      <c r="Q39" s="7">
        <f t="shared" si="39"/>
        <v>0</v>
      </c>
      <c r="R39" s="7">
        <f t="shared" si="40"/>
        <v>0</v>
      </c>
      <c r="S39" s="7">
        <f t="shared" si="41"/>
        <v>0</v>
      </c>
      <c r="T39" s="7">
        <f t="shared" si="42"/>
        <v>0</v>
      </c>
      <c r="U39" s="7">
        <f t="shared" si="43"/>
        <v>-1</v>
      </c>
      <c r="V39" s="7">
        <f t="shared" si="44"/>
        <v>-1</v>
      </c>
      <c r="W39" s="7">
        <f t="shared" si="45"/>
        <v>0</v>
      </c>
      <c r="X39" s="7">
        <f t="shared" si="46"/>
        <v>-1</v>
      </c>
      <c r="Y39" s="7">
        <f t="shared" si="47"/>
        <v>-1</v>
      </c>
      <c r="Z39" s="7">
        <f t="shared" si="48"/>
        <v>-1</v>
      </c>
      <c r="AA39" s="7">
        <f t="shared" si="49"/>
        <v>-1</v>
      </c>
      <c r="AB39" s="7"/>
      <c r="AC39" s="7">
        <f t="shared" si="50"/>
        <v>0</v>
      </c>
      <c r="AD39" s="7">
        <f t="shared" si="51"/>
        <v>0</v>
      </c>
      <c r="AE39" s="7">
        <f t="shared" si="52"/>
        <v>0</v>
      </c>
      <c r="AF39" s="7">
        <f t="shared" si="53"/>
        <v>0</v>
      </c>
      <c r="AG39" s="7">
        <f t="shared" si="54"/>
        <v>0</v>
      </c>
      <c r="AH39" s="7">
        <f t="shared" si="55"/>
        <v>1</v>
      </c>
      <c r="AI39" s="7">
        <f t="shared" si="56"/>
        <v>0</v>
      </c>
      <c r="AJ39" s="7">
        <f t="shared" si="57"/>
        <v>0</v>
      </c>
      <c r="AK39" s="7">
        <f t="shared" si="58"/>
        <v>1</v>
      </c>
      <c r="AL39" s="7">
        <f t="shared" si="59"/>
        <v>0</v>
      </c>
      <c r="AM39" s="7">
        <f t="shared" si="60"/>
        <v>0</v>
      </c>
      <c r="AN39" s="7">
        <f t="shared" si="61"/>
        <v>0</v>
      </c>
      <c r="AO39" s="7">
        <f t="shared" si="62"/>
        <v>0</v>
      </c>
      <c r="AP39" s="7"/>
      <c r="AQ39" s="7">
        <f t="shared" si="63"/>
        <v>100</v>
      </c>
      <c r="AR39" s="7">
        <f t="shared" si="64"/>
        <v>100</v>
      </c>
      <c r="AS39" s="7">
        <f t="shared" si="65"/>
        <v>100</v>
      </c>
      <c r="AT39" s="7">
        <f t="shared" si="66"/>
        <v>100</v>
      </c>
      <c r="AU39" s="7">
        <f t="shared" si="67"/>
        <v>100</v>
      </c>
      <c r="AV39" s="7">
        <f t="shared" si="68"/>
        <v>100</v>
      </c>
      <c r="AW39" s="7">
        <f t="shared" si="69"/>
        <v>121</v>
      </c>
      <c r="AX39" s="7">
        <f t="shared" si="70"/>
        <v>144</v>
      </c>
      <c r="AY39" s="7">
        <f t="shared" si="71"/>
        <v>144</v>
      </c>
      <c r="AZ39" s="7">
        <f t="shared" si="72"/>
        <v>169</v>
      </c>
      <c r="BA39" s="7">
        <f t="shared" si="73"/>
        <v>196</v>
      </c>
      <c r="BB39" s="7">
        <f t="shared" si="74"/>
        <v>225</v>
      </c>
      <c r="BC39" s="7">
        <f t="shared" si="75"/>
        <v>256</v>
      </c>
      <c r="BD39" s="7"/>
      <c r="BE39" s="7">
        <v>3.0535E-2</v>
      </c>
      <c r="BF39" s="7">
        <v>3.0738000000000001E-2</v>
      </c>
      <c r="BG39" s="7">
        <v>3.1130999999999999E-2</v>
      </c>
      <c r="BH39" s="7">
        <v>3.1751000000000001E-2</v>
      </c>
      <c r="BI39" s="7">
        <v>3.2385999999999998E-2</v>
      </c>
      <c r="BJ39" s="7">
        <v>3.3187000000000001E-2</v>
      </c>
      <c r="BK39" s="7">
        <v>3.3218999999999999E-2</v>
      </c>
      <c r="BL39" s="7">
        <v>3.0674E-2</v>
      </c>
      <c r="BM39" s="7">
        <v>2.6246999999999999E-2</v>
      </c>
      <c r="BN39" s="7">
        <v>2.1984E-2</v>
      </c>
      <c r="BO39" s="7">
        <v>1.6806000000000001E-2</v>
      </c>
      <c r="BP39" s="7">
        <v>1.1098E-2</v>
      </c>
      <c r="BQ39" s="7">
        <v>5.3200000000000001E-3</v>
      </c>
    </row>
    <row r="40" spans="1:69" x14ac:dyDescent="0.25">
      <c r="A40" s="17">
        <v>38</v>
      </c>
      <c r="B40" s="7">
        <v>10</v>
      </c>
      <c r="C40" s="7">
        <v>10</v>
      </c>
      <c r="D40" s="7">
        <v>10</v>
      </c>
      <c r="E40" s="7">
        <v>10</v>
      </c>
      <c r="F40" s="7">
        <v>10</v>
      </c>
      <c r="G40" s="7">
        <v>11</v>
      </c>
      <c r="H40" s="7">
        <v>11</v>
      </c>
      <c r="I40" s="7">
        <v>12</v>
      </c>
      <c r="J40" s="7">
        <v>13</v>
      </c>
      <c r="K40" s="7">
        <v>13</v>
      </c>
      <c r="L40" s="7">
        <v>14</v>
      </c>
      <c r="M40" s="7">
        <v>15</v>
      </c>
      <c r="N40" s="7">
        <v>16</v>
      </c>
      <c r="O40" s="7"/>
      <c r="P40" s="7">
        <f t="shared" si="38"/>
        <v>0</v>
      </c>
      <c r="Q40" s="7">
        <f t="shared" si="39"/>
        <v>0</v>
      </c>
      <c r="R40" s="7">
        <f t="shared" si="40"/>
        <v>0</v>
      </c>
      <c r="S40" s="7">
        <f t="shared" si="41"/>
        <v>0</v>
      </c>
      <c r="T40" s="7">
        <f t="shared" si="42"/>
        <v>-1</v>
      </c>
      <c r="U40" s="7">
        <f t="shared" si="43"/>
        <v>0</v>
      </c>
      <c r="V40" s="7">
        <f t="shared" si="44"/>
        <v>-1</v>
      </c>
      <c r="W40" s="7">
        <f t="shared" si="45"/>
        <v>-1</v>
      </c>
      <c r="X40" s="7">
        <f t="shared" si="46"/>
        <v>0</v>
      </c>
      <c r="Y40" s="7">
        <f t="shared" si="47"/>
        <v>-1</v>
      </c>
      <c r="Z40" s="7">
        <f t="shared" si="48"/>
        <v>-1</v>
      </c>
      <c r="AA40" s="7">
        <f t="shared" si="49"/>
        <v>-1</v>
      </c>
      <c r="AB40" s="7"/>
      <c r="AC40" s="7">
        <f t="shared" si="50"/>
        <v>0</v>
      </c>
      <c r="AD40" s="7">
        <f t="shared" si="51"/>
        <v>0</v>
      </c>
      <c r="AE40" s="7">
        <f t="shared" si="52"/>
        <v>0</v>
      </c>
      <c r="AF40" s="7">
        <f t="shared" si="53"/>
        <v>0</v>
      </c>
      <c r="AG40" s="7">
        <f t="shared" si="54"/>
        <v>0</v>
      </c>
      <c r="AH40" s="7">
        <f t="shared" si="55"/>
        <v>0</v>
      </c>
      <c r="AI40" s="7">
        <f t="shared" si="56"/>
        <v>0</v>
      </c>
      <c r="AJ40" s="7">
        <f t="shared" si="57"/>
        <v>0</v>
      </c>
      <c r="AK40" s="7">
        <f t="shared" si="58"/>
        <v>0</v>
      </c>
      <c r="AL40" s="7">
        <f t="shared" si="59"/>
        <v>1</v>
      </c>
      <c r="AM40" s="7">
        <f t="shared" si="60"/>
        <v>1</v>
      </c>
      <c r="AN40" s="7">
        <f t="shared" si="61"/>
        <v>0</v>
      </c>
      <c r="AO40" s="7">
        <f t="shared" si="62"/>
        <v>0</v>
      </c>
      <c r="AP40" s="7"/>
      <c r="AQ40" s="7">
        <f t="shared" si="63"/>
        <v>100</v>
      </c>
      <c r="AR40" s="7">
        <f t="shared" si="64"/>
        <v>100</v>
      </c>
      <c r="AS40" s="7">
        <f t="shared" si="65"/>
        <v>100</v>
      </c>
      <c r="AT40" s="7">
        <f t="shared" si="66"/>
        <v>100</v>
      </c>
      <c r="AU40" s="7">
        <f t="shared" si="67"/>
        <v>100</v>
      </c>
      <c r="AV40" s="7">
        <f t="shared" si="68"/>
        <v>121</v>
      </c>
      <c r="AW40" s="7">
        <f t="shared" si="69"/>
        <v>121</v>
      </c>
      <c r="AX40" s="7">
        <f t="shared" si="70"/>
        <v>144</v>
      </c>
      <c r="AY40" s="7">
        <f t="shared" si="71"/>
        <v>169</v>
      </c>
      <c r="AZ40" s="7">
        <f t="shared" si="72"/>
        <v>169</v>
      </c>
      <c r="BA40" s="7">
        <f t="shared" si="73"/>
        <v>196</v>
      </c>
      <c r="BB40" s="7">
        <f t="shared" si="74"/>
        <v>225</v>
      </c>
      <c r="BC40" s="7">
        <f t="shared" si="75"/>
        <v>256</v>
      </c>
      <c r="BD40" s="7"/>
      <c r="BE40" s="7">
        <v>3.1005999999999999E-2</v>
      </c>
      <c r="BF40" s="7">
        <v>3.1171000000000001E-2</v>
      </c>
      <c r="BG40" s="7">
        <v>3.1486E-2</v>
      </c>
      <c r="BH40" s="7">
        <v>3.1962999999999998E-2</v>
      </c>
      <c r="BI40" s="7">
        <v>3.2411000000000002E-2</v>
      </c>
      <c r="BJ40" s="7">
        <v>3.2837999999999999E-2</v>
      </c>
      <c r="BK40" s="7">
        <v>3.2198999999999998E-2</v>
      </c>
      <c r="BL40" s="7">
        <v>2.8913000000000001E-2</v>
      </c>
      <c r="BM40" s="7">
        <v>2.4077999999999999E-2</v>
      </c>
      <c r="BN40" s="7">
        <v>1.9706999999999999E-2</v>
      </c>
      <c r="BO40" s="7">
        <v>1.4611000000000001E-2</v>
      </c>
      <c r="BP40" s="7">
        <v>9.2460000000000007E-3</v>
      </c>
      <c r="BQ40" s="7">
        <v>4.1780000000000003E-3</v>
      </c>
    </row>
    <row r="41" spans="1:69" x14ac:dyDescent="0.25">
      <c r="A41" s="17">
        <v>39</v>
      </c>
      <c r="B41" s="7">
        <v>10</v>
      </c>
      <c r="C41" s="7">
        <v>10</v>
      </c>
      <c r="D41" s="7">
        <v>10</v>
      </c>
      <c r="E41" s="7">
        <v>10</v>
      </c>
      <c r="F41" s="7">
        <v>10</v>
      </c>
      <c r="G41" s="7">
        <v>11</v>
      </c>
      <c r="H41" s="7">
        <v>11</v>
      </c>
      <c r="I41" s="7">
        <v>12</v>
      </c>
      <c r="J41" s="7">
        <v>13</v>
      </c>
      <c r="K41" s="7">
        <v>14</v>
      </c>
      <c r="L41" s="7">
        <v>15</v>
      </c>
      <c r="M41" s="7">
        <v>15</v>
      </c>
      <c r="N41" s="7">
        <v>16</v>
      </c>
      <c r="O41" s="7"/>
      <c r="P41" s="7">
        <f t="shared" si="38"/>
        <v>0</v>
      </c>
      <c r="Q41" s="7">
        <f t="shared" si="39"/>
        <v>0</v>
      </c>
      <c r="R41" s="7">
        <f t="shared" si="40"/>
        <v>0</v>
      </c>
      <c r="S41" s="7">
        <f t="shared" si="41"/>
        <v>0</v>
      </c>
      <c r="T41" s="7">
        <f t="shared" si="42"/>
        <v>-1</v>
      </c>
      <c r="U41" s="7">
        <f t="shared" si="43"/>
        <v>0</v>
      </c>
      <c r="V41" s="7">
        <f t="shared" si="44"/>
        <v>-1</v>
      </c>
      <c r="W41" s="7">
        <f t="shared" si="45"/>
        <v>-1</v>
      </c>
      <c r="X41" s="7">
        <f t="shared" si="46"/>
        <v>-1</v>
      </c>
      <c r="Y41" s="7">
        <f t="shared" si="47"/>
        <v>-1</v>
      </c>
      <c r="Z41" s="7">
        <f t="shared" si="48"/>
        <v>0</v>
      </c>
      <c r="AA41" s="7">
        <f>(M41-N41)</f>
        <v>-1</v>
      </c>
      <c r="AB41" s="7"/>
      <c r="AC41" s="7">
        <f t="shared" si="50"/>
        <v>0</v>
      </c>
      <c r="AD41" s="7">
        <f t="shared" si="51"/>
        <v>0</v>
      </c>
      <c r="AE41" s="7">
        <f t="shared" si="52"/>
        <v>0</v>
      </c>
      <c r="AF41" s="7">
        <f t="shared" si="53"/>
        <v>0</v>
      </c>
      <c r="AG41" s="7">
        <f t="shared" si="54"/>
        <v>1</v>
      </c>
      <c r="AH41" s="7">
        <f t="shared" si="55"/>
        <v>0</v>
      </c>
      <c r="AI41" s="7">
        <f t="shared" si="56"/>
        <v>1</v>
      </c>
      <c r="AJ41" s="7">
        <f t="shared" si="57"/>
        <v>0</v>
      </c>
      <c r="AK41" s="7">
        <f t="shared" si="58"/>
        <v>0</v>
      </c>
      <c r="AL41" s="7">
        <f t="shared" si="59"/>
        <v>0</v>
      </c>
      <c r="AM41" s="7">
        <f t="shared" si="60"/>
        <v>0</v>
      </c>
      <c r="AN41" s="7">
        <f t="shared" si="61"/>
        <v>1</v>
      </c>
      <c r="AO41" s="7">
        <f t="shared" si="62"/>
        <v>1</v>
      </c>
      <c r="AP41" s="7"/>
      <c r="AQ41" s="7">
        <f t="shared" si="63"/>
        <v>100</v>
      </c>
      <c r="AR41" s="7">
        <f t="shared" si="64"/>
        <v>100</v>
      </c>
      <c r="AS41" s="7">
        <f t="shared" si="65"/>
        <v>100</v>
      </c>
      <c r="AT41" s="7">
        <f t="shared" si="66"/>
        <v>100</v>
      </c>
      <c r="AU41" s="7">
        <f t="shared" si="67"/>
        <v>100</v>
      </c>
      <c r="AV41" s="7">
        <f t="shared" si="68"/>
        <v>121</v>
      </c>
      <c r="AW41" s="7">
        <f t="shared" si="69"/>
        <v>121</v>
      </c>
      <c r="AX41" s="7">
        <f t="shared" si="70"/>
        <v>144</v>
      </c>
      <c r="AY41" s="7">
        <f t="shared" si="71"/>
        <v>169</v>
      </c>
      <c r="AZ41" s="7">
        <f t="shared" si="72"/>
        <v>196</v>
      </c>
      <c r="BA41" s="7">
        <f t="shared" si="73"/>
        <v>225</v>
      </c>
      <c r="BB41" s="7">
        <f t="shared" si="74"/>
        <v>225</v>
      </c>
      <c r="BC41" s="7">
        <f t="shared" si="75"/>
        <v>256</v>
      </c>
      <c r="BD41" s="7"/>
      <c r="BE41" s="7">
        <v>3.1300000000000001E-2</v>
      </c>
      <c r="BF41" s="7">
        <v>3.1421999999999999E-2</v>
      </c>
      <c r="BG41" s="7">
        <v>3.1649999999999998E-2</v>
      </c>
      <c r="BH41" s="7">
        <v>3.1972E-2</v>
      </c>
      <c r="BI41" s="7">
        <v>3.2223000000000002E-2</v>
      </c>
      <c r="BJ41" s="7">
        <v>3.2268999999999999E-2</v>
      </c>
      <c r="BK41" s="7">
        <v>3.0986E-2</v>
      </c>
      <c r="BL41" s="7">
        <v>2.7053000000000001E-2</v>
      </c>
      <c r="BM41" s="7">
        <v>2.1918E-2</v>
      </c>
      <c r="BN41" s="7">
        <v>1.7517000000000001E-2</v>
      </c>
      <c r="BO41" s="7">
        <v>1.2579E-2</v>
      </c>
      <c r="BP41" s="7">
        <v>7.6220000000000003E-3</v>
      </c>
      <c r="BQ41" s="7">
        <v>3.2560000000000002E-3</v>
      </c>
    </row>
    <row r="42" spans="1:69" x14ac:dyDescent="0.25">
      <c r="A42" s="17">
        <v>40</v>
      </c>
      <c r="B42" s="7">
        <v>10</v>
      </c>
      <c r="C42" s="7">
        <v>10</v>
      </c>
      <c r="D42" s="7">
        <v>10</v>
      </c>
      <c r="E42" s="7">
        <v>10</v>
      </c>
      <c r="F42" s="7">
        <v>11</v>
      </c>
      <c r="G42" s="7">
        <v>11</v>
      </c>
      <c r="H42" s="7">
        <v>12</v>
      </c>
      <c r="I42" s="7">
        <v>12</v>
      </c>
      <c r="J42" s="7">
        <v>13</v>
      </c>
      <c r="K42" s="7">
        <v>14</v>
      </c>
      <c r="L42" s="7">
        <v>15</v>
      </c>
      <c r="M42" s="7">
        <v>16</v>
      </c>
      <c r="N42" s="7">
        <v>17</v>
      </c>
      <c r="O42" s="7"/>
      <c r="P42" s="7">
        <f t="shared" si="38"/>
        <v>0</v>
      </c>
      <c r="Q42" s="7">
        <f t="shared" si="39"/>
        <v>0</v>
      </c>
      <c r="R42" s="7">
        <f t="shared" si="40"/>
        <v>0</v>
      </c>
      <c r="S42" s="7">
        <f t="shared" si="41"/>
        <v>-1</v>
      </c>
      <c r="T42" s="7">
        <f t="shared" si="42"/>
        <v>0</v>
      </c>
      <c r="U42" s="7">
        <f t="shared" si="43"/>
        <v>-1</v>
      </c>
      <c r="V42" s="7">
        <f t="shared" si="44"/>
        <v>0</v>
      </c>
      <c r="W42" s="7">
        <f t="shared" si="45"/>
        <v>-1</v>
      </c>
      <c r="X42" s="7">
        <f t="shared" si="46"/>
        <v>-1</v>
      </c>
      <c r="Y42" s="7">
        <f t="shared" si="47"/>
        <v>-1</v>
      </c>
      <c r="Z42" s="7">
        <f t="shared" si="48"/>
        <v>-1</v>
      </c>
      <c r="AA42" s="7">
        <f t="shared" si="49"/>
        <v>-1</v>
      </c>
      <c r="AB42" s="7"/>
      <c r="AC42" s="7">
        <f t="shared" si="50"/>
        <v>0</v>
      </c>
      <c r="AD42" s="7">
        <f t="shared" si="51"/>
        <v>0</v>
      </c>
      <c r="AE42" s="7">
        <f t="shared" si="52"/>
        <v>1</v>
      </c>
      <c r="AF42" s="7">
        <f t="shared" si="53"/>
        <v>1</v>
      </c>
      <c r="AG42" s="7">
        <f t="shared" si="54"/>
        <v>0</v>
      </c>
      <c r="AH42" s="7">
        <f t="shared" si="55"/>
        <v>0</v>
      </c>
      <c r="AI42" s="7">
        <f t="shared" si="56"/>
        <v>0</v>
      </c>
      <c r="AJ42" s="7">
        <f t="shared" si="57"/>
        <v>1</v>
      </c>
      <c r="AK42" s="7">
        <f t="shared" si="58"/>
        <v>1</v>
      </c>
      <c r="AL42" s="7">
        <f t="shared" si="59"/>
        <v>0</v>
      </c>
      <c r="AM42" s="7">
        <f t="shared" si="60"/>
        <v>0</v>
      </c>
      <c r="AN42" s="7">
        <f t="shared" si="61"/>
        <v>0</v>
      </c>
      <c r="AO42" s="7">
        <f t="shared" si="62"/>
        <v>0</v>
      </c>
      <c r="AP42" s="7"/>
      <c r="AQ42" s="7">
        <f t="shared" si="63"/>
        <v>100</v>
      </c>
      <c r="AR42" s="7">
        <f t="shared" si="64"/>
        <v>100</v>
      </c>
      <c r="AS42" s="7">
        <f t="shared" si="65"/>
        <v>100</v>
      </c>
      <c r="AT42" s="7">
        <f t="shared" si="66"/>
        <v>100</v>
      </c>
      <c r="AU42" s="7">
        <f t="shared" si="67"/>
        <v>121</v>
      </c>
      <c r="AV42" s="7">
        <f t="shared" si="68"/>
        <v>121</v>
      </c>
      <c r="AW42" s="7">
        <f t="shared" si="69"/>
        <v>144</v>
      </c>
      <c r="AX42" s="7">
        <f t="shared" si="70"/>
        <v>144</v>
      </c>
      <c r="AY42" s="7">
        <f t="shared" si="71"/>
        <v>169</v>
      </c>
      <c r="AZ42" s="7">
        <f t="shared" si="72"/>
        <v>196</v>
      </c>
      <c r="BA42" s="7">
        <f t="shared" si="73"/>
        <v>225</v>
      </c>
      <c r="BB42" s="7">
        <f t="shared" si="74"/>
        <v>256</v>
      </c>
      <c r="BC42" s="7">
        <f t="shared" si="75"/>
        <v>289</v>
      </c>
      <c r="BD42" s="7"/>
      <c r="BE42" s="7">
        <v>3.1408999999999999E-2</v>
      </c>
      <c r="BF42" s="7">
        <v>3.1483999999999998E-2</v>
      </c>
      <c r="BG42" s="7">
        <v>3.1618E-2</v>
      </c>
      <c r="BH42" s="7">
        <v>3.1775999999999999E-2</v>
      </c>
      <c r="BI42" s="7">
        <v>3.1823999999999998E-2</v>
      </c>
      <c r="BJ42" s="7">
        <v>3.1491999999999999E-2</v>
      </c>
      <c r="BK42" s="7">
        <v>2.9607000000000001E-2</v>
      </c>
      <c r="BL42" s="7">
        <v>2.5128000000000001E-2</v>
      </c>
      <c r="BM42" s="7">
        <v>1.9798E-2</v>
      </c>
      <c r="BN42" s="7">
        <v>1.5438E-2</v>
      </c>
      <c r="BO42" s="7">
        <v>1.0725E-2</v>
      </c>
      <c r="BP42" s="7">
        <v>6.2199999999999998E-3</v>
      </c>
      <c r="BQ42" s="7">
        <v>2.5219999999999999E-3</v>
      </c>
    </row>
    <row r="43" spans="1:69" x14ac:dyDescent="0.25">
      <c r="A43" s="17">
        <v>41</v>
      </c>
      <c r="B43" s="7">
        <v>10</v>
      </c>
      <c r="C43" s="7">
        <v>10</v>
      </c>
      <c r="D43" s="7">
        <v>11</v>
      </c>
      <c r="E43" s="7">
        <v>11</v>
      </c>
      <c r="F43" s="7">
        <v>11</v>
      </c>
      <c r="G43" s="7">
        <v>11</v>
      </c>
      <c r="H43" s="7">
        <v>12</v>
      </c>
      <c r="I43" s="7">
        <v>13</v>
      </c>
      <c r="J43" s="7">
        <v>14</v>
      </c>
      <c r="K43" s="7">
        <v>14</v>
      </c>
      <c r="L43" s="7">
        <v>15</v>
      </c>
      <c r="M43" s="7">
        <v>16</v>
      </c>
      <c r="N43" s="7">
        <v>17</v>
      </c>
      <c r="O43" s="7"/>
      <c r="P43" s="7">
        <f t="shared" si="38"/>
        <v>0</v>
      </c>
      <c r="Q43" s="7">
        <f t="shared" si="39"/>
        <v>-1</v>
      </c>
      <c r="R43" s="7">
        <f t="shared" si="40"/>
        <v>0</v>
      </c>
      <c r="S43" s="7">
        <f t="shared" si="41"/>
        <v>0</v>
      </c>
      <c r="T43" s="7">
        <f t="shared" si="42"/>
        <v>0</v>
      </c>
      <c r="U43" s="7">
        <f t="shared" si="43"/>
        <v>-1</v>
      </c>
      <c r="V43" s="7">
        <f t="shared" si="44"/>
        <v>-1</v>
      </c>
      <c r="W43" s="7">
        <f t="shared" si="45"/>
        <v>-1</v>
      </c>
      <c r="X43" s="7">
        <f t="shared" si="46"/>
        <v>0</v>
      </c>
      <c r="Y43" s="7">
        <f t="shared" si="47"/>
        <v>-1</v>
      </c>
      <c r="Z43" s="7">
        <f t="shared" si="48"/>
        <v>-1</v>
      </c>
      <c r="AA43" s="7">
        <f t="shared" si="49"/>
        <v>-1</v>
      </c>
      <c r="AB43" s="7"/>
      <c r="AC43" s="7">
        <f t="shared" si="50"/>
        <v>1</v>
      </c>
      <c r="AD43" s="7">
        <f t="shared" si="51"/>
        <v>1</v>
      </c>
      <c r="AE43" s="7">
        <f t="shared" si="52"/>
        <v>0</v>
      </c>
      <c r="AF43" s="7">
        <f t="shared" si="53"/>
        <v>0</v>
      </c>
      <c r="AG43" s="7">
        <f t="shared" si="54"/>
        <v>0</v>
      </c>
      <c r="AH43" s="7">
        <f t="shared" si="55"/>
        <v>1</v>
      </c>
      <c r="AI43" s="7">
        <f t="shared" si="56"/>
        <v>0</v>
      </c>
      <c r="AJ43" s="7">
        <f t="shared" si="57"/>
        <v>0</v>
      </c>
      <c r="AK43" s="7">
        <f t="shared" si="58"/>
        <v>0</v>
      </c>
      <c r="AL43" s="7">
        <f t="shared" si="59"/>
        <v>1</v>
      </c>
      <c r="AM43" s="7">
        <f t="shared" si="60"/>
        <v>0</v>
      </c>
      <c r="AN43" s="7">
        <f t="shared" si="61"/>
        <v>0</v>
      </c>
      <c r="AO43" s="7">
        <f t="shared" si="62"/>
        <v>0</v>
      </c>
      <c r="AP43" s="7"/>
      <c r="AQ43" s="7">
        <f t="shared" si="63"/>
        <v>100</v>
      </c>
      <c r="AR43" s="7">
        <f t="shared" si="64"/>
        <v>100</v>
      </c>
      <c r="AS43" s="7">
        <f t="shared" si="65"/>
        <v>121</v>
      </c>
      <c r="AT43" s="7">
        <f t="shared" si="66"/>
        <v>121</v>
      </c>
      <c r="AU43" s="7">
        <f t="shared" si="67"/>
        <v>121</v>
      </c>
      <c r="AV43" s="7">
        <f t="shared" si="68"/>
        <v>121</v>
      </c>
      <c r="AW43" s="7">
        <f t="shared" si="69"/>
        <v>144</v>
      </c>
      <c r="AX43" s="7">
        <f t="shared" si="70"/>
        <v>169</v>
      </c>
      <c r="AY43" s="7">
        <f t="shared" si="71"/>
        <v>196</v>
      </c>
      <c r="AZ43" s="7">
        <f t="shared" si="72"/>
        <v>196</v>
      </c>
      <c r="BA43" s="7">
        <f t="shared" si="73"/>
        <v>225</v>
      </c>
      <c r="BB43" s="7">
        <f t="shared" si="74"/>
        <v>256</v>
      </c>
      <c r="BC43" s="7">
        <f t="shared" si="75"/>
        <v>289</v>
      </c>
      <c r="BD43" s="7"/>
      <c r="BE43" s="7">
        <v>3.1326E-2</v>
      </c>
      <c r="BF43" s="7">
        <v>3.1351999999999998E-2</v>
      </c>
      <c r="BG43" s="7">
        <v>3.1387999999999999E-2</v>
      </c>
      <c r="BH43" s="7">
        <v>3.1376000000000001E-2</v>
      </c>
      <c r="BI43" s="7">
        <v>3.1220999999999999E-2</v>
      </c>
      <c r="BJ43" s="7">
        <v>3.0522000000000001E-2</v>
      </c>
      <c r="BK43" s="7">
        <v>2.8088999999999999E-2</v>
      </c>
      <c r="BL43" s="7">
        <v>2.3172000000000002E-2</v>
      </c>
      <c r="BM43" s="7">
        <v>1.7745E-2</v>
      </c>
      <c r="BN43" s="7">
        <v>1.3488999999999999E-2</v>
      </c>
      <c r="BO43" s="7">
        <v>9.0570000000000008E-3</v>
      </c>
      <c r="BP43" s="7">
        <v>5.0280000000000004E-3</v>
      </c>
      <c r="BQ43" s="7">
        <v>1.9430000000000001E-3</v>
      </c>
    </row>
    <row r="44" spans="1:69" x14ac:dyDescent="0.25">
      <c r="A44" s="17">
        <v>42</v>
      </c>
      <c r="B44" s="7">
        <v>11</v>
      </c>
      <c r="C44" s="7">
        <v>11</v>
      </c>
      <c r="D44" s="7">
        <v>11</v>
      </c>
      <c r="E44" s="7">
        <v>11</v>
      </c>
      <c r="F44" s="7">
        <v>11</v>
      </c>
      <c r="G44" s="7">
        <v>12</v>
      </c>
      <c r="H44" s="7">
        <v>12</v>
      </c>
      <c r="I44" s="7">
        <v>13</v>
      </c>
      <c r="J44" s="7">
        <v>14</v>
      </c>
      <c r="K44" s="7">
        <v>15</v>
      </c>
      <c r="L44" s="7">
        <v>15</v>
      </c>
      <c r="M44" s="7">
        <v>16</v>
      </c>
      <c r="N44" s="7">
        <v>17</v>
      </c>
      <c r="O44" s="7"/>
      <c r="P44" s="7">
        <f t="shared" si="38"/>
        <v>0</v>
      </c>
      <c r="Q44" s="7">
        <f t="shared" si="39"/>
        <v>0</v>
      </c>
      <c r="R44" s="7">
        <f t="shared" si="40"/>
        <v>0</v>
      </c>
      <c r="S44" s="7">
        <f t="shared" si="41"/>
        <v>0</v>
      </c>
      <c r="T44" s="7">
        <f t="shared" si="42"/>
        <v>-1</v>
      </c>
      <c r="U44" s="7">
        <f t="shared" si="43"/>
        <v>0</v>
      </c>
      <c r="V44" s="7">
        <f t="shared" si="44"/>
        <v>-1</v>
      </c>
      <c r="W44" s="7">
        <f t="shared" si="45"/>
        <v>-1</v>
      </c>
      <c r="X44" s="7">
        <f t="shared" si="46"/>
        <v>-1</v>
      </c>
      <c r="Y44" s="7">
        <f t="shared" si="47"/>
        <v>0</v>
      </c>
      <c r="Z44" s="7">
        <f t="shared" si="48"/>
        <v>-1</v>
      </c>
      <c r="AA44" s="7">
        <f>(M44-N44)</f>
        <v>-1</v>
      </c>
      <c r="AB44" s="7"/>
      <c r="AC44" s="7">
        <f t="shared" si="50"/>
        <v>0</v>
      </c>
      <c r="AD44" s="7">
        <f t="shared" si="51"/>
        <v>0</v>
      </c>
      <c r="AE44" s="7">
        <f t="shared" si="52"/>
        <v>0</v>
      </c>
      <c r="AF44" s="7">
        <f t="shared" si="53"/>
        <v>0</v>
      </c>
      <c r="AG44" s="7">
        <f t="shared" si="54"/>
        <v>0</v>
      </c>
      <c r="AH44" s="7">
        <f t="shared" si="55"/>
        <v>0</v>
      </c>
      <c r="AI44" s="7">
        <f t="shared" si="56"/>
        <v>0</v>
      </c>
      <c r="AJ44" s="7">
        <f t="shared" si="57"/>
        <v>0</v>
      </c>
      <c r="AK44" s="7">
        <f t="shared" si="58"/>
        <v>0</v>
      </c>
      <c r="AL44" s="7">
        <f t="shared" si="59"/>
        <v>0</v>
      </c>
      <c r="AM44" s="7">
        <f t="shared" si="60"/>
        <v>1</v>
      </c>
      <c r="AN44" s="7">
        <f t="shared" si="61"/>
        <v>1</v>
      </c>
      <c r="AO44" s="7">
        <f t="shared" si="62"/>
        <v>1</v>
      </c>
      <c r="AP44" s="7"/>
      <c r="AQ44" s="7">
        <f t="shared" si="63"/>
        <v>121</v>
      </c>
      <c r="AR44" s="7">
        <f t="shared" si="64"/>
        <v>121</v>
      </c>
      <c r="AS44" s="7">
        <f t="shared" si="65"/>
        <v>121</v>
      </c>
      <c r="AT44" s="7">
        <f t="shared" si="66"/>
        <v>121</v>
      </c>
      <c r="AU44" s="7">
        <f t="shared" si="67"/>
        <v>121</v>
      </c>
      <c r="AV44" s="7">
        <f t="shared" si="68"/>
        <v>144</v>
      </c>
      <c r="AW44" s="7">
        <f t="shared" si="69"/>
        <v>144</v>
      </c>
      <c r="AX44" s="7">
        <f t="shared" si="70"/>
        <v>169</v>
      </c>
      <c r="AY44" s="7">
        <f t="shared" si="71"/>
        <v>196</v>
      </c>
      <c r="AZ44" s="7">
        <f t="shared" si="72"/>
        <v>225</v>
      </c>
      <c r="BA44" s="7">
        <f t="shared" si="73"/>
        <v>225</v>
      </c>
      <c r="BB44" s="7">
        <f t="shared" si="74"/>
        <v>256</v>
      </c>
      <c r="BC44" s="7">
        <f t="shared" si="75"/>
        <v>289</v>
      </c>
      <c r="BD44" s="7"/>
      <c r="BE44" s="7">
        <v>3.1049E-2</v>
      </c>
      <c r="BF44" s="7">
        <v>3.1025E-2</v>
      </c>
      <c r="BG44" s="7">
        <v>3.0960000000000001E-2</v>
      </c>
      <c r="BH44" s="7">
        <v>3.0779999999999998E-2</v>
      </c>
      <c r="BI44" s="7">
        <v>3.0426000000000002E-2</v>
      </c>
      <c r="BJ44" s="7">
        <v>2.938E-2</v>
      </c>
      <c r="BK44" s="7">
        <v>2.6463E-2</v>
      </c>
      <c r="BL44" s="7">
        <v>2.1215000000000001E-2</v>
      </c>
      <c r="BM44" s="7">
        <v>1.5781E-2</v>
      </c>
      <c r="BN44" s="7">
        <v>1.1684999999999999E-2</v>
      </c>
      <c r="BO44" s="7">
        <v>7.5770000000000004E-3</v>
      </c>
      <c r="BP44" s="7">
        <v>4.0309999999999999E-3</v>
      </c>
      <c r="BQ44" s="7">
        <v>1.4920000000000001E-3</v>
      </c>
    </row>
    <row r="45" spans="1:69" x14ac:dyDescent="0.25">
      <c r="A45" s="17">
        <v>43</v>
      </c>
      <c r="B45" s="7">
        <v>11</v>
      </c>
      <c r="C45" s="7">
        <v>11</v>
      </c>
      <c r="D45" s="7">
        <v>11</v>
      </c>
      <c r="E45" s="7">
        <v>11</v>
      </c>
      <c r="F45" s="7">
        <v>11</v>
      </c>
      <c r="G45" s="7">
        <v>12</v>
      </c>
      <c r="H45" s="7">
        <v>12</v>
      </c>
      <c r="I45" s="7">
        <v>13</v>
      </c>
      <c r="J45" s="7">
        <v>14</v>
      </c>
      <c r="K45" s="7">
        <v>15</v>
      </c>
      <c r="L45" s="7">
        <v>16</v>
      </c>
      <c r="M45" s="7">
        <v>17</v>
      </c>
      <c r="N45" s="7">
        <v>18</v>
      </c>
      <c r="O45" s="7"/>
      <c r="P45" s="7">
        <f t="shared" si="38"/>
        <v>0</v>
      </c>
      <c r="Q45" s="7">
        <f t="shared" si="39"/>
        <v>0</v>
      </c>
      <c r="R45" s="7">
        <f t="shared" si="40"/>
        <v>0</v>
      </c>
      <c r="S45" s="7">
        <f t="shared" si="41"/>
        <v>0</v>
      </c>
      <c r="T45" s="7">
        <f t="shared" si="42"/>
        <v>-1</v>
      </c>
      <c r="U45" s="7">
        <f t="shared" si="43"/>
        <v>0</v>
      </c>
      <c r="V45" s="7">
        <f t="shared" si="44"/>
        <v>-1</v>
      </c>
      <c r="W45" s="7">
        <f t="shared" si="45"/>
        <v>-1</v>
      </c>
      <c r="X45" s="7">
        <f t="shared" si="46"/>
        <v>-1</v>
      </c>
      <c r="Y45" s="7">
        <f t="shared" si="47"/>
        <v>-1</v>
      </c>
      <c r="Z45" s="7">
        <f t="shared" si="48"/>
        <v>-1</v>
      </c>
      <c r="AA45" s="7">
        <f t="shared" si="49"/>
        <v>-1</v>
      </c>
      <c r="AB45" s="7"/>
      <c r="AC45" s="7">
        <f t="shared" si="50"/>
        <v>0</v>
      </c>
      <c r="AD45" s="7">
        <f t="shared" si="51"/>
        <v>0</v>
      </c>
      <c r="AE45" s="7">
        <f t="shared" si="52"/>
        <v>0</v>
      </c>
      <c r="AF45" s="7">
        <f t="shared" si="53"/>
        <v>0</v>
      </c>
      <c r="AG45" s="7">
        <f t="shared" si="54"/>
        <v>1</v>
      </c>
      <c r="AH45" s="7">
        <f t="shared" si="55"/>
        <v>0</v>
      </c>
      <c r="AI45" s="7">
        <f t="shared" si="56"/>
        <v>0</v>
      </c>
      <c r="AJ45" s="7">
        <f t="shared" si="57"/>
        <v>0</v>
      </c>
      <c r="AK45" s="7">
        <f t="shared" si="58"/>
        <v>0</v>
      </c>
      <c r="AL45" s="7">
        <f t="shared" si="59"/>
        <v>0</v>
      </c>
      <c r="AM45" s="7">
        <f t="shared" si="60"/>
        <v>0</v>
      </c>
      <c r="AN45" s="7">
        <f t="shared" si="61"/>
        <v>0</v>
      </c>
      <c r="AO45" s="7">
        <f t="shared" si="62"/>
        <v>0</v>
      </c>
      <c r="AP45" s="7"/>
      <c r="AQ45" s="7">
        <f t="shared" si="63"/>
        <v>121</v>
      </c>
      <c r="AR45" s="7">
        <f t="shared" si="64"/>
        <v>121</v>
      </c>
      <c r="AS45" s="7">
        <f t="shared" si="65"/>
        <v>121</v>
      </c>
      <c r="AT45" s="7">
        <f t="shared" si="66"/>
        <v>121</v>
      </c>
      <c r="AU45" s="7">
        <f t="shared" si="67"/>
        <v>121</v>
      </c>
      <c r="AV45" s="7">
        <f t="shared" si="68"/>
        <v>144</v>
      </c>
      <c r="AW45" s="7">
        <f t="shared" si="69"/>
        <v>144</v>
      </c>
      <c r="AX45" s="7">
        <f t="shared" si="70"/>
        <v>169</v>
      </c>
      <c r="AY45" s="7">
        <f t="shared" si="71"/>
        <v>196</v>
      </c>
      <c r="AZ45" s="7">
        <f t="shared" si="72"/>
        <v>225</v>
      </c>
      <c r="BA45" s="7">
        <f t="shared" si="73"/>
        <v>256</v>
      </c>
      <c r="BB45" s="7">
        <f t="shared" si="74"/>
        <v>289</v>
      </c>
      <c r="BC45" s="7">
        <f t="shared" si="75"/>
        <v>324</v>
      </c>
      <c r="BD45" s="7"/>
      <c r="BE45" s="7">
        <v>3.0578999999999999E-2</v>
      </c>
      <c r="BF45" s="7">
        <v>3.0504E-2</v>
      </c>
      <c r="BG45" s="7">
        <v>3.0339999999999999E-2</v>
      </c>
      <c r="BH45" s="7">
        <v>2.9995999999999998E-2</v>
      </c>
      <c r="BI45" s="7">
        <v>2.9451999999999999E-2</v>
      </c>
      <c r="BJ45" s="7">
        <v>2.8087999999999998E-2</v>
      </c>
      <c r="BK45" s="7">
        <v>2.4757999999999999E-2</v>
      </c>
      <c r="BL45" s="7">
        <v>1.9286000000000001E-2</v>
      </c>
      <c r="BM45" s="7">
        <v>1.3925999999999999E-2</v>
      </c>
      <c r="BN45" s="7">
        <v>1.0036E-2</v>
      </c>
      <c r="BO45" s="7">
        <v>6.2820000000000003E-3</v>
      </c>
      <c r="BP45" s="7">
        <v>3.2079999999999999E-3</v>
      </c>
      <c r="BQ45" s="7">
        <v>1.14E-3</v>
      </c>
    </row>
    <row r="46" spans="1:69" x14ac:dyDescent="0.25">
      <c r="A46" s="17">
        <v>44</v>
      </c>
      <c r="B46" s="7">
        <v>11</v>
      </c>
      <c r="C46" s="7">
        <v>11</v>
      </c>
      <c r="D46" s="7">
        <v>11</v>
      </c>
      <c r="E46" s="7">
        <v>11</v>
      </c>
      <c r="F46" s="7">
        <v>12</v>
      </c>
      <c r="G46" s="7">
        <v>12</v>
      </c>
      <c r="H46" s="7">
        <v>12</v>
      </c>
      <c r="I46" s="7">
        <v>13</v>
      </c>
      <c r="J46" s="7">
        <v>14</v>
      </c>
      <c r="K46" s="7">
        <v>15</v>
      </c>
      <c r="L46" s="7">
        <v>16</v>
      </c>
      <c r="M46" s="7">
        <v>17</v>
      </c>
      <c r="N46" s="7">
        <v>18</v>
      </c>
      <c r="O46" s="7"/>
      <c r="P46" s="7">
        <f t="shared" si="38"/>
        <v>0</v>
      </c>
      <c r="Q46" s="7">
        <f t="shared" si="39"/>
        <v>0</v>
      </c>
      <c r="R46" s="7">
        <f t="shared" si="40"/>
        <v>0</v>
      </c>
      <c r="S46" s="7">
        <f t="shared" si="41"/>
        <v>-1</v>
      </c>
      <c r="T46" s="7">
        <f t="shared" si="42"/>
        <v>0</v>
      </c>
      <c r="U46" s="7">
        <f t="shared" si="43"/>
        <v>0</v>
      </c>
      <c r="V46" s="7">
        <f>(H46-I46)</f>
        <v>-1</v>
      </c>
      <c r="W46" s="7">
        <f t="shared" si="45"/>
        <v>-1</v>
      </c>
      <c r="X46" s="7">
        <f t="shared" si="46"/>
        <v>-1</v>
      </c>
      <c r="Y46" s="7">
        <f t="shared" si="47"/>
        <v>-1</v>
      </c>
      <c r="Z46" s="7">
        <f t="shared" si="48"/>
        <v>-1</v>
      </c>
      <c r="AA46" s="7">
        <f t="shared" si="49"/>
        <v>-1</v>
      </c>
      <c r="AB46" s="7"/>
      <c r="AC46" s="7">
        <f t="shared" si="50"/>
        <v>0</v>
      </c>
      <c r="AD46" s="7">
        <f t="shared" si="51"/>
        <v>0</v>
      </c>
      <c r="AE46" s="7">
        <f t="shared" si="52"/>
        <v>1</v>
      </c>
      <c r="AF46" s="7">
        <f t="shared" si="53"/>
        <v>1</v>
      </c>
      <c r="AG46" s="7">
        <f t="shared" si="54"/>
        <v>0</v>
      </c>
      <c r="AH46" s="7">
        <f t="shared" si="55"/>
        <v>0</v>
      </c>
      <c r="AI46" s="7">
        <f t="shared" si="56"/>
        <v>1</v>
      </c>
      <c r="AJ46" s="7">
        <f t="shared" si="57"/>
        <v>1</v>
      </c>
      <c r="AK46" s="7">
        <f t="shared" si="58"/>
        <v>1</v>
      </c>
      <c r="AL46" s="7">
        <f t="shared" si="59"/>
        <v>0</v>
      </c>
      <c r="AM46" s="7">
        <f t="shared" si="60"/>
        <v>0</v>
      </c>
      <c r="AN46" s="7">
        <f t="shared" si="61"/>
        <v>0</v>
      </c>
      <c r="AO46" s="7">
        <f t="shared" si="62"/>
        <v>0</v>
      </c>
      <c r="AP46" s="7"/>
      <c r="AQ46" s="7">
        <f t="shared" si="63"/>
        <v>121</v>
      </c>
      <c r="AR46" s="7">
        <f t="shared" si="64"/>
        <v>121</v>
      </c>
      <c r="AS46" s="7">
        <f t="shared" si="65"/>
        <v>121</v>
      </c>
      <c r="AT46" s="7">
        <f t="shared" si="66"/>
        <v>121</v>
      </c>
      <c r="AU46" s="7">
        <f t="shared" si="67"/>
        <v>144</v>
      </c>
      <c r="AV46" s="7">
        <f t="shared" si="68"/>
        <v>144</v>
      </c>
      <c r="AW46" s="7">
        <f t="shared" si="69"/>
        <v>144</v>
      </c>
      <c r="AX46" s="7">
        <f t="shared" si="70"/>
        <v>169</v>
      </c>
      <c r="AY46" s="7">
        <f t="shared" si="71"/>
        <v>196</v>
      </c>
      <c r="AZ46" s="7">
        <f t="shared" si="72"/>
        <v>225</v>
      </c>
      <c r="BA46" s="7">
        <f t="shared" si="73"/>
        <v>256</v>
      </c>
      <c r="BB46" s="7">
        <f t="shared" si="74"/>
        <v>289</v>
      </c>
      <c r="BC46" s="7">
        <f t="shared" si="75"/>
        <v>324</v>
      </c>
      <c r="BD46" s="7"/>
      <c r="BE46" s="7">
        <v>2.9921E-2</v>
      </c>
      <c r="BF46" s="7">
        <v>2.9796E-2</v>
      </c>
      <c r="BG46" s="7">
        <v>2.9537000000000001E-2</v>
      </c>
      <c r="BH46" s="7">
        <v>2.9037E-2</v>
      </c>
      <c r="BI46" s="7">
        <v>2.8316999999999998E-2</v>
      </c>
      <c r="BJ46" s="7">
        <v>2.6669000000000002E-2</v>
      </c>
      <c r="BK46" s="7">
        <v>2.3004E-2</v>
      </c>
      <c r="BL46" s="7">
        <v>1.7406999999999999E-2</v>
      </c>
      <c r="BM46" s="7">
        <v>1.2193000000000001E-2</v>
      </c>
      <c r="BN46" s="7">
        <v>8.5470000000000008E-3</v>
      </c>
      <c r="BO46" s="7">
        <v>5.1640000000000002E-3</v>
      </c>
      <c r="BP46" s="7">
        <v>2.5370000000000002E-3</v>
      </c>
      <c r="BQ46" s="7">
        <v>8.6799999999999996E-4</v>
      </c>
    </row>
    <row r="47" spans="1:69" x14ac:dyDescent="0.25">
      <c r="A47" s="17">
        <v>45</v>
      </c>
      <c r="B47" s="7">
        <v>11</v>
      </c>
      <c r="C47" s="7">
        <v>11</v>
      </c>
      <c r="D47" s="7">
        <v>12</v>
      </c>
      <c r="E47" s="7">
        <v>12</v>
      </c>
      <c r="F47" s="7">
        <v>12</v>
      </c>
      <c r="G47" s="7">
        <v>12</v>
      </c>
      <c r="H47" s="7">
        <v>13</v>
      </c>
      <c r="I47" s="7">
        <v>14</v>
      </c>
      <c r="J47" s="7">
        <v>15</v>
      </c>
      <c r="K47" s="7">
        <v>15</v>
      </c>
      <c r="L47" s="7">
        <v>16</v>
      </c>
      <c r="M47" s="7">
        <v>17</v>
      </c>
      <c r="N47" s="7">
        <v>18</v>
      </c>
      <c r="O47" s="7"/>
      <c r="P47" s="7">
        <f t="shared" si="38"/>
        <v>0</v>
      </c>
      <c r="Q47" s="7">
        <f t="shared" si="39"/>
        <v>-1</v>
      </c>
      <c r="R47" s="7">
        <f t="shared" si="40"/>
        <v>0</v>
      </c>
      <c r="S47" s="7">
        <f t="shared" si="41"/>
        <v>0</v>
      </c>
      <c r="T47" s="7">
        <f t="shared" si="42"/>
        <v>0</v>
      </c>
      <c r="U47" s="7">
        <f t="shared" si="43"/>
        <v>-1</v>
      </c>
      <c r="V47" s="7">
        <f t="shared" si="44"/>
        <v>-1</v>
      </c>
      <c r="W47" s="7">
        <f t="shared" si="45"/>
        <v>-1</v>
      </c>
      <c r="X47" s="7">
        <f t="shared" si="46"/>
        <v>0</v>
      </c>
      <c r="Y47" s="7">
        <f t="shared" si="47"/>
        <v>-1</v>
      </c>
      <c r="Z47" s="7">
        <f t="shared" si="48"/>
        <v>-1</v>
      </c>
      <c r="AA47" s="7">
        <f>(M47-N47)</f>
        <v>-1</v>
      </c>
      <c r="AB47" s="7"/>
      <c r="AC47" s="7">
        <f t="shared" si="50"/>
        <v>1</v>
      </c>
      <c r="AD47" s="7">
        <f t="shared" si="51"/>
        <v>1</v>
      </c>
      <c r="AE47" s="7">
        <f t="shared" si="52"/>
        <v>0</v>
      </c>
      <c r="AF47" s="7">
        <f t="shared" si="53"/>
        <v>0</v>
      </c>
      <c r="AG47" s="7">
        <f t="shared" si="54"/>
        <v>0</v>
      </c>
      <c r="AH47" s="7">
        <f t="shared" si="55"/>
        <v>1</v>
      </c>
      <c r="AI47" s="7">
        <f t="shared" si="56"/>
        <v>0</v>
      </c>
      <c r="AJ47" s="7">
        <f t="shared" si="57"/>
        <v>0</v>
      </c>
      <c r="AK47" s="7">
        <f t="shared" si="58"/>
        <v>0</v>
      </c>
      <c r="AL47" s="7">
        <f t="shared" si="59"/>
        <v>1</v>
      </c>
      <c r="AM47" s="7">
        <f t="shared" si="60"/>
        <v>1</v>
      </c>
      <c r="AN47" s="7">
        <f t="shared" si="61"/>
        <v>1</v>
      </c>
      <c r="AO47" s="7">
        <f t="shared" si="62"/>
        <v>1</v>
      </c>
      <c r="AP47" s="7"/>
      <c r="AQ47" s="7">
        <f t="shared" si="63"/>
        <v>121</v>
      </c>
      <c r="AR47" s="7">
        <f t="shared" si="64"/>
        <v>121</v>
      </c>
      <c r="AS47" s="7">
        <f t="shared" si="65"/>
        <v>144</v>
      </c>
      <c r="AT47" s="7">
        <f t="shared" si="66"/>
        <v>144</v>
      </c>
      <c r="AU47" s="7">
        <f t="shared" si="67"/>
        <v>144</v>
      </c>
      <c r="AV47" s="7">
        <f t="shared" si="68"/>
        <v>144</v>
      </c>
      <c r="AW47" s="7">
        <f t="shared" si="69"/>
        <v>169</v>
      </c>
      <c r="AX47" s="7">
        <f t="shared" si="70"/>
        <v>196</v>
      </c>
      <c r="AY47" s="7">
        <f t="shared" si="71"/>
        <v>225</v>
      </c>
      <c r="AZ47" s="7">
        <f t="shared" si="72"/>
        <v>225</v>
      </c>
      <c r="BA47" s="7">
        <f t="shared" si="73"/>
        <v>256</v>
      </c>
      <c r="BB47" s="7">
        <f t="shared" si="74"/>
        <v>289</v>
      </c>
      <c r="BC47" s="7">
        <f t="shared" si="75"/>
        <v>324</v>
      </c>
      <c r="BD47" s="7"/>
      <c r="BE47" s="7">
        <v>2.9080999999999999E-2</v>
      </c>
      <c r="BF47" s="7">
        <v>2.8910999999999999E-2</v>
      </c>
      <c r="BG47" s="7">
        <v>2.8563999999999999E-2</v>
      </c>
      <c r="BH47" s="7">
        <v>2.792E-2</v>
      </c>
      <c r="BI47" s="7">
        <v>2.7043000000000001E-2</v>
      </c>
      <c r="BJ47" s="7">
        <v>2.5149999999999999E-2</v>
      </c>
      <c r="BK47" s="7">
        <v>2.1229000000000001E-2</v>
      </c>
      <c r="BL47" s="7">
        <v>1.5602E-2</v>
      </c>
      <c r="BM47" s="7">
        <v>1.0593999999999999E-2</v>
      </c>
      <c r="BN47" s="7">
        <v>7.2179999999999996E-3</v>
      </c>
      <c r="BO47" s="7">
        <v>4.2119999999999996E-3</v>
      </c>
      <c r="BP47" s="7">
        <v>1.9949999999999998E-3</v>
      </c>
      <c r="BQ47" s="7">
        <v>6.5799999999999995E-4</v>
      </c>
    </row>
    <row r="48" spans="1:69" x14ac:dyDescent="0.25">
      <c r="A48" s="17">
        <v>46</v>
      </c>
      <c r="B48" s="7">
        <v>12</v>
      </c>
      <c r="C48" s="7">
        <v>12</v>
      </c>
      <c r="D48" s="7">
        <v>12</v>
      </c>
      <c r="E48" s="7">
        <v>12</v>
      </c>
      <c r="F48" s="7">
        <v>12</v>
      </c>
      <c r="G48" s="7">
        <v>13</v>
      </c>
      <c r="H48" s="7">
        <v>13</v>
      </c>
      <c r="I48" s="7">
        <v>14</v>
      </c>
      <c r="J48" s="7">
        <v>15</v>
      </c>
      <c r="K48" s="7">
        <v>16</v>
      </c>
      <c r="L48" s="7">
        <v>17</v>
      </c>
      <c r="M48" s="7">
        <v>18</v>
      </c>
      <c r="N48" s="7">
        <v>19</v>
      </c>
      <c r="O48" s="7"/>
      <c r="P48" s="7">
        <f t="shared" si="38"/>
        <v>0</v>
      </c>
      <c r="Q48" s="7">
        <f t="shared" si="39"/>
        <v>0</v>
      </c>
      <c r="R48" s="7">
        <f t="shared" si="40"/>
        <v>0</v>
      </c>
      <c r="S48" s="7">
        <f t="shared" si="41"/>
        <v>0</v>
      </c>
      <c r="T48" s="7">
        <f t="shared" si="42"/>
        <v>-1</v>
      </c>
      <c r="U48" s="7">
        <f t="shared" si="43"/>
        <v>0</v>
      </c>
      <c r="V48" s="7">
        <f t="shared" si="44"/>
        <v>-1</v>
      </c>
      <c r="W48" s="7">
        <f t="shared" si="45"/>
        <v>-1</v>
      </c>
      <c r="X48" s="7">
        <f t="shared" si="46"/>
        <v>-1</v>
      </c>
      <c r="Y48" s="7">
        <f t="shared" si="47"/>
        <v>-1</v>
      </c>
      <c r="Z48" s="7">
        <f t="shared" si="48"/>
        <v>-1</v>
      </c>
      <c r="AA48" s="7">
        <f t="shared" si="49"/>
        <v>-1</v>
      </c>
      <c r="AB48" s="7"/>
      <c r="AC48" s="7">
        <f t="shared" si="50"/>
        <v>0</v>
      </c>
      <c r="AD48" s="7">
        <f t="shared" si="51"/>
        <v>0</v>
      </c>
      <c r="AE48" s="7">
        <f t="shared" si="52"/>
        <v>0</v>
      </c>
      <c r="AF48" s="7">
        <f t="shared" si="53"/>
        <v>0</v>
      </c>
      <c r="AG48" s="7">
        <f t="shared" si="54"/>
        <v>0</v>
      </c>
      <c r="AH48" s="7">
        <f t="shared" si="55"/>
        <v>0</v>
      </c>
      <c r="AI48" s="7">
        <f t="shared" si="56"/>
        <v>0</v>
      </c>
      <c r="AJ48" s="7">
        <f t="shared" si="57"/>
        <v>0</v>
      </c>
      <c r="AK48" s="7">
        <f t="shared" si="58"/>
        <v>0</v>
      </c>
      <c r="AL48" s="7">
        <f t="shared" si="59"/>
        <v>0</v>
      </c>
      <c r="AM48" s="7">
        <f t="shared" si="60"/>
        <v>0</v>
      </c>
      <c r="AN48" s="7">
        <f t="shared" si="61"/>
        <v>0</v>
      </c>
      <c r="AO48" s="7">
        <f t="shared" si="62"/>
        <v>0</v>
      </c>
      <c r="AP48" s="7"/>
      <c r="AQ48" s="7">
        <f t="shared" si="63"/>
        <v>144</v>
      </c>
      <c r="AR48" s="7">
        <f t="shared" si="64"/>
        <v>144</v>
      </c>
      <c r="AS48" s="7">
        <f t="shared" si="65"/>
        <v>144</v>
      </c>
      <c r="AT48" s="7">
        <f t="shared" si="66"/>
        <v>144</v>
      </c>
      <c r="AU48" s="7">
        <f t="shared" si="67"/>
        <v>144</v>
      </c>
      <c r="AV48" s="7">
        <f t="shared" si="68"/>
        <v>169</v>
      </c>
      <c r="AW48" s="7">
        <f t="shared" si="69"/>
        <v>169</v>
      </c>
      <c r="AX48" s="7">
        <f t="shared" si="70"/>
        <v>196</v>
      </c>
      <c r="AY48" s="7">
        <f t="shared" si="71"/>
        <v>225</v>
      </c>
      <c r="AZ48" s="7">
        <f t="shared" si="72"/>
        <v>256</v>
      </c>
      <c r="BA48" s="7">
        <f t="shared" si="73"/>
        <v>289</v>
      </c>
      <c r="BB48" s="7">
        <f t="shared" si="74"/>
        <v>324</v>
      </c>
      <c r="BC48" s="7">
        <f t="shared" si="75"/>
        <v>361</v>
      </c>
      <c r="BD48" s="7"/>
      <c r="BE48" s="7">
        <v>2.8072E-2</v>
      </c>
      <c r="BF48" s="7">
        <v>2.7862000000000001E-2</v>
      </c>
      <c r="BG48" s="7">
        <v>2.7435000000000001E-2</v>
      </c>
      <c r="BH48" s="7">
        <v>2.6665000000000001E-2</v>
      </c>
      <c r="BI48" s="7">
        <v>2.5651E-2</v>
      </c>
      <c r="BJ48" s="7">
        <v>2.3557000000000002E-2</v>
      </c>
      <c r="BK48" s="7">
        <v>1.9459000000000001E-2</v>
      </c>
      <c r="BL48" s="7">
        <v>1.3885E-2</v>
      </c>
      <c r="BM48" s="7">
        <v>9.1330000000000005E-3</v>
      </c>
      <c r="BN48" s="7">
        <v>6.0470000000000003E-3</v>
      </c>
      <c r="BO48" s="7">
        <v>3.4099999999999998E-3</v>
      </c>
      <c r="BP48" s="7">
        <v>1.562E-3</v>
      </c>
      <c r="BQ48" s="7">
        <v>4.95E-4</v>
      </c>
    </row>
    <row r="49" spans="1:69" x14ac:dyDescent="0.25">
      <c r="A49" s="17">
        <v>47</v>
      </c>
      <c r="B49" s="7">
        <v>12</v>
      </c>
      <c r="C49" s="7">
        <v>12</v>
      </c>
      <c r="D49" s="7">
        <v>12</v>
      </c>
      <c r="E49" s="7">
        <v>12</v>
      </c>
      <c r="F49" s="7">
        <v>12</v>
      </c>
      <c r="G49" s="7">
        <v>13</v>
      </c>
      <c r="H49" s="7">
        <v>13</v>
      </c>
      <c r="I49" s="7">
        <v>14</v>
      </c>
      <c r="J49" s="7">
        <v>15</v>
      </c>
      <c r="K49" s="7">
        <v>16</v>
      </c>
      <c r="L49" s="7">
        <v>17</v>
      </c>
      <c r="M49" s="7">
        <v>18</v>
      </c>
      <c r="N49" s="7">
        <v>19</v>
      </c>
      <c r="O49" s="7"/>
      <c r="P49" s="7">
        <f t="shared" si="38"/>
        <v>0</v>
      </c>
      <c r="Q49" s="7">
        <f t="shared" si="39"/>
        <v>0</v>
      </c>
      <c r="R49" s="7">
        <f t="shared" si="40"/>
        <v>0</v>
      </c>
      <c r="S49" s="7">
        <f t="shared" si="41"/>
        <v>0</v>
      </c>
      <c r="T49" s="7">
        <f t="shared" si="42"/>
        <v>-1</v>
      </c>
      <c r="U49" s="7">
        <f t="shared" si="43"/>
        <v>0</v>
      </c>
      <c r="V49" s="7">
        <f t="shared" si="44"/>
        <v>-1</v>
      </c>
      <c r="W49" s="7">
        <f t="shared" si="45"/>
        <v>-1</v>
      </c>
      <c r="X49" s="7">
        <f t="shared" si="46"/>
        <v>-1</v>
      </c>
      <c r="Y49" s="7">
        <f t="shared" si="47"/>
        <v>-1</v>
      </c>
      <c r="Z49" s="7">
        <f t="shared" si="48"/>
        <v>-1</v>
      </c>
      <c r="AA49" s="7">
        <f t="shared" si="49"/>
        <v>-1</v>
      </c>
      <c r="AB49" s="7"/>
      <c r="AC49" s="7">
        <f t="shared" si="50"/>
        <v>0</v>
      </c>
      <c r="AD49" s="7">
        <f t="shared" si="51"/>
        <v>0</v>
      </c>
      <c r="AE49" s="7">
        <f t="shared" si="52"/>
        <v>0</v>
      </c>
      <c r="AF49" s="7">
        <f t="shared" si="53"/>
        <v>0</v>
      </c>
      <c r="AG49" s="7">
        <f t="shared" si="54"/>
        <v>1</v>
      </c>
      <c r="AH49" s="7">
        <f t="shared" si="55"/>
        <v>0</v>
      </c>
      <c r="AI49" s="7">
        <f t="shared" si="56"/>
        <v>0</v>
      </c>
      <c r="AJ49" s="7">
        <f t="shared" si="57"/>
        <v>0</v>
      </c>
      <c r="AK49" s="7">
        <f t="shared" si="58"/>
        <v>0</v>
      </c>
      <c r="AL49" s="7">
        <f t="shared" si="59"/>
        <v>0</v>
      </c>
      <c r="AM49" s="7">
        <f t="shared" si="60"/>
        <v>0</v>
      </c>
      <c r="AN49" s="7">
        <f t="shared" si="61"/>
        <v>0</v>
      </c>
      <c r="AO49" s="7">
        <f t="shared" si="62"/>
        <v>0</v>
      </c>
      <c r="AP49" s="7"/>
      <c r="AQ49" s="7">
        <f t="shared" si="63"/>
        <v>144</v>
      </c>
      <c r="AR49" s="7">
        <f t="shared" si="64"/>
        <v>144</v>
      </c>
      <c r="AS49" s="7">
        <f t="shared" si="65"/>
        <v>144</v>
      </c>
      <c r="AT49" s="7">
        <f t="shared" si="66"/>
        <v>144</v>
      </c>
      <c r="AU49" s="7">
        <f t="shared" si="67"/>
        <v>144</v>
      </c>
      <c r="AV49" s="7">
        <f t="shared" si="68"/>
        <v>169</v>
      </c>
      <c r="AW49" s="7">
        <f t="shared" si="69"/>
        <v>169</v>
      </c>
      <c r="AX49" s="7">
        <f t="shared" si="70"/>
        <v>196</v>
      </c>
      <c r="AY49" s="7">
        <f t="shared" si="71"/>
        <v>225</v>
      </c>
      <c r="AZ49" s="7">
        <f t="shared" si="72"/>
        <v>256</v>
      </c>
      <c r="BA49" s="7">
        <f t="shared" si="73"/>
        <v>289</v>
      </c>
      <c r="BB49" s="7">
        <f t="shared" si="74"/>
        <v>324</v>
      </c>
      <c r="BC49" s="7">
        <f t="shared" si="75"/>
        <v>361</v>
      </c>
      <c r="BD49" s="7"/>
      <c r="BE49" s="7">
        <v>2.691E-2</v>
      </c>
      <c r="BF49" s="7">
        <v>2.6665000000000001E-2</v>
      </c>
      <c r="BG49" s="7">
        <v>2.6169999999999999E-2</v>
      </c>
      <c r="BH49" s="7">
        <v>2.5291999999999999E-2</v>
      </c>
      <c r="BI49" s="7">
        <v>2.4164999999999999E-2</v>
      </c>
      <c r="BJ49" s="7">
        <v>2.1916000000000001E-2</v>
      </c>
      <c r="BK49" s="7">
        <v>1.7715999999999999E-2</v>
      </c>
      <c r="BL49" s="7">
        <v>1.2271000000000001E-2</v>
      </c>
      <c r="BM49" s="7">
        <v>7.8150000000000008E-3</v>
      </c>
      <c r="BN49" s="7">
        <v>5.0270000000000002E-3</v>
      </c>
      <c r="BO49" s="7">
        <v>2.7430000000000002E-3</v>
      </c>
      <c r="BP49" s="7">
        <v>1.2179999999999999E-3</v>
      </c>
      <c r="BQ49" s="7">
        <v>3.6999999999999999E-4</v>
      </c>
    </row>
    <row r="50" spans="1:69" x14ac:dyDescent="0.25">
      <c r="A50" s="17">
        <v>48</v>
      </c>
      <c r="B50" s="7">
        <v>12</v>
      </c>
      <c r="C50" s="7">
        <v>12</v>
      </c>
      <c r="D50" s="7">
        <v>12</v>
      </c>
      <c r="E50" s="7">
        <v>12</v>
      </c>
      <c r="F50" s="7">
        <v>13</v>
      </c>
      <c r="G50" s="7">
        <v>13</v>
      </c>
      <c r="H50" s="7">
        <v>13</v>
      </c>
      <c r="I50" s="7">
        <v>14</v>
      </c>
      <c r="J50" s="7">
        <v>15</v>
      </c>
      <c r="K50" s="7">
        <v>16</v>
      </c>
      <c r="L50" s="7">
        <v>17</v>
      </c>
      <c r="M50" s="7">
        <v>18</v>
      </c>
      <c r="N50" s="7">
        <v>19</v>
      </c>
      <c r="O50" s="7"/>
      <c r="P50" s="7">
        <f t="shared" si="38"/>
        <v>0</v>
      </c>
      <c r="Q50" s="7">
        <f t="shared" si="39"/>
        <v>0</v>
      </c>
      <c r="R50" s="7">
        <f t="shared" si="40"/>
        <v>0</v>
      </c>
      <c r="S50" s="7">
        <f t="shared" si="41"/>
        <v>-1</v>
      </c>
      <c r="T50" s="7">
        <f t="shared" si="42"/>
        <v>0</v>
      </c>
      <c r="U50" s="7">
        <f t="shared" si="43"/>
        <v>0</v>
      </c>
      <c r="V50" s="7">
        <f t="shared" si="44"/>
        <v>-1</v>
      </c>
      <c r="W50" s="7">
        <f t="shared" si="45"/>
        <v>-1</v>
      </c>
      <c r="X50" s="7">
        <f t="shared" si="46"/>
        <v>-1</v>
      </c>
      <c r="Y50" s="7">
        <f t="shared" si="47"/>
        <v>-1</v>
      </c>
      <c r="Z50" s="7">
        <f t="shared" si="48"/>
        <v>-1</v>
      </c>
      <c r="AA50" s="7">
        <f t="shared" si="49"/>
        <v>-1</v>
      </c>
      <c r="AB50" s="7"/>
      <c r="AC50" s="7">
        <f t="shared" si="50"/>
        <v>0</v>
      </c>
      <c r="AD50" s="7">
        <f t="shared" si="51"/>
        <v>0</v>
      </c>
      <c r="AE50" s="7">
        <f t="shared" si="52"/>
        <v>0</v>
      </c>
      <c r="AF50" s="7">
        <f t="shared" si="53"/>
        <v>1</v>
      </c>
      <c r="AG50" s="7">
        <f t="shared" si="54"/>
        <v>0</v>
      </c>
      <c r="AH50" s="7">
        <f t="shared" si="55"/>
        <v>0</v>
      </c>
      <c r="AI50" s="7">
        <f t="shared" si="56"/>
        <v>1</v>
      </c>
      <c r="AJ50" s="7">
        <f t="shared" si="57"/>
        <v>1</v>
      </c>
      <c r="AK50" s="7">
        <f t="shared" si="58"/>
        <v>1</v>
      </c>
      <c r="AL50" s="7">
        <f t="shared" si="59"/>
        <v>1</v>
      </c>
      <c r="AM50" s="7">
        <f t="shared" si="60"/>
        <v>0</v>
      </c>
      <c r="AN50" s="7">
        <f t="shared" si="61"/>
        <v>0</v>
      </c>
      <c r="AO50" s="7">
        <f t="shared" si="62"/>
        <v>0</v>
      </c>
      <c r="AP50" s="7"/>
      <c r="AQ50" s="7">
        <f t="shared" si="63"/>
        <v>144</v>
      </c>
      <c r="AR50" s="7">
        <f t="shared" si="64"/>
        <v>144</v>
      </c>
      <c r="AS50" s="7">
        <f t="shared" si="65"/>
        <v>144</v>
      </c>
      <c r="AT50" s="7">
        <f t="shared" si="66"/>
        <v>144</v>
      </c>
      <c r="AU50" s="7">
        <f t="shared" si="67"/>
        <v>169</v>
      </c>
      <c r="AV50" s="7">
        <f t="shared" si="68"/>
        <v>169</v>
      </c>
      <c r="AW50" s="7">
        <f t="shared" si="69"/>
        <v>169</v>
      </c>
      <c r="AX50" s="7">
        <f t="shared" si="70"/>
        <v>196</v>
      </c>
      <c r="AY50" s="7">
        <f t="shared" si="71"/>
        <v>225</v>
      </c>
      <c r="AZ50" s="7">
        <f t="shared" si="72"/>
        <v>256</v>
      </c>
      <c r="BA50" s="7">
        <f t="shared" si="73"/>
        <v>289</v>
      </c>
      <c r="BB50" s="7">
        <f t="shared" si="74"/>
        <v>324</v>
      </c>
      <c r="BC50" s="7">
        <f t="shared" si="75"/>
        <v>361</v>
      </c>
      <c r="BD50" s="7"/>
      <c r="BE50" s="7">
        <v>2.5611999999999999E-2</v>
      </c>
      <c r="BF50" s="7">
        <v>2.5339E-2</v>
      </c>
      <c r="BG50" s="7">
        <v>2.4788999999999999E-2</v>
      </c>
      <c r="BH50" s="7">
        <v>2.3824000000000001E-2</v>
      </c>
      <c r="BI50" s="7">
        <v>2.2609000000000001E-2</v>
      </c>
      <c r="BJ50" s="7">
        <v>2.0251999999999999E-2</v>
      </c>
      <c r="BK50" s="7">
        <v>1.6022000000000002E-2</v>
      </c>
      <c r="BL50" s="7">
        <v>1.0769000000000001E-2</v>
      </c>
      <c r="BM50" s="7">
        <v>6.6360000000000004E-3</v>
      </c>
      <c r="BN50" s="7">
        <v>4.1489999999999999E-3</v>
      </c>
      <c r="BO50" s="7">
        <v>2.1930000000000001E-3</v>
      </c>
      <c r="BP50" s="7">
        <v>9.4600000000000001E-4</v>
      </c>
      <c r="BQ50" s="7">
        <v>2.7300000000000002E-4</v>
      </c>
    </row>
    <row r="51" spans="1:69" x14ac:dyDescent="0.25">
      <c r="A51" s="17">
        <v>49</v>
      </c>
      <c r="B51" s="7">
        <v>12</v>
      </c>
      <c r="C51" s="7">
        <v>12</v>
      </c>
      <c r="D51" s="7">
        <v>12</v>
      </c>
      <c r="E51" s="7">
        <v>13</v>
      </c>
      <c r="F51" s="7">
        <v>13</v>
      </c>
      <c r="G51" s="7">
        <v>13</v>
      </c>
      <c r="H51" s="7">
        <v>14</v>
      </c>
      <c r="I51" s="7">
        <v>15</v>
      </c>
      <c r="J51" s="7">
        <v>16</v>
      </c>
      <c r="K51" s="7">
        <v>17</v>
      </c>
      <c r="L51" s="7">
        <v>17</v>
      </c>
      <c r="M51" s="7">
        <v>18</v>
      </c>
      <c r="N51" s="7">
        <v>19</v>
      </c>
      <c r="O51" s="7"/>
      <c r="P51" s="7">
        <f t="shared" si="38"/>
        <v>0</v>
      </c>
      <c r="Q51" s="7">
        <f t="shared" si="39"/>
        <v>0</v>
      </c>
      <c r="R51" s="7">
        <f t="shared" si="40"/>
        <v>-1</v>
      </c>
      <c r="S51" s="7">
        <f t="shared" si="41"/>
        <v>0</v>
      </c>
      <c r="T51" s="7">
        <f t="shared" si="42"/>
        <v>0</v>
      </c>
      <c r="U51" s="7">
        <f t="shared" si="43"/>
        <v>-1</v>
      </c>
      <c r="V51" s="7">
        <f t="shared" si="44"/>
        <v>-1</v>
      </c>
      <c r="W51" s="7">
        <f t="shared" si="45"/>
        <v>-1</v>
      </c>
      <c r="X51" s="7">
        <f t="shared" si="46"/>
        <v>-1</v>
      </c>
      <c r="Y51" s="7">
        <f t="shared" si="47"/>
        <v>0</v>
      </c>
      <c r="Z51" s="7">
        <f t="shared" si="48"/>
        <v>-1</v>
      </c>
      <c r="AA51" s="7">
        <f t="shared" si="49"/>
        <v>-1</v>
      </c>
      <c r="AB51" s="7"/>
      <c r="AC51" s="7">
        <f t="shared" si="50"/>
        <v>1</v>
      </c>
      <c r="AD51" s="7">
        <f t="shared" si="51"/>
        <v>1</v>
      </c>
      <c r="AE51" s="7">
        <f t="shared" si="52"/>
        <v>1</v>
      </c>
      <c r="AF51" s="7">
        <f t="shared" si="53"/>
        <v>0</v>
      </c>
      <c r="AG51" s="7">
        <f t="shared" si="54"/>
        <v>0</v>
      </c>
      <c r="AH51" s="7">
        <f t="shared" si="55"/>
        <v>1</v>
      </c>
      <c r="AI51" s="7">
        <f t="shared" si="56"/>
        <v>0</v>
      </c>
      <c r="AJ51" s="7">
        <f t="shared" si="57"/>
        <v>0</v>
      </c>
      <c r="AK51" s="7">
        <f t="shared" si="58"/>
        <v>0</v>
      </c>
      <c r="AL51" s="7">
        <f t="shared" si="59"/>
        <v>0</v>
      </c>
      <c r="AM51" s="7">
        <f t="shared" si="60"/>
        <v>1</v>
      </c>
      <c r="AN51" s="7">
        <f t="shared" si="61"/>
        <v>1</v>
      </c>
      <c r="AO51" s="7">
        <f t="shared" si="62"/>
        <v>0</v>
      </c>
      <c r="AP51" s="7"/>
      <c r="AQ51" s="7">
        <f t="shared" si="63"/>
        <v>144</v>
      </c>
      <c r="AR51" s="7">
        <f t="shared" si="64"/>
        <v>144</v>
      </c>
      <c r="AS51" s="7">
        <f t="shared" si="65"/>
        <v>144</v>
      </c>
      <c r="AT51" s="7">
        <f t="shared" si="66"/>
        <v>169</v>
      </c>
      <c r="AU51" s="7">
        <f t="shared" si="67"/>
        <v>169</v>
      </c>
      <c r="AV51" s="7">
        <f t="shared" si="68"/>
        <v>169</v>
      </c>
      <c r="AW51" s="7">
        <f t="shared" si="69"/>
        <v>196</v>
      </c>
      <c r="AX51" s="7">
        <f t="shared" si="70"/>
        <v>225</v>
      </c>
      <c r="AY51" s="7">
        <f t="shared" si="71"/>
        <v>256</v>
      </c>
      <c r="AZ51" s="7">
        <f t="shared" si="72"/>
        <v>289</v>
      </c>
      <c r="BA51" s="7">
        <f t="shared" si="73"/>
        <v>289</v>
      </c>
      <c r="BB51" s="7">
        <f t="shared" si="74"/>
        <v>324</v>
      </c>
      <c r="BC51" s="7">
        <f t="shared" si="75"/>
        <v>361</v>
      </c>
      <c r="BD51" s="7"/>
      <c r="BE51" s="7">
        <v>2.4198999999999998E-2</v>
      </c>
      <c r="BF51" s="7">
        <v>2.3904999999999999E-2</v>
      </c>
      <c r="BG51" s="7">
        <v>2.3314000000000001E-2</v>
      </c>
      <c r="BH51" s="7">
        <v>2.2284999999999999E-2</v>
      </c>
      <c r="BI51" s="7">
        <v>2.1007999999999999E-2</v>
      </c>
      <c r="BJ51" s="7">
        <v>1.8588E-2</v>
      </c>
      <c r="BK51" s="7">
        <v>1.4395E-2</v>
      </c>
      <c r="BL51" s="7">
        <v>9.3860000000000002E-3</v>
      </c>
      <c r="BM51" s="7">
        <v>5.5950000000000001E-3</v>
      </c>
      <c r="BN51" s="7">
        <v>3.3999999999999998E-3</v>
      </c>
      <c r="BO51" s="7">
        <v>1.745E-3</v>
      </c>
      <c r="BP51" s="7">
        <v>7.3099999999999999E-4</v>
      </c>
      <c r="BQ51" s="7">
        <v>1.9900000000000001E-4</v>
      </c>
    </row>
    <row r="52" spans="1:69" x14ac:dyDescent="0.25">
      <c r="A52" s="17">
        <v>50</v>
      </c>
      <c r="B52" s="7">
        <v>13</v>
      </c>
      <c r="C52" s="7">
        <v>13</v>
      </c>
      <c r="D52" s="7">
        <v>13</v>
      </c>
      <c r="E52" s="7">
        <v>13</v>
      </c>
      <c r="F52" s="7">
        <v>13</v>
      </c>
      <c r="G52" s="7">
        <v>14</v>
      </c>
      <c r="H52" s="7">
        <v>14</v>
      </c>
      <c r="I52" s="7">
        <v>15</v>
      </c>
      <c r="J52" s="7">
        <v>16</v>
      </c>
      <c r="K52" s="7">
        <v>17</v>
      </c>
      <c r="L52" s="7">
        <v>18</v>
      </c>
      <c r="M52" s="7">
        <v>19</v>
      </c>
      <c r="N52" s="7">
        <v>19</v>
      </c>
      <c r="O52" s="7"/>
      <c r="P52" s="7">
        <f t="shared" si="38"/>
        <v>0</v>
      </c>
      <c r="Q52" s="7">
        <f t="shared" si="39"/>
        <v>0</v>
      </c>
      <c r="R52" s="7">
        <f t="shared" si="40"/>
        <v>0</v>
      </c>
      <c r="S52" s="7">
        <f t="shared" si="41"/>
        <v>0</v>
      </c>
      <c r="T52" s="7">
        <f t="shared" si="42"/>
        <v>-1</v>
      </c>
      <c r="U52" s="7">
        <f t="shared" si="43"/>
        <v>0</v>
      </c>
      <c r="V52" s="7">
        <f t="shared" si="44"/>
        <v>-1</v>
      </c>
      <c r="W52" s="7">
        <f t="shared" si="45"/>
        <v>-1</v>
      </c>
      <c r="X52" s="7">
        <f t="shared" si="46"/>
        <v>-1</v>
      </c>
      <c r="Y52" s="7">
        <f t="shared" si="47"/>
        <v>-1</v>
      </c>
      <c r="Z52" s="7">
        <f t="shared" si="48"/>
        <v>-1</v>
      </c>
      <c r="AA52" s="7">
        <f t="shared" si="49"/>
        <v>0</v>
      </c>
      <c r="AB52" s="7"/>
      <c r="AC52" s="7">
        <f t="shared" si="50"/>
        <v>0</v>
      </c>
      <c r="AD52" s="7">
        <f t="shared" si="51"/>
        <v>0</v>
      </c>
      <c r="AE52" s="7">
        <f t="shared" si="52"/>
        <v>0</v>
      </c>
      <c r="AF52" s="7">
        <f t="shared" si="53"/>
        <v>0</v>
      </c>
      <c r="AG52" s="7">
        <f t="shared" si="54"/>
        <v>0</v>
      </c>
      <c r="AH52" s="7">
        <f t="shared" si="55"/>
        <v>0</v>
      </c>
      <c r="AI52" s="7">
        <f t="shared" si="56"/>
        <v>0</v>
      </c>
      <c r="AJ52" s="7">
        <f t="shared" si="57"/>
        <v>0</v>
      </c>
      <c r="AK52" s="7">
        <f t="shared" si="58"/>
        <v>0</v>
      </c>
      <c r="AL52" s="7">
        <f t="shared" si="59"/>
        <v>0</v>
      </c>
      <c r="AM52" s="7">
        <f t="shared" si="60"/>
        <v>0</v>
      </c>
      <c r="AN52" s="7">
        <f t="shared" si="61"/>
        <v>0</v>
      </c>
      <c r="AO52" s="7">
        <f t="shared" si="62"/>
        <v>0</v>
      </c>
      <c r="AP52" s="7"/>
      <c r="AQ52" s="7">
        <f t="shared" si="63"/>
        <v>169</v>
      </c>
      <c r="AR52" s="7">
        <f t="shared" si="64"/>
        <v>169</v>
      </c>
      <c r="AS52" s="7">
        <f t="shared" si="65"/>
        <v>169</v>
      </c>
      <c r="AT52" s="7">
        <f t="shared" si="66"/>
        <v>169</v>
      </c>
      <c r="AU52" s="7">
        <f t="shared" si="67"/>
        <v>169</v>
      </c>
      <c r="AV52" s="7">
        <f t="shared" si="68"/>
        <v>196</v>
      </c>
      <c r="AW52" s="7">
        <f t="shared" si="69"/>
        <v>196</v>
      </c>
      <c r="AX52" s="7">
        <f t="shared" si="70"/>
        <v>225</v>
      </c>
      <c r="AY52" s="7">
        <f t="shared" si="71"/>
        <v>256</v>
      </c>
      <c r="AZ52" s="7">
        <f t="shared" si="72"/>
        <v>289</v>
      </c>
      <c r="BA52" s="7">
        <f t="shared" si="73"/>
        <v>324</v>
      </c>
      <c r="BB52" s="7">
        <f t="shared" si="74"/>
        <v>361</v>
      </c>
      <c r="BC52" s="7">
        <f t="shared" si="75"/>
        <v>361</v>
      </c>
      <c r="BD52" s="7"/>
      <c r="BE52" s="7">
        <v>2.2693999999999999E-2</v>
      </c>
      <c r="BF52" s="7">
        <v>2.2387000000000001E-2</v>
      </c>
      <c r="BG52" s="7">
        <v>2.1769E-2</v>
      </c>
      <c r="BH52" s="7">
        <v>2.0698000000000001E-2</v>
      </c>
      <c r="BI52" s="7">
        <v>1.9386E-2</v>
      </c>
      <c r="BJ52" s="7">
        <v>1.6947E-2</v>
      </c>
      <c r="BK52" s="7">
        <v>1.2847000000000001E-2</v>
      </c>
      <c r="BL52" s="7">
        <v>8.1250000000000003E-3</v>
      </c>
      <c r="BM52" s="7">
        <v>4.6829999999999997E-3</v>
      </c>
      <c r="BN52" s="7">
        <v>2.7690000000000002E-3</v>
      </c>
      <c r="BO52" s="7">
        <v>1.3810000000000001E-3</v>
      </c>
      <c r="BP52" s="7">
        <v>5.62E-4</v>
      </c>
      <c r="BQ52" s="7">
        <v>1.4300000000000001E-4</v>
      </c>
    </row>
    <row r="53" spans="1:69" x14ac:dyDescent="0.25">
      <c r="A53" s="17">
        <v>51</v>
      </c>
      <c r="B53" s="7">
        <v>13</v>
      </c>
      <c r="C53" s="7">
        <v>13</v>
      </c>
      <c r="D53" s="7">
        <v>13</v>
      </c>
      <c r="E53" s="7">
        <v>13</v>
      </c>
      <c r="F53" s="7">
        <v>13</v>
      </c>
      <c r="G53" s="7">
        <v>14</v>
      </c>
      <c r="H53" s="7">
        <v>14</v>
      </c>
      <c r="I53" s="7">
        <v>15</v>
      </c>
      <c r="J53" s="7">
        <v>16</v>
      </c>
      <c r="K53" s="7">
        <v>17</v>
      </c>
      <c r="L53" s="7">
        <v>18</v>
      </c>
      <c r="M53" s="7">
        <v>19</v>
      </c>
      <c r="N53" s="7">
        <v>19</v>
      </c>
      <c r="O53" s="7"/>
      <c r="P53" s="7">
        <f t="shared" si="38"/>
        <v>0</v>
      </c>
      <c r="Q53" s="7">
        <f t="shared" si="39"/>
        <v>0</v>
      </c>
      <c r="R53" s="7">
        <f t="shared" si="40"/>
        <v>0</v>
      </c>
      <c r="S53" s="7">
        <f t="shared" si="41"/>
        <v>0</v>
      </c>
      <c r="T53" s="7">
        <f t="shared" si="42"/>
        <v>-1</v>
      </c>
      <c r="U53" s="7">
        <f t="shared" si="43"/>
        <v>0</v>
      </c>
      <c r="V53" s="7">
        <f t="shared" si="44"/>
        <v>-1</v>
      </c>
      <c r="W53" s="7">
        <f t="shared" si="45"/>
        <v>-1</v>
      </c>
      <c r="X53" s="7">
        <f t="shared" si="46"/>
        <v>-1</v>
      </c>
      <c r="Y53" s="7">
        <f t="shared" si="47"/>
        <v>-1</v>
      </c>
      <c r="Z53" s="7">
        <f t="shared" si="48"/>
        <v>-1</v>
      </c>
      <c r="AA53" s="7">
        <f t="shared" si="49"/>
        <v>0</v>
      </c>
      <c r="AB53" s="7"/>
      <c r="AC53" s="7">
        <f t="shared" si="50"/>
        <v>0</v>
      </c>
      <c r="AD53" s="7">
        <f t="shared" si="51"/>
        <v>0</v>
      </c>
      <c r="AE53" s="7">
        <f t="shared" si="52"/>
        <v>0</v>
      </c>
      <c r="AF53" s="7">
        <f t="shared" si="53"/>
        <v>0</v>
      </c>
      <c r="AG53" s="7">
        <f t="shared" si="54"/>
        <v>1</v>
      </c>
      <c r="AH53" s="7">
        <f t="shared" si="55"/>
        <v>0</v>
      </c>
      <c r="AI53" s="7">
        <f t="shared" si="56"/>
        <v>0</v>
      </c>
      <c r="AJ53" s="7">
        <f t="shared" si="57"/>
        <v>0</v>
      </c>
      <c r="AK53" s="7">
        <f t="shared" si="58"/>
        <v>0</v>
      </c>
      <c r="AL53" s="7">
        <f t="shared" si="59"/>
        <v>0</v>
      </c>
      <c r="AM53" s="7">
        <f t="shared" si="60"/>
        <v>0</v>
      </c>
      <c r="AN53" s="7">
        <f t="shared" si="61"/>
        <v>0</v>
      </c>
      <c r="AO53" s="7">
        <f t="shared" si="62"/>
        <v>0</v>
      </c>
      <c r="AP53" s="7"/>
      <c r="AQ53" s="7">
        <f t="shared" si="63"/>
        <v>169</v>
      </c>
      <c r="AR53" s="7">
        <f t="shared" si="64"/>
        <v>169</v>
      </c>
      <c r="AS53" s="7">
        <f t="shared" si="65"/>
        <v>169</v>
      </c>
      <c r="AT53" s="7">
        <f t="shared" si="66"/>
        <v>169</v>
      </c>
      <c r="AU53" s="7">
        <f t="shared" si="67"/>
        <v>169</v>
      </c>
      <c r="AV53" s="7">
        <f t="shared" si="68"/>
        <v>196</v>
      </c>
      <c r="AW53" s="7">
        <f t="shared" si="69"/>
        <v>196</v>
      </c>
      <c r="AX53" s="7">
        <f t="shared" si="70"/>
        <v>225</v>
      </c>
      <c r="AY53" s="7">
        <f t="shared" si="71"/>
        <v>256</v>
      </c>
      <c r="AZ53" s="7">
        <f t="shared" si="72"/>
        <v>289</v>
      </c>
      <c r="BA53" s="7">
        <f t="shared" si="73"/>
        <v>324</v>
      </c>
      <c r="BB53" s="7">
        <f t="shared" si="74"/>
        <v>361</v>
      </c>
      <c r="BC53" s="7">
        <f t="shared" si="75"/>
        <v>361</v>
      </c>
      <c r="BD53" s="7"/>
      <c r="BE53" s="7">
        <v>2.112E-2</v>
      </c>
      <c r="BF53" s="7">
        <v>2.0808E-2</v>
      </c>
      <c r="BG53" s="7">
        <v>2.0177E-2</v>
      </c>
      <c r="BH53" s="7">
        <v>1.9088999999999998E-2</v>
      </c>
      <c r="BI53" s="7">
        <v>1.7766000000000001E-2</v>
      </c>
      <c r="BJ53" s="7">
        <v>1.5347E-2</v>
      </c>
      <c r="BK53" s="7">
        <v>1.1391E-2</v>
      </c>
      <c r="BL53" s="7">
        <v>6.9849999999999999E-3</v>
      </c>
      <c r="BM53" s="7">
        <v>3.8930000000000002E-3</v>
      </c>
      <c r="BN53" s="7">
        <v>2.2409999999999999E-3</v>
      </c>
      <c r="BO53" s="7">
        <v>1.0889999999999999E-3</v>
      </c>
      <c r="BP53" s="7">
        <v>4.2999999999999999E-4</v>
      </c>
      <c r="BQ53" s="7">
        <v>1.02E-4</v>
      </c>
    </row>
    <row r="54" spans="1:69" x14ac:dyDescent="0.25">
      <c r="A54" s="17">
        <v>52</v>
      </c>
      <c r="B54" s="7">
        <v>13</v>
      </c>
      <c r="C54" s="7">
        <v>13</v>
      </c>
      <c r="D54" s="7">
        <v>13</v>
      </c>
      <c r="E54" s="7">
        <v>13</v>
      </c>
      <c r="F54" s="7">
        <v>14</v>
      </c>
      <c r="G54" s="7">
        <v>14</v>
      </c>
      <c r="H54" s="7">
        <v>14</v>
      </c>
      <c r="I54" s="7">
        <v>15</v>
      </c>
      <c r="J54" s="7">
        <v>16</v>
      </c>
      <c r="K54" s="7">
        <v>17</v>
      </c>
      <c r="L54" s="7">
        <v>18</v>
      </c>
      <c r="M54" s="7">
        <v>19</v>
      </c>
      <c r="N54" s="7">
        <v>19</v>
      </c>
      <c r="O54" s="7"/>
      <c r="P54" s="7">
        <f t="shared" si="38"/>
        <v>0</v>
      </c>
      <c r="Q54" s="7">
        <f t="shared" si="39"/>
        <v>0</v>
      </c>
      <c r="R54" s="7">
        <f t="shared" si="40"/>
        <v>0</v>
      </c>
      <c r="S54" s="7">
        <f t="shared" si="41"/>
        <v>-1</v>
      </c>
      <c r="T54" s="7">
        <f t="shared" si="42"/>
        <v>0</v>
      </c>
      <c r="U54" s="7">
        <f t="shared" si="43"/>
        <v>0</v>
      </c>
      <c r="V54" s="7">
        <f t="shared" si="44"/>
        <v>-1</v>
      </c>
      <c r="W54" s="7">
        <f t="shared" si="45"/>
        <v>-1</v>
      </c>
      <c r="X54" s="7">
        <f t="shared" si="46"/>
        <v>-1</v>
      </c>
      <c r="Y54" s="7">
        <f t="shared" si="47"/>
        <v>-1</v>
      </c>
      <c r="Z54" s="7">
        <f t="shared" si="48"/>
        <v>-1</v>
      </c>
      <c r="AA54" s="7">
        <f t="shared" si="49"/>
        <v>0</v>
      </c>
      <c r="AB54" s="7"/>
      <c r="AC54" s="7">
        <f t="shared" si="50"/>
        <v>0</v>
      </c>
      <c r="AD54" s="7">
        <f t="shared" si="51"/>
        <v>0</v>
      </c>
      <c r="AE54" s="7">
        <f t="shared" si="52"/>
        <v>0</v>
      </c>
      <c r="AF54" s="7">
        <f t="shared" si="53"/>
        <v>1</v>
      </c>
      <c r="AG54" s="7">
        <f t="shared" si="54"/>
        <v>0</v>
      </c>
      <c r="AH54" s="7">
        <f t="shared" si="55"/>
        <v>0</v>
      </c>
      <c r="AI54" s="7">
        <f t="shared" si="56"/>
        <v>1</v>
      </c>
      <c r="AJ54" s="7">
        <f t="shared" si="57"/>
        <v>1</v>
      </c>
      <c r="AK54" s="7">
        <f t="shared" si="58"/>
        <v>1</v>
      </c>
      <c r="AL54" s="7">
        <f t="shared" si="59"/>
        <v>1</v>
      </c>
      <c r="AM54" s="7">
        <f t="shared" si="60"/>
        <v>0</v>
      </c>
      <c r="AN54" s="7">
        <f t="shared" si="61"/>
        <v>0</v>
      </c>
      <c r="AO54" s="7">
        <f t="shared" si="62"/>
        <v>0</v>
      </c>
      <c r="AP54" s="7"/>
      <c r="AQ54" s="7">
        <f t="shared" si="63"/>
        <v>169</v>
      </c>
      <c r="AR54" s="7">
        <f t="shared" si="64"/>
        <v>169</v>
      </c>
      <c r="AS54" s="7">
        <f t="shared" si="65"/>
        <v>169</v>
      </c>
      <c r="AT54" s="7">
        <f t="shared" si="66"/>
        <v>169</v>
      </c>
      <c r="AU54" s="7">
        <f t="shared" si="67"/>
        <v>196</v>
      </c>
      <c r="AV54" s="7">
        <f t="shared" si="68"/>
        <v>196</v>
      </c>
      <c r="AW54" s="7">
        <f t="shared" si="69"/>
        <v>196</v>
      </c>
      <c r="AX54" s="7">
        <f t="shared" si="70"/>
        <v>225</v>
      </c>
      <c r="AY54" s="7">
        <f t="shared" si="71"/>
        <v>256</v>
      </c>
      <c r="AZ54" s="7">
        <f t="shared" si="72"/>
        <v>289</v>
      </c>
      <c r="BA54" s="7">
        <f t="shared" si="73"/>
        <v>324</v>
      </c>
      <c r="BB54" s="7">
        <f t="shared" si="74"/>
        <v>361</v>
      </c>
      <c r="BC54" s="7">
        <f t="shared" si="75"/>
        <v>361</v>
      </c>
      <c r="BD54" s="7"/>
      <c r="BE54" s="7">
        <v>1.9501999999999999E-2</v>
      </c>
      <c r="BF54" s="7">
        <v>1.9192000000000001E-2</v>
      </c>
      <c r="BG54" s="7">
        <v>1.8563E-2</v>
      </c>
      <c r="BH54" s="7">
        <v>1.7478E-2</v>
      </c>
      <c r="BI54" s="7">
        <v>1.6167999999999998E-2</v>
      </c>
      <c r="BJ54" s="7">
        <v>1.3806000000000001E-2</v>
      </c>
      <c r="BK54" s="7">
        <v>1.0035000000000001E-2</v>
      </c>
      <c r="BL54" s="7">
        <v>5.9649999999999998E-3</v>
      </c>
      <c r="BM54" s="7">
        <v>3.2160000000000001E-3</v>
      </c>
      <c r="BN54" s="7">
        <v>1.804E-3</v>
      </c>
      <c r="BO54" s="7">
        <v>8.5499999999999997E-4</v>
      </c>
      <c r="BP54" s="7">
        <v>3.2699999999999998E-4</v>
      </c>
      <c r="BQ54" s="7">
        <v>7.1000000000000005E-5</v>
      </c>
    </row>
    <row r="55" spans="1:69" x14ac:dyDescent="0.25">
      <c r="A55" s="17">
        <v>53</v>
      </c>
      <c r="B55" s="7">
        <v>13</v>
      </c>
      <c r="C55" s="7">
        <v>13</v>
      </c>
      <c r="D55" s="7">
        <v>13</v>
      </c>
      <c r="E55" s="7">
        <v>14</v>
      </c>
      <c r="F55" s="7">
        <v>14</v>
      </c>
      <c r="G55" s="7">
        <v>14</v>
      </c>
      <c r="H55" s="7">
        <v>15</v>
      </c>
      <c r="I55" s="7">
        <v>16</v>
      </c>
      <c r="J55" s="7">
        <v>17</v>
      </c>
      <c r="K55" s="7">
        <v>18</v>
      </c>
      <c r="L55" s="7">
        <v>18</v>
      </c>
      <c r="M55" s="7">
        <v>19</v>
      </c>
      <c r="N55" s="7">
        <v>19</v>
      </c>
      <c r="O55" s="7"/>
      <c r="P55" s="7">
        <f t="shared" si="38"/>
        <v>0</v>
      </c>
      <c r="Q55" s="7">
        <f t="shared" si="39"/>
        <v>0</v>
      </c>
      <c r="R55" s="7">
        <f t="shared" si="40"/>
        <v>-1</v>
      </c>
      <c r="S55" s="7">
        <f t="shared" si="41"/>
        <v>0</v>
      </c>
      <c r="T55" s="7">
        <f t="shared" si="42"/>
        <v>0</v>
      </c>
      <c r="U55" s="7">
        <f t="shared" si="43"/>
        <v>-1</v>
      </c>
      <c r="V55" s="7">
        <f t="shared" si="44"/>
        <v>-1</v>
      </c>
      <c r="W55" s="7">
        <f t="shared" si="45"/>
        <v>-1</v>
      </c>
      <c r="X55" s="7">
        <f t="shared" si="46"/>
        <v>-1</v>
      </c>
      <c r="Y55" s="7">
        <f t="shared" si="47"/>
        <v>0</v>
      </c>
      <c r="Z55" s="7">
        <f t="shared" si="48"/>
        <v>-1</v>
      </c>
      <c r="AA55" s="7">
        <f t="shared" si="49"/>
        <v>0</v>
      </c>
      <c r="AB55" s="7"/>
      <c r="AC55" s="7">
        <f t="shared" si="50"/>
        <v>1</v>
      </c>
      <c r="AD55" s="7">
        <f t="shared" si="51"/>
        <v>1</v>
      </c>
      <c r="AE55" s="7">
        <f t="shared" si="52"/>
        <v>1</v>
      </c>
      <c r="AF55" s="7">
        <f t="shared" si="53"/>
        <v>0</v>
      </c>
      <c r="AG55" s="7">
        <f t="shared" si="54"/>
        <v>0</v>
      </c>
      <c r="AH55" s="7">
        <f t="shared" si="55"/>
        <v>1</v>
      </c>
      <c r="AI55" s="7">
        <f t="shared" si="56"/>
        <v>0</v>
      </c>
      <c r="AJ55" s="7">
        <f t="shared" si="57"/>
        <v>0</v>
      </c>
      <c r="AK55" s="7">
        <f t="shared" si="58"/>
        <v>0</v>
      </c>
      <c r="AL55" s="7">
        <f t="shared" si="59"/>
        <v>0</v>
      </c>
      <c r="AM55" s="7">
        <f t="shared" si="60"/>
        <v>1</v>
      </c>
      <c r="AN55" s="7">
        <f t="shared" si="61"/>
        <v>0</v>
      </c>
      <c r="AO55" s="7">
        <f t="shared" si="62"/>
        <v>0</v>
      </c>
      <c r="AP55" s="7"/>
      <c r="AQ55" s="7">
        <f t="shared" si="63"/>
        <v>169</v>
      </c>
      <c r="AR55" s="7">
        <f t="shared" si="64"/>
        <v>169</v>
      </c>
      <c r="AS55" s="7">
        <f t="shared" si="65"/>
        <v>169</v>
      </c>
      <c r="AT55" s="7">
        <f t="shared" si="66"/>
        <v>196</v>
      </c>
      <c r="AU55" s="7">
        <f t="shared" si="67"/>
        <v>196</v>
      </c>
      <c r="AV55" s="7">
        <f t="shared" si="68"/>
        <v>196</v>
      </c>
      <c r="AW55" s="7">
        <f t="shared" si="69"/>
        <v>225</v>
      </c>
      <c r="AX55" s="7">
        <f t="shared" si="70"/>
        <v>256</v>
      </c>
      <c r="AY55" s="7">
        <f t="shared" si="71"/>
        <v>289</v>
      </c>
      <c r="AZ55" s="7">
        <f t="shared" si="72"/>
        <v>324</v>
      </c>
      <c r="BA55" s="7">
        <f t="shared" si="73"/>
        <v>324</v>
      </c>
      <c r="BB55" s="7">
        <f t="shared" si="74"/>
        <v>361</v>
      </c>
      <c r="BC55" s="7">
        <f t="shared" si="75"/>
        <v>361</v>
      </c>
      <c r="BD55" s="7"/>
      <c r="BE55" s="7">
        <v>1.7864999999999999E-2</v>
      </c>
      <c r="BF55" s="7">
        <v>1.7564E-2</v>
      </c>
      <c r="BG55" s="7">
        <v>1.6948999999999999E-2</v>
      </c>
      <c r="BH55" s="7">
        <v>1.5886999999999998E-2</v>
      </c>
      <c r="BI55" s="7">
        <v>1.4611000000000001E-2</v>
      </c>
      <c r="BJ55" s="7">
        <v>1.2336E-2</v>
      </c>
      <c r="BK55" s="7">
        <v>8.7829999999999991E-3</v>
      </c>
      <c r="BL55" s="7">
        <v>5.0610000000000004E-3</v>
      </c>
      <c r="BM55" s="7">
        <v>2.64E-3</v>
      </c>
      <c r="BN55" s="7">
        <v>1.4450000000000001E-3</v>
      </c>
      <c r="BO55" s="7">
        <v>6.6799999999999997E-4</v>
      </c>
      <c r="BP55" s="7">
        <v>2.4600000000000002E-4</v>
      </c>
      <c r="BQ55" s="7">
        <v>4.8999999999999998E-5</v>
      </c>
    </row>
    <row r="56" spans="1:69" x14ac:dyDescent="0.25">
      <c r="A56" s="17">
        <v>54</v>
      </c>
      <c r="B56" s="7">
        <v>14</v>
      </c>
      <c r="C56" s="7">
        <v>14</v>
      </c>
      <c r="D56" s="7">
        <v>14</v>
      </c>
      <c r="E56" s="7">
        <v>14</v>
      </c>
      <c r="F56" s="7">
        <v>14</v>
      </c>
      <c r="G56" s="7">
        <v>15</v>
      </c>
      <c r="H56" s="7">
        <v>15</v>
      </c>
      <c r="I56" s="7">
        <v>16</v>
      </c>
      <c r="J56" s="7">
        <v>17</v>
      </c>
      <c r="K56" s="7">
        <v>18</v>
      </c>
      <c r="L56" s="7">
        <v>19</v>
      </c>
      <c r="M56" s="7">
        <v>19</v>
      </c>
      <c r="N56" s="7">
        <v>19</v>
      </c>
      <c r="O56" s="7"/>
      <c r="P56" s="7">
        <f t="shared" si="38"/>
        <v>0</v>
      </c>
      <c r="Q56" s="7">
        <f t="shared" si="39"/>
        <v>0</v>
      </c>
      <c r="R56" s="7">
        <f t="shared" si="40"/>
        <v>0</v>
      </c>
      <c r="S56" s="7">
        <f t="shared" si="41"/>
        <v>0</v>
      </c>
      <c r="T56" s="7">
        <f t="shared" si="42"/>
        <v>-1</v>
      </c>
      <c r="U56" s="7">
        <f t="shared" si="43"/>
        <v>0</v>
      </c>
      <c r="V56" s="7">
        <f t="shared" si="44"/>
        <v>-1</v>
      </c>
      <c r="W56" s="7">
        <f t="shared" si="45"/>
        <v>-1</v>
      </c>
      <c r="X56" s="7">
        <f t="shared" si="46"/>
        <v>-1</v>
      </c>
      <c r="Y56" s="7">
        <f t="shared" si="47"/>
        <v>-1</v>
      </c>
      <c r="Z56" s="7">
        <f t="shared" si="48"/>
        <v>0</v>
      </c>
      <c r="AA56" s="7">
        <f t="shared" si="49"/>
        <v>0</v>
      </c>
      <c r="AB56" s="7"/>
      <c r="AC56" s="7">
        <f t="shared" si="50"/>
        <v>0</v>
      </c>
      <c r="AD56" s="7">
        <f t="shared" si="51"/>
        <v>0</v>
      </c>
      <c r="AE56" s="7">
        <f t="shared" si="52"/>
        <v>0</v>
      </c>
      <c r="AF56" s="7">
        <f t="shared" si="53"/>
        <v>0</v>
      </c>
      <c r="AG56" s="7">
        <f t="shared" si="54"/>
        <v>0</v>
      </c>
      <c r="AH56" s="7">
        <f t="shared" si="55"/>
        <v>0</v>
      </c>
      <c r="AI56" s="7">
        <f t="shared" si="56"/>
        <v>0</v>
      </c>
      <c r="AJ56" s="7">
        <f t="shared" si="57"/>
        <v>0</v>
      </c>
      <c r="AK56" s="7">
        <f t="shared" si="58"/>
        <v>0</v>
      </c>
      <c r="AL56" s="7">
        <f t="shared" si="59"/>
        <v>0</v>
      </c>
      <c r="AM56" s="7">
        <f t="shared" si="60"/>
        <v>0</v>
      </c>
      <c r="AN56" s="7">
        <f t="shared" si="61"/>
        <v>0</v>
      </c>
      <c r="AO56" s="7">
        <f t="shared" si="62"/>
        <v>0</v>
      </c>
      <c r="AP56" s="7"/>
      <c r="AQ56" s="7">
        <f t="shared" si="63"/>
        <v>196</v>
      </c>
      <c r="AR56" s="7">
        <f t="shared" si="64"/>
        <v>196</v>
      </c>
      <c r="AS56" s="7">
        <f t="shared" si="65"/>
        <v>196</v>
      </c>
      <c r="AT56" s="7">
        <f t="shared" si="66"/>
        <v>196</v>
      </c>
      <c r="AU56" s="7">
        <f t="shared" si="67"/>
        <v>196</v>
      </c>
      <c r="AV56" s="7">
        <f t="shared" si="68"/>
        <v>225</v>
      </c>
      <c r="AW56" s="7">
        <f t="shared" si="69"/>
        <v>225</v>
      </c>
      <c r="AX56" s="7">
        <f t="shared" si="70"/>
        <v>256</v>
      </c>
      <c r="AY56" s="7">
        <f t="shared" si="71"/>
        <v>289</v>
      </c>
      <c r="AZ56" s="7">
        <f t="shared" si="72"/>
        <v>324</v>
      </c>
      <c r="BA56" s="7">
        <f t="shared" si="73"/>
        <v>361</v>
      </c>
      <c r="BB56" s="7">
        <f t="shared" si="74"/>
        <v>361</v>
      </c>
      <c r="BC56" s="7">
        <f t="shared" si="75"/>
        <v>361</v>
      </c>
      <c r="BD56" s="7"/>
      <c r="BE56" s="7">
        <v>1.6232E-2</v>
      </c>
      <c r="BF56" s="7">
        <v>1.5945000000000001E-2</v>
      </c>
      <c r="BG56" s="7">
        <v>1.5357000000000001E-2</v>
      </c>
      <c r="BH56" s="7">
        <v>1.4335000000000001E-2</v>
      </c>
      <c r="BI56" s="7">
        <v>1.3110999999999999E-2</v>
      </c>
      <c r="BJ56" s="7">
        <v>1.095E-2</v>
      </c>
      <c r="BK56" s="7">
        <v>7.6379999999999998E-3</v>
      </c>
      <c r="BL56" s="7">
        <v>4.2659999999999998E-3</v>
      </c>
      <c r="BM56" s="7">
        <v>2.1540000000000001E-3</v>
      </c>
      <c r="BN56" s="7">
        <v>1.152E-3</v>
      </c>
      <c r="BO56" s="7">
        <v>5.1900000000000004E-4</v>
      </c>
      <c r="BP56" s="7">
        <v>1.83E-4</v>
      </c>
      <c r="BQ56" s="7">
        <v>3.3000000000000003E-5</v>
      </c>
    </row>
    <row r="57" spans="1:69" x14ac:dyDescent="0.25">
      <c r="A57" s="17">
        <v>55</v>
      </c>
      <c r="B57" s="7">
        <v>14</v>
      </c>
      <c r="C57" s="7">
        <v>14</v>
      </c>
      <c r="D57" s="7">
        <v>14</v>
      </c>
      <c r="E57" s="7">
        <v>14</v>
      </c>
      <c r="F57" s="7">
        <v>14</v>
      </c>
      <c r="G57" s="7">
        <v>15</v>
      </c>
      <c r="H57" s="7">
        <v>15</v>
      </c>
      <c r="I57" s="7">
        <v>16</v>
      </c>
      <c r="J57" s="7">
        <v>17</v>
      </c>
      <c r="K57" s="7">
        <v>18</v>
      </c>
      <c r="L57" s="7">
        <v>19</v>
      </c>
      <c r="M57" s="7">
        <v>19</v>
      </c>
      <c r="N57" s="7">
        <v>19</v>
      </c>
      <c r="O57" s="7"/>
      <c r="P57" s="7">
        <f t="shared" si="38"/>
        <v>0</v>
      </c>
      <c r="Q57" s="7">
        <f t="shared" si="39"/>
        <v>0</v>
      </c>
      <c r="R57" s="7">
        <f t="shared" si="40"/>
        <v>0</v>
      </c>
      <c r="S57" s="7">
        <f t="shared" si="41"/>
        <v>0</v>
      </c>
      <c r="T57" s="7">
        <f t="shared" si="42"/>
        <v>-1</v>
      </c>
      <c r="U57" s="7">
        <f t="shared" si="43"/>
        <v>0</v>
      </c>
      <c r="V57" s="7">
        <f t="shared" si="44"/>
        <v>-1</v>
      </c>
      <c r="W57" s="7">
        <f t="shared" si="45"/>
        <v>-1</v>
      </c>
      <c r="X57" s="7">
        <f t="shared" si="46"/>
        <v>-1</v>
      </c>
      <c r="Y57" s="7">
        <f t="shared" si="47"/>
        <v>-1</v>
      </c>
      <c r="Z57" s="7">
        <f t="shared" si="48"/>
        <v>0</v>
      </c>
      <c r="AA57" s="7">
        <f t="shared" si="49"/>
        <v>0</v>
      </c>
      <c r="AB57" s="7"/>
      <c r="AC57" s="7">
        <f t="shared" si="50"/>
        <v>0</v>
      </c>
      <c r="AD57" s="7">
        <f t="shared" si="51"/>
        <v>0</v>
      </c>
      <c r="AE57" s="7">
        <f t="shared" si="52"/>
        <v>0</v>
      </c>
      <c r="AF57" s="7">
        <f t="shared" si="53"/>
        <v>0</v>
      </c>
      <c r="AG57" s="7">
        <f t="shared" si="54"/>
        <v>1</v>
      </c>
      <c r="AH57" s="7">
        <f t="shared" si="55"/>
        <v>0</v>
      </c>
      <c r="AI57" s="7">
        <f t="shared" si="56"/>
        <v>1</v>
      </c>
      <c r="AJ57" s="7">
        <f t="shared" si="57"/>
        <v>1</v>
      </c>
      <c r="AK57" s="7">
        <f t="shared" si="58"/>
        <v>1</v>
      </c>
      <c r="AL57" s="7">
        <f t="shared" si="59"/>
        <v>0</v>
      </c>
      <c r="AM57" s="7">
        <f t="shared" si="60"/>
        <v>0</v>
      </c>
      <c r="AN57" s="7">
        <f t="shared" si="61"/>
        <v>0</v>
      </c>
      <c r="AO57" s="7">
        <f t="shared" si="62"/>
        <v>0</v>
      </c>
      <c r="AP57" s="7"/>
      <c r="AQ57" s="7">
        <f t="shared" si="63"/>
        <v>196</v>
      </c>
      <c r="AR57" s="7">
        <f t="shared" si="64"/>
        <v>196</v>
      </c>
      <c r="AS57" s="7">
        <f t="shared" si="65"/>
        <v>196</v>
      </c>
      <c r="AT57" s="7">
        <f t="shared" si="66"/>
        <v>196</v>
      </c>
      <c r="AU57" s="7">
        <f t="shared" si="67"/>
        <v>196</v>
      </c>
      <c r="AV57" s="7">
        <f t="shared" si="68"/>
        <v>225</v>
      </c>
      <c r="AW57" s="7">
        <f t="shared" si="69"/>
        <v>225</v>
      </c>
      <c r="AX57" s="7">
        <f t="shared" si="70"/>
        <v>256</v>
      </c>
      <c r="AY57" s="7">
        <f t="shared" si="71"/>
        <v>289</v>
      </c>
      <c r="AZ57" s="7">
        <f t="shared" si="72"/>
        <v>324</v>
      </c>
      <c r="BA57" s="7">
        <f t="shared" si="73"/>
        <v>361</v>
      </c>
      <c r="BB57" s="7">
        <f t="shared" si="74"/>
        <v>361</v>
      </c>
      <c r="BC57" s="7">
        <f t="shared" si="75"/>
        <v>361</v>
      </c>
      <c r="BD57" s="7"/>
      <c r="BE57" s="7">
        <v>1.4625000000000001E-2</v>
      </c>
      <c r="BF57" s="7">
        <v>1.4357999999999999E-2</v>
      </c>
      <c r="BG57" s="7">
        <v>1.3805E-2</v>
      </c>
      <c r="BH57" s="7">
        <v>1.2839E-2</v>
      </c>
      <c r="BI57" s="7">
        <v>1.1683000000000001E-2</v>
      </c>
      <c r="BJ57" s="7">
        <v>9.6550000000000004E-3</v>
      </c>
      <c r="BK57" s="7">
        <v>6.6E-3</v>
      </c>
      <c r="BL57" s="7">
        <v>3.5729999999999998E-3</v>
      </c>
      <c r="BM57" s="7">
        <v>1.748E-3</v>
      </c>
      <c r="BN57" s="7">
        <v>9.1399999999999999E-4</v>
      </c>
      <c r="BO57" s="7">
        <v>4.0200000000000001E-4</v>
      </c>
      <c r="BP57" s="7">
        <v>1.35E-4</v>
      </c>
      <c r="BQ57" s="7">
        <v>2.1999999999999999E-5</v>
      </c>
    </row>
    <row r="58" spans="1:69" x14ac:dyDescent="0.25">
      <c r="A58" s="17">
        <v>56</v>
      </c>
      <c r="B58" s="7">
        <v>14</v>
      </c>
      <c r="C58" s="7">
        <v>14</v>
      </c>
      <c r="D58" s="7">
        <v>14</v>
      </c>
      <c r="E58" s="7">
        <v>14</v>
      </c>
      <c r="F58" s="7">
        <v>15</v>
      </c>
      <c r="G58" s="7">
        <v>15</v>
      </c>
      <c r="H58" s="7">
        <v>16</v>
      </c>
      <c r="I58" s="7">
        <v>17</v>
      </c>
      <c r="J58" s="7">
        <v>18</v>
      </c>
      <c r="K58" s="7">
        <v>18</v>
      </c>
      <c r="L58" s="7">
        <v>19</v>
      </c>
      <c r="M58" s="7">
        <v>19</v>
      </c>
      <c r="N58" s="7">
        <v>19</v>
      </c>
      <c r="O58" s="7"/>
      <c r="P58" s="7">
        <f t="shared" si="38"/>
        <v>0</v>
      </c>
      <c r="Q58" s="7">
        <f t="shared" si="39"/>
        <v>0</v>
      </c>
      <c r="R58" s="7">
        <f t="shared" si="40"/>
        <v>0</v>
      </c>
      <c r="S58" s="7">
        <f t="shared" si="41"/>
        <v>-1</v>
      </c>
      <c r="T58" s="7">
        <f t="shared" si="42"/>
        <v>0</v>
      </c>
      <c r="U58" s="7">
        <f t="shared" si="43"/>
        <v>-1</v>
      </c>
      <c r="V58" s="7">
        <f t="shared" si="44"/>
        <v>-1</v>
      </c>
      <c r="W58" s="7">
        <f t="shared" si="45"/>
        <v>-1</v>
      </c>
      <c r="X58" s="7">
        <f t="shared" si="46"/>
        <v>0</v>
      </c>
      <c r="Y58" s="7">
        <f t="shared" si="47"/>
        <v>-1</v>
      </c>
      <c r="Z58" s="7">
        <f t="shared" si="48"/>
        <v>0</v>
      </c>
      <c r="AA58" s="7">
        <f t="shared" si="49"/>
        <v>0</v>
      </c>
      <c r="AB58" s="7"/>
      <c r="AC58" s="7">
        <f t="shared" si="50"/>
        <v>1</v>
      </c>
      <c r="AD58" s="7">
        <f t="shared" si="51"/>
        <v>1</v>
      </c>
      <c r="AE58" s="7">
        <f t="shared" si="52"/>
        <v>1</v>
      </c>
      <c r="AF58" s="7">
        <f t="shared" si="53"/>
        <v>1</v>
      </c>
      <c r="AG58" s="7">
        <f t="shared" si="54"/>
        <v>0</v>
      </c>
      <c r="AH58" s="7">
        <f t="shared" si="55"/>
        <v>0</v>
      </c>
      <c r="AI58" s="7">
        <f t="shared" si="56"/>
        <v>0</v>
      </c>
      <c r="AJ58" s="7">
        <f t="shared" si="57"/>
        <v>0</v>
      </c>
      <c r="AK58" s="7">
        <f t="shared" si="58"/>
        <v>0</v>
      </c>
      <c r="AL58" s="7">
        <f t="shared" si="59"/>
        <v>1</v>
      </c>
      <c r="AM58" s="7">
        <f t="shared" si="60"/>
        <v>0</v>
      </c>
      <c r="AN58" s="7">
        <f t="shared" si="61"/>
        <v>0</v>
      </c>
      <c r="AO58" s="7">
        <f t="shared" si="62"/>
        <v>0</v>
      </c>
      <c r="AP58" s="7"/>
      <c r="AQ58" s="7">
        <f t="shared" si="63"/>
        <v>196</v>
      </c>
      <c r="AR58" s="7">
        <f t="shared" si="64"/>
        <v>196</v>
      </c>
      <c r="AS58" s="7">
        <f t="shared" si="65"/>
        <v>196</v>
      </c>
      <c r="AT58" s="7">
        <f t="shared" si="66"/>
        <v>196</v>
      </c>
      <c r="AU58" s="7">
        <f t="shared" si="67"/>
        <v>225</v>
      </c>
      <c r="AV58" s="7">
        <f t="shared" si="68"/>
        <v>225</v>
      </c>
      <c r="AW58" s="7">
        <f t="shared" si="69"/>
        <v>256</v>
      </c>
      <c r="AX58" s="7">
        <f t="shared" si="70"/>
        <v>289</v>
      </c>
      <c r="AY58" s="7">
        <f t="shared" si="71"/>
        <v>324</v>
      </c>
      <c r="AZ58" s="7">
        <f t="shared" si="72"/>
        <v>324</v>
      </c>
      <c r="BA58" s="7">
        <f t="shared" si="73"/>
        <v>361</v>
      </c>
      <c r="BB58" s="7">
        <f t="shared" si="74"/>
        <v>361</v>
      </c>
      <c r="BC58" s="7">
        <f t="shared" si="75"/>
        <v>361</v>
      </c>
      <c r="BD58" s="7"/>
      <c r="BE58" s="7">
        <v>1.3063999999999999E-2</v>
      </c>
      <c r="BF58" s="7">
        <v>1.2822E-2</v>
      </c>
      <c r="BG58" s="7">
        <v>1.2312E-2</v>
      </c>
      <c r="BH58" s="7">
        <v>1.1414000000000001E-2</v>
      </c>
      <c r="BI58" s="7">
        <v>1.0336E-2</v>
      </c>
      <c r="BJ58" s="7">
        <v>8.4569999999999992E-3</v>
      </c>
      <c r="BK58" s="7">
        <v>5.6670000000000002E-3</v>
      </c>
      <c r="BL58" s="7">
        <v>2.9740000000000001E-3</v>
      </c>
      <c r="BM58" s="7">
        <v>1.4109999999999999E-3</v>
      </c>
      <c r="BN58" s="7">
        <v>7.2199999999999999E-4</v>
      </c>
      <c r="BO58" s="7">
        <v>3.0899999999999998E-4</v>
      </c>
      <c r="BP58" s="7">
        <v>9.8999999999999994E-5</v>
      </c>
      <c r="BQ58" s="7">
        <v>1.4E-5</v>
      </c>
    </row>
    <row r="59" spans="1:69" x14ac:dyDescent="0.25">
      <c r="A59" s="17">
        <v>57</v>
      </c>
      <c r="B59" s="7">
        <v>15</v>
      </c>
      <c r="C59" s="7">
        <v>15</v>
      </c>
      <c r="D59" s="7">
        <v>15</v>
      </c>
      <c r="E59" s="7">
        <v>15</v>
      </c>
      <c r="F59" s="7">
        <v>15</v>
      </c>
      <c r="G59" s="7">
        <v>15</v>
      </c>
      <c r="H59" s="7">
        <v>16</v>
      </c>
      <c r="I59" s="7">
        <v>17</v>
      </c>
      <c r="J59" s="7">
        <v>18</v>
      </c>
      <c r="K59" s="7">
        <v>19</v>
      </c>
      <c r="L59" s="7">
        <v>19</v>
      </c>
      <c r="M59" s="7">
        <v>19</v>
      </c>
      <c r="N59" s="7">
        <v>19</v>
      </c>
      <c r="O59" s="7"/>
      <c r="P59" s="7">
        <f t="shared" si="38"/>
        <v>0</v>
      </c>
      <c r="Q59" s="7">
        <f t="shared" si="39"/>
        <v>0</v>
      </c>
      <c r="R59" s="7">
        <f t="shared" si="40"/>
        <v>0</v>
      </c>
      <c r="S59" s="7">
        <f t="shared" si="41"/>
        <v>0</v>
      </c>
      <c r="T59" s="7">
        <f t="shared" si="42"/>
        <v>0</v>
      </c>
      <c r="U59" s="7">
        <f t="shared" si="43"/>
        <v>-1</v>
      </c>
      <c r="V59" s="7">
        <f t="shared" si="44"/>
        <v>-1</v>
      </c>
      <c r="W59" s="7">
        <f t="shared" si="45"/>
        <v>-1</v>
      </c>
      <c r="X59" s="7">
        <f t="shared" si="46"/>
        <v>-1</v>
      </c>
      <c r="Y59" s="7">
        <f t="shared" si="47"/>
        <v>0</v>
      </c>
      <c r="Z59" s="7">
        <f t="shared" si="48"/>
        <v>0</v>
      </c>
      <c r="AA59" s="7">
        <f t="shared" si="49"/>
        <v>0</v>
      </c>
      <c r="AB59" s="7"/>
      <c r="AC59" s="7">
        <f t="shared" si="50"/>
        <v>0</v>
      </c>
      <c r="AD59" s="7">
        <f t="shared" si="51"/>
        <v>0</v>
      </c>
      <c r="AE59" s="7">
        <f t="shared" si="52"/>
        <v>0</v>
      </c>
      <c r="AF59" s="7">
        <f t="shared" si="53"/>
        <v>0</v>
      </c>
      <c r="AG59" s="7">
        <f t="shared" si="54"/>
        <v>0</v>
      </c>
      <c r="AH59" s="7">
        <f t="shared" si="55"/>
        <v>1</v>
      </c>
      <c r="AI59" s="7">
        <f t="shared" si="56"/>
        <v>0</v>
      </c>
      <c r="AJ59" s="7">
        <f t="shared" si="57"/>
        <v>0</v>
      </c>
      <c r="AK59" s="7">
        <f t="shared" si="58"/>
        <v>0</v>
      </c>
      <c r="AL59" s="7">
        <f t="shared" si="59"/>
        <v>0</v>
      </c>
      <c r="AM59" s="7">
        <f t="shared" si="60"/>
        <v>0</v>
      </c>
      <c r="AN59" s="7">
        <f t="shared" si="61"/>
        <v>0</v>
      </c>
      <c r="AO59" s="7">
        <f t="shared" si="62"/>
        <v>0</v>
      </c>
      <c r="AP59" s="7"/>
      <c r="AQ59" s="7">
        <f t="shared" si="63"/>
        <v>225</v>
      </c>
      <c r="AR59" s="7">
        <f t="shared" si="64"/>
        <v>225</v>
      </c>
      <c r="AS59" s="7">
        <f t="shared" si="65"/>
        <v>225</v>
      </c>
      <c r="AT59" s="7">
        <f t="shared" si="66"/>
        <v>225</v>
      </c>
      <c r="AU59" s="7">
        <f t="shared" si="67"/>
        <v>225</v>
      </c>
      <c r="AV59" s="7">
        <f t="shared" si="68"/>
        <v>225</v>
      </c>
      <c r="AW59" s="7">
        <f t="shared" si="69"/>
        <v>256</v>
      </c>
      <c r="AX59" s="7">
        <f t="shared" si="70"/>
        <v>289</v>
      </c>
      <c r="AY59" s="7">
        <f t="shared" si="71"/>
        <v>324</v>
      </c>
      <c r="AZ59" s="7">
        <f t="shared" si="72"/>
        <v>361</v>
      </c>
      <c r="BA59" s="7">
        <f t="shared" si="73"/>
        <v>361</v>
      </c>
      <c r="BB59" s="7">
        <f t="shared" si="74"/>
        <v>361</v>
      </c>
      <c r="BC59" s="7">
        <f t="shared" si="75"/>
        <v>361</v>
      </c>
      <c r="BD59" s="7"/>
      <c r="BE59" s="7">
        <v>1.1566999999999999E-2</v>
      </c>
      <c r="BF59" s="7">
        <v>1.1351999999999999E-2</v>
      </c>
      <c r="BG59" s="7">
        <v>1.099E-2</v>
      </c>
      <c r="BH59" s="7">
        <v>1.0847000000000001E-2</v>
      </c>
      <c r="BI59" s="7">
        <v>9.9710000000000007E-3</v>
      </c>
      <c r="BJ59" s="7">
        <v>7.3590000000000001E-3</v>
      </c>
      <c r="BK59" s="7">
        <v>4.836E-3</v>
      </c>
      <c r="BL59" s="7">
        <v>2.4610000000000001E-3</v>
      </c>
      <c r="BM59" s="7">
        <v>1.1329999999999999E-3</v>
      </c>
      <c r="BN59" s="7">
        <v>5.6800000000000004E-4</v>
      </c>
      <c r="BO59" s="7">
        <v>2.3599999999999999E-4</v>
      </c>
      <c r="BP59" s="7">
        <v>7.1000000000000005E-5</v>
      </c>
      <c r="BQ59" s="7">
        <v>9.0000000000000002E-6</v>
      </c>
    </row>
    <row r="60" spans="1:69" x14ac:dyDescent="0.25">
      <c r="A60" s="17">
        <v>58</v>
      </c>
      <c r="B60" s="7">
        <v>15</v>
      </c>
      <c r="C60" s="7">
        <v>15</v>
      </c>
      <c r="D60" s="7">
        <v>15</v>
      </c>
      <c r="E60" s="7">
        <v>15</v>
      </c>
      <c r="F60" s="7">
        <v>15</v>
      </c>
      <c r="G60" s="7">
        <v>16</v>
      </c>
      <c r="H60" s="7">
        <v>16</v>
      </c>
      <c r="I60" s="7">
        <v>17</v>
      </c>
      <c r="J60" s="7">
        <v>18</v>
      </c>
      <c r="K60" s="7">
        <v>19</v>
      </c>
      <c r="L60" s="7">
        <v>19</v>
      </c>
      <c r="M60" s="7">
        <v>19</v>
      </c>
      <c r="N60" s="7">
        <v>19</v>
      </c>
      <c r="O60" s="7"/>
      <c r="P60" s="7">
        <f t="shared" si="38"/>
        <v>0</v>
      </c>
      <c r="Q60" s="7">
        <f t="shared" si="39"/>
        <v>0</v>
      </c>
      <c r="R60" s="7">
        <f t="shared" si="40"/>
        <v>0</v>
      </c>
      <c r="S60" s="7">
        <f t="shared" si="41"/>
        <v>0</v>
      </c>
      <c r="T60" s="7">
        <f t="shared" si="42"/>
        <v>-1</v>
      </c>
      <c r="U60" s="7">
        <f t="shared" si="43"/>
        <v>0</v>
      </c>
      <c r="V60" s="7">
        <f t="shared" si="44"/>
        <v>-1</v>
      </c>
      <c r="W60" s="7">
        <f t="shared" si="45"/>
        <v>-1</v>
      </c>
      <c r="X60" s="7">
        <f t="shared" si="46"/>
        <v>-1</v>
      </c>
      <c r="Y60" s="7">
        <f t="shared" si="47"/>
        <v>0</v>
      </c>
      <c r="Z60" s="7">
        <f t="shared" si="48"/>
        <v>0</v>
      </c>
      <c r="AA60" s="7">
        <f t="shared" si="49"/>
        <v>0</v>
      </c>
      <c r="AB60" s="7"/>
      <c r="AC60" s="7">
        <f t="shared" si="50"/>
        <v>0</v>
      </c>
      <c r="AD60" s="7">
        <f t="shared" si="51"/>
        <v>0</v>
      </c>
      <c r="AE60" s="7">
        <f t="shared" si="52"/>
        <v>0</v>
      </c>
      <c r="AF60" s="7">
        <f t="shared" si="53"/>
        <v>0</v>
      </c>
      <c r="AG60" s="7">
        <f t="shared" si="54"/>
        <v>0</v>
      </c>
      <c r="AH60" s="7">
        <f t="shared" si="55"/>
        <v>0</v>
      </c>
      <c r="AI60" s="7">
        <f t="shared" si="56"/>
        <v>0</v>
      </c>
      <c r="AJ60" s="7">
        <f t="shared" si="57"/>
        <v>0</v>
      </c>
      <c r="AK60" s="7">
        <f t="shared" si="58"/>
        <v>0</v>
      </c>
      <c r="AL60" s="7">
        <f t="shared" si="59"/>
        <v>0</v>
      </c>
      <c r="AM60" s="7">
        <f t="shared" si="60"/>
        <v>0</v>
      </c>
      <c r="AN60" s="7">
        <f t="shared" si="61"/>
        <v>0</v>
      </c>
      <c r="AO60" s="7">
        <f t="shared" si="62"/>
        <v>0</v>
      </c>
      <c r="AP60" s="7"/>
      <c r="AQ60" s="7">
        <f t="shared" si="63"/>
        <v>225</v>
      </c>
      <c r="AR60" s="7">
        <f t="shared" si="64"/>
        <v>225</v>
      </c>
      <c r="AS60" s="7">
        <f t="shared" si="65"/>
        <v>225</v>
      </c>
      <c r="AT60" s="7">
        <f t="shared" si="66"/>
        <v>225</v>
      </c>
      <c r="AU60" s="7">
        <f t="shared" si="67"/>
        <v>225</v>
      </c>
      <c r="AV60" s="7">
        <f t="shared" si="68"/>
        <v>256</v>
      </c>
      <c r="AW60" s="7">
        <f t="shared" si="69"/>
        <v>256</v>
      </c>
      <c r="AX60" s="7">
        <f t="shared" si="70"/>
        <v>289</v>
      </c>
      <c r="AY60" s="7">
        <f t="shared" si="71"/>
        <v>324</v>
      </c>
      <c r="AZ60" s="7">
        <f t="shared" si="72"/>
        <v>361</v>
      </c>
      <c r="BA60" s="7">
        <f t="shared" si="73"/>
        <v>361</v>
      </c>
      <c r="BB60" s="7">
        <f t="shared" si="74"/>
        <v>361</v>
      </c>
      <c r="BC60" s="7">
        <f t="shared" si="75"/>
        <v>361</v>
      </c>
      <c r="BD60" s="7"/>
      <c r="BE60" s="7">
        <v>1.0149999999999999E-2</v>
      </c>
      <c r="BF60" s="7">
        <v>1.0576E-2</v>
      </c>
      <c r="BG60" s="7">
        <v>1.0892000000000001E-2</v>
      </c>
      <c r="BH60" s="7">
        <v>1.0070000000000001E-2</v>
      </c>
      <c r="BI60" s="7">
        <v>9.0799999999999995E-3</v>
      </c>
      <c r="BJ60" s="7">
        <v>7.2480000000000001E-3</v>
      </c>
      <c r="BK60" s="7">
        <v>4.1009999999999996E-3</v>
      </c>
      <c r="BL60" s="7">
        <v>2.0249999999999999E-3</v>
      </c>
      <c r="BM60" s="7">
        <v>9.0600000000000001E-4</v>
      </c>
      <c r="BN60" s="7">
        <v>4.44E-4</v>
      </c>
      <c r="BO60" s="7">
        <v>1.7899999999999999E-4</v>
      </c>
      <c r="BP60" s="7">
        <v>5.0000000000000002E-5</v>
      </c>
      <c r="BQ60" s="7">
        <v>5.0000000000000004E-6</v>
      </c>
    </row>
    <row r="61" spans="1:69" x14ac:dyDescent="0.25">
      <c r="A61" s="17">
        <v>59</v>
      </c>
      <c r="B61" s="7">
        <v>15</v>
      </c>
      <c r="C61" s="7">
        <v>15</v>
      </c>
      <c r="D61" s="7">
        <v>15</v>
      </c>
      <c r="E61" s="7">
        <v>15</v>
      </c>
      <c r="F61" s="7">
        <v>15</v>
      </c>
      <c r="G61" s="7">
        <v>16</v>
      </c>
      <c r="H61" s="7">
        <v>16</v>
      </c>
      <c r="I61" s="7">
        <v>17</v>
      </c>
      <c r="J61" s="7">
        <v>18</v>
      </c>
      <c r="K61" s="7">
        <v>19</v>
      </c>
      <c r="L61" s="7">
        <v>19</v>
      </c>
      <c r="M61" s="7">
        <v>19</v>
      </c>
      <c r="N61" s="7">
        <v>19</v>
      </c>
      <c r="O61" s="7"/>
      <c r="P61" s="7">
        <f t="shared" si="38"/>
        <v>0</v>
      </c>
      <c r="Q61" s="7">
        <f t="shared" si="39"/>
        <v>0</v>
      </c>
      <c r="R61" s="7">
        <f t="shared" si="40"/>
        <v>0</v>
      </c>
      <c r="S61" s="7">
        <f t="shared" si="41"/>
        <v>0</v>
      </c>
      <c r="T61" s="7">
        <f t="shared" si="42"/>
        <v>-1</v>
      </c>
      <c r="U61" s="7">
        <f t="shared" si="43"/>
        <v>0</v>
      </c>
      <c r="V61" s="7">
        <f t="shared" si="44"/>
        <v>-1</v>
      </c>
      <c r="W61" s="7">
        <f t="shared" si="45"/>
        <v>-1</v>
      </c>
      <c r="X61" s="7">
        <f t="shared" si="46"/>
        <v>-1</v>
      </c>
      <c r="Y61" s="7">
        <f t="shared" si="47"/>
        <v>0</v>
      </c>
      <c r="Z61" s="7">
        <f t="shared" si="48"/>
        <v>0</v>
      </c>
      <c r="AA61" s="7">
        <f t="shared" si="49"/>
        <v>0</v>
      </c>
      <c r="AB61" s="7"/>
      <c r="AC61" s="7">
        <f t="shared" si="50"/>
        <v>1</v>
      </c>
      <c r="AD61" s="7">
        <f t="shared" si="51"/>
        <v>1</v>
      </c>
      <c r="AE61" s="7">
        <f t="shared" si="52"/>
        <v>1</v>
      </c>
      <c r="AF61" s="7">
        <f t="shared" si="53"/>
        <v>1</v>
      </c>
      <c r="AG61" s="7">
        <f t="shared" si="54"/>
        <v>1</v>
      </c>
      <c r="AH61" s="7">
        <f t="shared" si="55"/>
        <v>0</v>
      </c>
      <c r="AI61" s="7">
        <f t="shared" si="56"/>
        <v>1</v>
      </c>
      <c r="AJ61" s="7">
        <f t="shared" si="57"/>
        <v>1</v>
      </c>
      <c r="AK61" s="7">
        <f t="shared" si="58"/>
        <v>1</v>
      </c>
      <c r="AL61" s="7">
        <f t="shared" si="59"/>
        <v>0</v>
      </c>
      <c r="AM61" s="7">
        <f t="shared" si="60"/>
        <v>0</v>
      </c>
      <c r="AN61" s="7">
        <f t="shared" si="61"/>
        <v>0</v>
      </c>
      <c r="AO61" s="7">
        <f t="shared" si="62"/>
        <v>0</v>
      </c>
      <c r="AP61" s="7"/>
      <c r="AQ61" s="7">
        <f t="shared" si="63"/>
        <v>225</v>
      </c>
      <c r="AR61" s="7">
        <f t="shared" si="64"/>
        <v>225</v>
      </c>
      <c r="AS61" s="7">
        <f t="shared" si="65"/>
        <v>225</v>
      </c>
      <c r="AT61" s="7">
        <f t="shared" si="66"/>
        <v>225</v>
      </c>
      <c r="AU61" s="7">
        <f t="shared" si="67"/>
        <v>225</v>
      </c>
      <c r="AV61" s="7">
        <f t="shared" si="68"/>
        <v>256</v>
      </c>
      <c r="AW61" s="7">
        <f t="shared" si="69"/>
        <v>256</v>
      </c>
      <c r="AX61" s="7">
        <f t="shared" si="70"/>
        <v>289</v>
      </c>
      <c r="AY61" s="7">
        <f t="shared" si="71"/>
        <v>324</v>
      </c>
      <c r="AZ61" s="7">
        <f t="shared" si="72"/>
        <v>361</v>
      </c>
      <c r="BA61" s="7">
        <f t="shared" si="73"/>
        <v>361</v>
      </c>
      <c r="BB61" s="7">
        <f t="shared" si="74"/>
        <v>361</v>
      </c>
      <c r="BC61" s="7">
        <f t="shared" si="75"/>
        <v>361</v>
      </c>
      <c r="BD61" s="7"/>
      <c r="BE61" s="7">
        <v>1.014E-2</v>
      </c>
      <c r="BF61" s="7">
        <v>9.9640000000000006E-3</v>
      </c>
      <c r="BG61" s="7">
        <v>9.5569999999999995E-3</v>
      </c>
      <c r="BH61" s="7">
        <v>8.8159999999999992E-3</v>
      </c>
      <c r="BI61" s="7">
        <v>7.9190000000000007E-3</v>
      </c>
      <c r="BJ61" s="7">
        <v>6.3610000000000003E-3</v>
      </c>
      <c r="BK61" s="7">
        <v>3.4559999999999999E-3</v>
      </c>
      <c r="BL61" s="7">
        <v>1.6559999999999999E-3</v>
      </c>
      <c r="BM61" s="7">
        <v>7.2099999999999996E-4</v>
      </c>
      <c r="BN61" s="7">
        <v>3.4600000000000001E-4</v>
      </c>
      <c r="BO61" s="7">
        <v>1.34E-4</v>
      </c>
      <c r="BP61" s="7">
        <v>3.4999999999999997E-5</v>
      </c>
      <c r="BQ61" s="7">
        <v>3.0000000000000001E-6</v>
      </c>
    </row>
    <row r="62" spans="1:69" x14ac:dyDescent="0.25">
      <c r="A62" s="17">
        <v>60</v>
      </c>
      <c r="B62" s="7">
        <v>16</v>
      </c>
      <c r="C62" s="7">
        <v>16</v>
      </c>
      <c r="D62" s="7">
        <v>16</v>
      </c>
      <c r="E62" s="7">
        <v>16</v>
      </c>
      <c r="F62" s="7">
        <v>16</v>
      </c>
      <c r="G62" s="7">
        <v>16</v>
      </c>
      <c r="H62" s="7">
        <v>17</v>
      </c>
      <c r="I62" s="7">
        <v>18</v>
      </c>
      <c r="J62" s="7">
        <v>19</v>
      </c>
      <c r="K62" s="7">
        <v>19</v>
      </c>
      <c r="L62" s="7">
        <v>19</v>
      </c>
      <c r="M62" s="7">
        <v>19</v>
      </c>
      <c r="N62" s="7">
        <v>19</v>
      </c>
      <c r="O62" s="7"/>
      <c r="P62" s="7">
        <f t="shared" si="38"/>
        <v>0</v>
      </c>
      <c r="Q62" s="7">
        <f t="shared" si="39"/>
        <v>0</v>
      </c>
      <c r="R62" s="7">
        <f t="shared" si="40"/>
        <v>0</v>
      </c>
      <c r="S62" s="7">
        <f t="shared" si="41"/>
        <v>0</v>
      </c>
      <c r="T62" s="7">
        <f t="shared" si="42"/>
        <v>0</v>
      </c>
      <c r="U62" s="7">
        <f t="shared" si="43"/>
        <v>-1</v>
      </c>
      <c r="V62" s="7">
        <f>(H62-I62)</f>
        <v>-1</v>
      </c>
      <c r="W62" s="7">
        <f t="shared" si="45"/>
        <v>-1</v>
      </c>
      <c r="X62" s="7">
        <f t="shared" si="46"/>
        <v>0</v>
      </c>
      <c r="Y62" s="7">
        <f t="shared" si="47"/>
        <v>0</v>
      </c>
      <c r="Z62" s="7">
        <f t="shared" si="48"/>
        <v>0</v>
      </c>
      <c r="AA62" s="7">
        <f t="shared" si="49"/>
        <v>0</v>
      </c>
      <c r="AB62" s="7"/>
      <c r="AC62" s="7">
        <f t="shared" si="50"/>
        <v>0</v>
      </c>
      <c r="AD62" s="7">
        <f t="shared" si="51"/>
        <v>0</v>
      </c>
      <c r="AE62" s="7">
        <f t="shared" si="52"/>
        <v>0</v>
      </c>
      <c r="AF62" s="7">
        <f t="shared" si="53"/>
        <v>0</v>
      </c>
      <c r="AG62" s="7">
        <f t="shared" si="54"/>
        <v>0</v>
      </c>
      <c r="AH62" s="7">
        <f t="shared" si="55"/>
        <v>1</v>
      </c>
      <c r="AI62" s="7">
        <f t="shared" si="56"/>
        <v>0</v>
      </c>
      <c r="AJ62" s="7">
        <f t="shared" si="57"/>
        <v>0</v>
      </c>
      <c r="AK62" s="7">
        <f t="shared" si="58"/>
        <v>0</v>
      </c>
      <c r="AL62" s="7">
        <f t="shared" si="59"/>
        <v>0</v>
      </c>
      <c r="AM62" s="7">
        <f t="shared" si="60"/>
        <v>0</v>
      </c>
      <c r="AN62" s="7">
        <f t="shared" si="61"/>
        <v>0</v>
      </c>
      <c r="AO62" s="7">
        <f t="shared" si="62"/>
        <v>0</v>
      </c>
      <c r="AP62" s="7"/>
      <c r="AQ62" s="7">
        <f t="shared" si="63"/>
        <v>256</v>
      </c>
      <c r="AR62" s="7">
        <f t="shared" si="64"/>
        <v>256</v>
      </c>
      <c r="AS62" s="7">
        <f t="shared" si="65"/>
        <v>256</v>
      </c>
      <c r="AT62" s="7">
        <f t="shared" si="66"/>
        <v>256</v>
      </c>
      <c r="AU62" s="7">
        <f t="shared" si="67"/>
        <v>256</v>
      </c>
      <c r="AV62" s="7">
        <f t="shared" si="68"/>
        <v>256</v>
      </c>
      <c r="AW62" s="7">
        <f t="shared" si="69"/>
        <v>289</v>
      </c>
      <c r="AX62" s="7">
        <f t="shared" si="70"/>
        <v>324</v>
      </c>
      <c r="AY62" s="7">
        <f t="shared" si="71"/>
        <v>361</v>
      </c>
      <c r="AZ62" s="7">
        <f t="shared" si="72"/>
        <v>361</v>
      </c>
      <c r="BA62" s="7">
        <f t="shared" si="73"/>
        <v>361</v>
      </c>
      <c r="BB62" s="7">
        <f t="shared" si="74"/>
        <v>361</v>
      </c>
      <c r="BC62" s="7">
        <f t="shared" si="75"/>
        <v>361</v>
      </c>
      <c r="BD62" s="7"/>
      <c r="BE62" s="7">
        <v>8.8229999999999992E-3</v>
      </c>
      <c r="BF62" s="7">
        <v>8.6669999999999994E-3</v>
      </c>
      <c r="BG62" s="7">
        <v>8.3149999999999995E-3</v>
      </c>
      <c r="BH62" s="7">
        <v>7.659E-3</v>
      </c>
      <c r="BI62" s="7">
        <v>6.8580000000000004E-3</v>
      </c>
      <c r="BJ62" s="7">
        <v>5.463E-3</v>
      </c>
      <c r="BK62" s="7">
        <v>3.1099999999999999E-3</v>
      </c>
      <c r="BL62" s="7">
        <v>1.3470000000000001E-3</v>
      </c>
      <c r="BM62" s="7">
        <v>5.71E-4</v>
      </c>
      <c r="BN62" s="7">
        <v>2.6800000000000001E-4</v>
      </c>
      <c r="BO62" s="7">
        <v>1E-4</v>
      </c>
      <c r="BP62" s="7">
        <v>2.4000000000000001E-5</v>
      </c>
      <c r="BQ62" s="7">
        <v>1.9999999999999999E-6</v>
      </c>
    </row>
    <row r="63" spans="1:69" x14ac:dyDescent="0.25">
      <c r="A63" s="17">
        <v>61</v>
      </c>
      <c r="B63" s="7">
        <v>16</v>
      </c>
      <c r="C63" s="7">
        <v>16</v>
      </c>
      <c r="D63" s="7">
        <v>16</v>
      </c>
      <c r="E63" s="7">
        <v>16</v>
      </c>
      <c r="F63" s="7">
        <v>16</v>
      </c>
      <c r="G63" s="7">
        <v>17</v>
      </c>
      <c r="H63" s="7">
        <v>17</v>
      </c>
      <c r="I63" s="7">
        <v>18</v>
      </c>
      <c r="J63" s="7">
        <v>19</v>
      </c>
      <c r="K63" s="7">
        <v>19</v>
      </c>
      <c r="L63" s="7">
        <v>19</v>
      </c>
      <c r="M63" s="7">
        <v>19</v>
      </c>
      <c r="N63" s="7">
        <v>19</v>
      </c>
      <c r="O63" s="7"/>
      <c r="P63" s="7">
        <f t="shared" si="38"/>
        <v>0</v>
      </c>
      <c r="Q63" s="7">
        <f t="shared" si="39"/>
        <v>0</v>
      </c>
      <c r="R63" s="7">
        <f t="shared" si="40"/>
        <v>0</v>
      </c>
      <c r="S63" s="7">
        <f t="shared" si="41"/>
        <v>0</v>
      </c>
      <c r="T63" s="7">
        <f t="shared" si="42"/>
        <v>-1</v>
      </c>
      <c r="U63" s="7">
        <f t="shared" si="43"/>
        <v>0</v>
      </c>
      <c r="V63" s="7">
        <f t="shared" si="44"/>
        <v>-1</v>
      </c>
      <c r="W63" s="7">
        <f t="shared" si="45"/>
        <v>-1</v>
      </c>
      <c r="X63" s="7">
        <f t="shared" si="46"/>
        <v>0</v>
      </c>
      <c r="Y63" s="7">
        <f t="shared" si="47"/>
        <v>0</v>
      </c>
      <c r="Z63" s="7">
        <f t="shared" si="48"/>
        <v>0</v>
      </c>
      <c r="AA63" s="7">
        <f t="shared" si="49"/>
        <v>0</v>
      </c>
      <c r="AB63" s="7"/>
      <c r="AC63" s="7">
        <f t="shared" si="50"/>
        <v>0</v>
      </c>
      <c r="AD63" s="7">
        <f t="shared" si="51"/>
        <v>0</v>
      </c>
      <c r="AE63" s="7">
        <f t="shared" si="52"/>
        <v>0</v>
      </c>
      <c r="AF63" s="7">
        <f t="shared" si="53"/>
        <v>0</v>
      </c>
      <c r="AG63" s="7">
        <f t="shared" si="54"/>
        <v>0</v>
      </c>
      <c r="AH63" s="7">
        <f t="shared" si="55"/>
        <v>0</v>
      </c>
      <c r="AI63" s="7">
        <f t="shared" si="56"/>
        <v>0</v>
      </c>
      <c r="AJ63" s="7">
        <f t="shared" si="57"/>
        <v>0</v>
      </c>
      <c r="AK63" s="7">
        <f t="shared" si="58"/>
        <v>0</v>
      </c>
      <c r="AL63" s="7">
        <f t="shared" si="59"/>
        <v>0</v>
      </c>
      <c r="AM63" s="7">
        <f t="shared" si="60"/>
        <v>0</v>
      </c>
      <c r="AN63" s="7">
        <f t="shared" si="61"/>
        <v>0</v>
      </c>
      <c r="AO63" s="7">
        <f t="shared" si="62"/>
        <v>0</v>
      </c>
      <c r="AP63" s="7"/>
      <c r="AQ63" s="7">
        <f t="shared" si="63"/>
        <v>256</v>
      </c>
      <c r="AR63" s="7">
        <f t="shared" si="64"/>
        <v>256</v>
      </c>
      <c r="AS63" s="7">
        <f t="shared" si="65"/>
        <v>256</v>
      </c>
      <c r="AT63" s="7">
        <f t="shared" si="66"/>
        <v>256</v>
      </c>
      <c r="AU63" s="7">
        <f t="shared" si="67"/>
        <v>256</v>
      </c>
      <c r="AV63" s="7">
        <f t="shared" si="68"/>
        <v>289</v>
      </c>
      <c r="AW63" s="7">
        <f t="shared" si="69"/>
        <v>289</v>
      </c>
      <c r="AX63" s="7">
        <f t="shared" si="70"/>
        <v>324</v>
      </c>
      <c r="AY63" s="7">
        <f t="shared" si="71"/>
        <v>361</v>
      </c>
      <c r="AZ63" s="7">
        <f t="shared" si="72"/>
        <v>361</v>
      </c>
      <c r="BA63" s="7">
        <f t="shared" si="73"/>
        <v>361</v>
      </c>
      <c r="BB63" s="7">
        <f t="shared" si="74"/>
        <v>361</v>
      </c>
      <c r="BC63" s="7">
        <f t="shared" si="75"/>
        <v>361</v>
      </c>
      <c r="BD63" s="7"/>
      <c r="BE63" s="7">
        <v>7.5969999999999996E-3</v>
      </c>
      <c r="BF63" s="7">
        <v>7.4700000000000001E-3</v>
      </c>
      <c r="BG63" s="7">
        <v>7.1720000000000004E-3</v>
      </c>
      <c r="BH63" s="7">
        <v>6.6030000000000004E-3</v>
      </c>
      <c r="BI63" s="7">
        <v>5.8960000000000002E-3</v>
      </c>
      <c r="BJ63" s="7">
        <v>4.6610000000000002E-3</v>
      </c>
      <c r="BK63" s="7">
        <v>2.895E-3</v>
      </c>
      <c r="BL63" s="7">
        <v>1.09E-3</v>
      </c>
      <c r="BM63" s="7">
        <v>4.4999999999999999E-4</v>
      </c>
      <c r="BN63" s="7">
        <v>2.0599999999999999E-4</v>
      </c>
      <c r="BO63" s="7">
        <v>7.2999999999999999E-5</v>
      </c>
      <c r="BP63" s="7">
        <v>1.5999999999999999E-5</v>
      </c>
      <c r="BQ63" s="7">
        <v>9.9999999999999995E-7</v>
      </c>
    </row>
    <row r="64" spans="1:69" x14ac:dyDescent="0.25">
      <c r="A64" s="17">
        <v>62</v>
      </c>
      <c r="B64" s="7">
        <v>16</v>
      </c>
      <c r="C64" s="7">
        <v>16</v>
      </c>
      <c r="D64" s="7">
        <v>16</v>
      </c>
      <c r="E64" s="7">
        <v>16</v>
      </c>
      <c r="F64" s="7">
        <v>16</v>
      </c>
      <c r="G64" s="7">
        <v>17</v>
      </c>
      <c r="H64" s="7">
        <v>17</v>
      </c>
      <c r="I64" s="7">
        <v>18</v>
      </c>
      <c r="J64" s="7">
        <v>19</v>
      </c>
      <c r="K64" s="7">
        <v>19</v>
      </c>
      <c r="L64" s="7">
        <v>19</v>
      </c>
      <c r="M64" s="7">
        <v>19</v>
      </c>
      <c r="N64" s="7">
        <v>19</v>
      </c>
      <c r="O64" s="7"/>
      <c r="P64" s="7">
        <f t="shared" si="38"/>
        <v>0</v>
      </c>
      <c r="Q64" s="7">
        <f t="shared" si="39"/>
        <v>0</v>
      </c>
      <c r="R64" s="7">
        <f t="shared" si="40"/>
        <v>0</v>
      </c>
      <c r="S64" s="7">
        <f t="shared" si="41"/>
        <v>0</v>
      </c>
      <c r="T64" s="7">
        <f t="shared" si="42"/>
        <v>-1</v>
      </c>
      <c r="U64" s="7">
        <f t="shared" si="43"/>
        <v>0</v>
      </c>
      <c r="V64" s="7">
        <f t="shared" si="44"/>
        <v>-1</v>
      </c>
      <c r="W64" s="7">
        <f t="shared" si="45"/>
        <v>-1</v>
      </c>
      <c r="X64" s="7">
        <f t="shared" si="46"/>
        <v>0</v>
      </c>
      <c r="Y64" s="7">
        <f t="shared" si="47"/>
        <v>0</v>
      </c>
      <c r="Z64" s="7">
        <f t="shared" si="48"/>
        <v>0</v>
      </c>
      <c r="AA64" s="7">
        <f t="shared" si="49"/>
        <v>0</v>
      </c>
      <c r="AB64" s="7"/>
      <c r="AC64" s="7">
        <f t="shared" si="50"/>
        <v>1</v>
      </c>
      <c r="AD64" s="7">
        <f t="shared" si="51"/>
        <v>1</v>
      </c>
      <c r="AE64" s="7">
        <f t="shared" si="52"/>
        <v>1</v>
      </c>
      <c r="AF64" s="7">
        <f t="shared" si="53"/>
        <v>1</v>
      </c>
      <c r="AG64" s="7">
        <f t="shared" si="54"/>
        <v>1</v>
      </c>
      <c r="AH64" s="7">
        <f t="shared" si="55"/>
        <v>1</v>
      </c>
      <c r="AI64" s="7">
        <f t="shared" si="56"/>
        <v>1</v>
      </c>
      <c r="AJ64" s="7">
        <f t="shared" si="57"/>
        <v>1</v>
      </c>
      <c r="AK64" s="7">
        <f t="shared" si="58"/>
        <v>0</v>
      </c>
      <c r="AL64" s="7">
        <f t="shared" si="59"/>
        <v>0</v>
      </c>
      <c r="AM64" s="7">
        <f t="shared" si="60"/>
        <v>0</v>
      </c>
      <c r="AN64" s="7">
        <f t="shared" si="61"/>
        <v>0</v>
      </c>
      <c r="AO64" s="7">
        <f t="shared" si="62"/>
        <v>0</v>
      </c>
      <c r="AP64" s="7"/>
      <c r="AQ64" s="7">
        <f t="shared" si="63"/>
        <v>256</v>
      </c>
      <c r="AR64" s="7">
        <f t="shared" si="64"/>
        <v>256</v>
      </c>
      <c r="AS64" s="7">
        <f t="shared" si="65"/>
        <v>256</v>
      </c>
      <c r="AT64" s="7">
        <f t="shared" si="66"/>
        <v>256</v>
      </c>
      <c r="AU64" s="7">
        <f t="shared" si="67"/>
        <v>256</v>
      </c>
      <c r="AV64" s="7">
        <f t="shared" si="68"/>
        <v>289</v>
      </c>
      <c r="AW64" s="7">
        <f t="shared" si="69"/>
        <v>289</v>
      </c>
      <c r="AX64" s="7">
        <f t="shared" si="70"/>
        <v>324</v>
      </c>
      <c r="AY64" s="7">
        <f t="shared" si="71"/>
        <v>361</v>
      </c>
      <c r="AZ64" s="7">
        <f t="shared" si="72"/>
        <v>361</v>
      </c>
      <c r="BA64" s="7">
        <f t="shared" si="73"/>
        <v>361</v>
      </c>
      <c r="BB64" s="7">
        <f t="shared" si="74"/>
        <v>361</v>
      </c>
      <c r="BC64" s="7">
        <f t="shared" si="75"/>
        <v>361</v>
      </c>
      <c r="BD64" s="7"/>
      <c r="BE64" s="7">
        <v>6.476E-3</v>
      </c>
      <c r="BF64" s="7">
        <v>6.3769999999999999E-3</v>
      </c>
      <c r="BG64" s="7">
        <v>6.1330000000000004E-3</v>
      </c>
      <c r="BH64" s="7">
        <v>5.646E-3</v>
      </c>
      <c r="BI64" s="7">
        <v>5.032E-3</v>
      </c>
      <c r="BJ64" s="7">
        <v>3.9500000000000004E-3</v>
      </c>
      <c r="BK64" s="7">
        <v>2.4109999999999999E-3</v>
      </c>
      <c r="BL64" s="7">
        <v>8.7799999999999998E-4</v>
      </c>
      <c r="BM64" s="7">
        <v>3.5300000000000002E-4</v>
      </c>
      <c r="BN64" s="7">
        <v>1.5699999999999999E-4</v>
      </c>
      <c r="BO64" s="7">
        <v>5.3000000000000001E-5</v>
      </c>
      <c r="BP64" s="7">
        <v>1.1E-5</v>
      </c>
      <c r="BQ64" s="7">
        <v>9.9999999999999995E-7</v>
      </c>
    </row>
    <row r="65" spans="1:69" x14ac:dyDescent="0.25">
      <c r="A65" s="17">
        <v>63</v>
      </c>
      <c r="B65" s="7">
        <v>17</v>
      </c>
      <c r="C65" s="7">
        <v>17</v>
      </c>
      <c r="D65" s="7">
        <v>17</v>
      </c>
      <c r="E65" s="7">
        <v>17</v>
      </c>
      <c r="F65" s="7">
        <v>17</v>
      </c>
      <c r="G65" s="7">
        <v>18</v>
      </c>
      <c r="H65" s="7">
        <v>18</v>
      </c>
      <c r="I65" s="7">
        <v>19</v>
      </c>
      <c r="J65" s="7">
        <v>19</v>
      </c>
      <c r="K65" s="7">
        <v>19</v>
      </c>
      <c r="L65" s="7">
        <v>19</v>
      </c>
      <c r="M65" s="7">
        <v>19</v>
      </c>
      <c r="N65" s="7">
        <v>19</v>
      </c>
      <c r="O65" s="7"/>
      <c r="P65" s="7">
        <f t="shared" si="38"/>
        <v>0</v>
      </c>
      <c r="Q65" s="7">
        <f t="shared" si="39"/>
        <v>0</v>
      </c>
      <c r="R65" s="7">
        <f t="shared" si="40"/>
        <v>0</v>
      </c>
      <c r="S65" s="7">
        <f t="shared" si="41"/>
        <v>0</v>
      </c>
      <c r="T65" s="7">
        <f t="shared" si="42"/>
        <v>-1</v>
      </c>
      <c r="U65" s="7">
        <f t="shared" si="43"/>
        <v>0</v>
      </c>
      <c r="V65" s="7">
        <f>(H65-I65)</f>
        <v>-1</v>
      </c>
      <c r="W65" s="7">
        <f t="shared" si="45"/>
        <v>0</v>
      </c>
      <c r="X65" s="7">
        <f t="shared" si="46"/>
        <v>0</v>
      </c>
      <c r="Y65" s="7">
        <f t="shared" si="47"/>
        <v>0</v>
      </c>
      <c r="Z65" s="7">
        <f t="shared" si="48"/>
        <v>0</v>
      </c>
      <c r="AA65" s="7">
        <f t="shared" si="49"/>
        <v>0</v>
      </c>
      <c r="AB65" s="7"/>
      <c r="AC65" s="7">
        <f t="shared" si="50"/>
        <v>0</v>
      </c>
      <c r="AD65" s="7">
        <f t="shared" si="51"/>
        <v>0</v>
      </c>
      <c r="AE65" s="7">
        <f t="shared" si="52"/>
        <v>0</v>
      </c>
      <c r="AF65" s="7">
        <f t="shared" si="53"/>
        <v>0</v>
      </c>
      <c r="AG65" s="7">
        <f t="shared" si="54"/>
        <v>0</v>
      </c>
      <c r="AH65" s="7">
        <f t="shared" si="55"/>
        <v>0</v>
      </c>
      <c r="AI65" s="7">
        <f t="shared" si="56"/>
        <v>0</v>
      </c>
      <c r="AJ65" s="7">
        <f t="shared" si="57"/>
        <v>0</v>
      </c>
      <c r="AK65" s="7">
        <f t="shared" si="58"/>
        <v>0</v>
      </c>
      <c r="AL65" s="7">
        <f t="shared" si="59"/>
        <v>0</v>
      </c>
      <c r="AM65" s="7">
        <f t="shared" si="60"/>
        <v>0</v>
      </c>
      <c r="AN65" s="7">
        <f t="shared" si="61"/>
        <v>0</v>
      </c>
      <c r="AO65" s="7">
        <f t="shared" si="62"/>
        <v>0</v>
      </c>
      <c r="AP65" s="7"/>
      <c r="AQ65" s="7">
        <f t="shared" si="63"/>
        <v>289</v>
      </c>
      <c r="AR65" s="7">
        <f t="shared" si="64"/>
        <v>289</v>
      </c>
      <c r="AS65" s="7">
        <f t="shared" si="65"/>
        <v>289</v>
      </c>
      <c r="AT65" s="7">
        <f t="shared" si="66"/>
        <v>289</v>
      </c>
      <c r="AU65" s="7">
        <f t="shared" si="67"/>
        <v>289</v>
      </c>
      <c r="AV65" s="7">
        <f t="shared" si="68"/>
        <v>324</v>
      </c>
      <c r="AW65" s="7">
        <f t="shared" si="69"/>
        <v>324</v>
      </c>
      <c r="AX65" s="7">
        <f t="shared" si="70"/>
        <v>361</v>
      </c>
      <c r="AY65" s="7">
        <f t="shared" si="71"/>
        <v>361</v>
      </c>
      <c r="AZ65" s="7">
        <f t="shared" si="72"/>
        <v>361</v>
      </c>
      <c r="BA65" s="7">
        <f t="shared" si="73"/>
        <v>361</v>
      </c>
      <c r="BB65" s="7">
        <f t="shared" si="74"/>
        <v>361</v>
      </c>
      <c r="BC65" s="7">
        <f t="shared" si="75"/>
        <v>361</v>
      </c>
      <c r="BD65" s="7"/>
      <c r="BE65" s="7">
        <v>5.4640000000000001E-3</v>
      </c>
      <c r="BF65" s="7">
        <v>5.3920000000000001E-3</v>
      </c>
      <c r="BG65" s="7">
        <v>5.1970000000000002E-3</v>
      </c>
      <c r="BH65" s="7">
        <v>4.79E-3</v>
      </c>
      <c r="BI65" s="7">
        <v>4.2630000000000003E-3</v>
      </c>
      <c r="BJ65" s="7">
        <v>3.326E-3</v>
      </c>
      <c r="BK65" s="7">
        <v>1.9949999999999998E-3</v>
      </c>
      <c r="BL65" s="7">
        <v>8.2600000000000002E-4</v>
      </c>
      <c r="BM65" s="7">
        <v>2.7500000000000002E-4</v>
      </c>
      <c r="BN65" s="7">
        <v>1.1900000000000001E-4</v>
      </c>
      <c r="BO65" s="7">
        <v>3.8000000000000002E-5</v>
      </c>
      <c r="BP65" s="7">
        <v>6.9999999999999999E-6</v>
      </c>
      <c r="BQ65" s="7">
        <v>0</v>
      </c>
    </row>
    <row r="66" spans="1:69" x14ac:dyDescent="0.25">
      <c r="A66" s="17">
        <v>64</v>
      </c>
      <c r="B66" s="7">
        <v>17</v>
      </c>
      <c r="C66" s="7">
        <v>17</v>
      </c>
      <c r="D66" s="7">
        <v>17</v>
      </c>
      <c r="E66" s="7">
        <v>17</v>
      </c>
      <c r="F66" s="7">
        <v>17</v>
      </c>
      <c r="G66" s="7">
        <v>18</v>
      </c>
      <c r="H66" s="7">
        <v>18</v>
      </c>
      <c r="I66" s="7">
        <v>19</v>
      </c>
      <c r="J66" s="7">
        <v>19</v>
      </c>
      <c r="K66" s="7">
        <v>19</v>
      </c>
      <c r="L66" s="7">
        <v>19</v>
      </c>
      <c r="M66" s="7">
        <v>19</v>
      </c>
      <c r="N66" s="7">
        <v>19</v>
      </c>
      <c r="O66" s="7"/>
      <c r="P66" s="7">
        <f t="shared" si="38"/>
        <v>0</v>
      </c>
      <c r="Q66" s="7">
        <f t="shared" si="39"/>
        <v>0</v>
      </c>
      <c r="R66" s="7">
        <f t="shared" si="40"/>
        <v>0</v>
      </c>
      <c r="S66" s="7">
        <f t="shared" si="41"/>
        <v>0</v>
      </c>
      <c r="T66" s="7">
        <f t="shared" si="42"/>
        <v>-1</v>
      </c>
      <c r="U66" s="7">
        <f t="shared" si="43"/>
        <v>0</v>
      </c>
      <c r="V66" s="7">
        <f t="shared" si="44"/>
        <v>-1</v>
      </c>
      <c r="W66" s="7">
        <f t="shared" si="45"/>
        <v>0</v>
      </c>
      <c r="X66" s="7">
        <f t="shared" si="46"/>
        <v>0</v>
      </c>
      <c r="Y66" s="7">
        <f t="shared" si="47"/>
        <v>0</v>
      </c>
      <c r="Z66" s="7">
        <f t="shared" si="48"/>
        <v>0</v>
      </c>
      <c r="AA66" s="7">
        <f t="shared" si="49"/>
        <v>0</v>
      </c>
      <c r="AB66" s="7"/>
      <c r="AC66" s="7">
        <f t="shared" si="50"/>
        <v>1</v>
      </c>
      <c r="AD66" s="7">
        <f t="shared" si="51"/>
        <v>1</v>
      </c>
      <c r="AE66" s="7">
        <f t="shared" si="52"/>
        <v>1</v>
      </c>
      <c r="AF66" s="7">
        <f t="shared" si="53"/>
        <v>1</v>
      </c>
      <c r="AG66" s="7">
        <f t="shared" si="54"/>
        <v>1</v>
      </c>
      <c r="AH66" s="7">
        <f t="shared" si="55"/>
        <v>1</v>
      </c>
      <c r="AI66" s="7">
        <f t="shared" si="56"/>
        <v>1</v>
      </c>
      <c r="AJ66" s="7">
        <f t="shared" si="57"/>
        <v>0</v>
      </c>
      <c r="AK66" s="7">
        <f t="shared" si="58"/>
        <v>0</v>
      </c>
      <c r="AL66" s="7">
        <f t="shared" si="59"/>
        <v>0</v>
      </c>
      <c r="AM66" s="7">
        <f t="shared" si="60"/>
        <v>0</v>
      </c>
      <c r="AN66" s="7">
        <f t="shared" si="61"/>
        <v>0</v>
      </c>
      <c r="AO66" s="7">
        <f t="shared" si="62"/>
        <v>0</v>
      </c>
      <c r="AP66" s="7"/>
      <c r="AQ66" s="7">
        <f t="shared" si="63"/>
        <v>289</v>
      </c>
      <c r="AR66" s="7">
        <f t="shared" si="64"/>
        <v>289</v>
      </c>
      <c r="AS66" s="7">
        <f t="shared" si="65"/>
        <v>289</v>
      </c>
      <c r="AT66" s="7">
        <f t="shared" si="66"/>
        <v>289</v>
      </c>
      <c r="AU66" s="7">
        <f t="shared" si="67"/>
        <v>289</v>
      </c>
      <c r="AV66" s="7">
        <f t="shared" si="68"/>
        <v>324</v>
      </c>
      <c r="AW66" s="7">
        <f t="shared" si="69"/>
        <v>324</v>
      </c>
      <c r="AX66" s="7">
        <f t="shared" si="70"/>
        <v>361</v>
      </c>
      <c r="AY66" s="7">
        <f t="shared" si="71"/>
        <v>361</v>
      </c>
      <c r="AZ66" s="7">
        <f t="shared" si="72"/>
        <v>361</v>
      </c>
      <c r="BA66" s="7">
        <f t="shared" si="73"/>
        <v>361</v>
      </c>
      <c r="BB66" s="7">
        <f t="shared" si="74"/>
        <v>361</v>
      </c>
      <c r="BC66" s="7">
        <f t="shared" si="75"/>
        <v>361</v>
      </c>
      <c r="BD66" s="7"/>
      <c r="BE66" s="7">
        <v>4.561E-3</v>
      </c>
      <c r="BF66" s="7">
        <v>4.5129999999999997E-3</v>
      </c>
      <c r="BG66" s="7">
        <v>4.3639999999999998E-3</v>
      </c>
      <c r="BH66" s="7">
        <v>4.0309999999999999E-3</v>
      </c>
      <c r="BI66" s="7">
        <v>3.5860000000000002E-3</v>
      </c>
      <c r="BJ66" s="7">
        <v>2.7829999999999999E-3</v>
      </c>
      <c r="BK66" s="7">
        <v>1.642E-3</v>
      </c>
      <c r="BL66" s="7">
        <v>7.0299999999999996E-4</v>
      </c>
      <c r="BM66" s="7">
        <v>2.14E-4</v>
      </c>
      <c r="BN66" s="7">
        <v>9.0000000000000006E-5</v>
      </c>
      <c r="BO66" s="7">
        <v>2.6999999999999999E-5</v>
      </c>
      <c r="BP66" s="7">
        <v>5.0000000000000004E-6</v>
      </c>
      <c r="BQ66" s="7">
        <v>0</v>
      </c>
    </row>
    <row r="67" spans="1:69" x14ac:dyDescent="0.25">
      <c r="A67" s="17">
        <v>65</v>
      </c>
      <c r="B67" s="7">
        <v>18</v>
      </c>
      <c r="C67" s="7">
        <v>18</v>
      </c>
      <c r="D67" s="7">
        <v>18</v>
      </c>
      <c r="E67" s="7">
        <v>18</v>
      </c>
      <c r="F67" s="7">
        <v>18</v>
      </c>
      <c r="G67" s="7">
        <v>19</v>
      </c>
      <c r="H67" s="7">
        <v>19</v>
      </c>
      <c r="I67" s="7">
        <v>19</v>
      </c>
      <c r="J67" s="7">
        <v>19</v>
      </c>
      <c r="K67" s="7">
        <v>19</v>
      </c>
      <c r="L67" s="7">
        <v>19</v>
      </c>
      <c r="M67" s="7">
        <v>19</v>
      </c>
      <c r="N67" s="7">
        <v>19</v>
      </c>
      <c r="O67" s="7"/>
      <c r="P67" s="7">
        <f t="shared" si="38"/>
        <v>0</v>
      </c>
      <c r="Q67" s="7">
        <f t="shared" si="39"/>
        <v>0</v>
      </c>
      <c r="R67" s="7">
        <f t="shared" si="40"/>
        <v>0</v>
      </c>
      <c r="S67" s="7">
        <f t="shared" si="41"/>
        <v>0</v>
      </c>
      <c r="T67" s="7">
        <f t="shared" si="42"/>
        <v>-1</v>
      </c>
      <c r="U67" s="7">
        <f t="shared" si="43"/>
        <v>0</v>
      </c>
      <c r="V67" s="7">
        <f t="shared" si="44"/>
        <v>0</v>
      </c>
      <c r="W67" s="7">
        <f t="shared" si="45"/>
        <v>0</v>
      </c>
      <c r="X67" s="7">
        <f t="shared" si="46"/>
        <v>0</v>
      </c>
      <c r="Y67" s="7">
        <f t="shared" si="47"/>
        <v>0</v>
      </c>
      <c r="Z67" s="7">
        <f t="shared" si="48"/>
        <v>0</v>
      </c>
      <c r="AA67" s="7">
        <f t="shared" si="49"/>
        <v>0</v>
      </c>
      <c r="AB67" s="7"/>
      <c r="AC67" s="7">
        <f t="shared" si="50"/>
        <v>1</v>
      </c>
      <c r="AD67" s="7">
        <f t="shared" si="51"/>
        <v>1</v>
      </c>
      <c r="AE67" s="7">
        <f t="shared" si="52"/>
        <v>1</v>
      </c>
      <c r="AF67" s="7">
        <f t="shared" si="53"/>
        <v>1</v>
      </c>
      <c r="AG67" s="7">
        <f t="shared" si="54"/>
        <v>1</v>
      </c>
      <c r="AH67" s="7">
        <f t="shared" si="55"/>
        <v>0</v>
      </c>
      <c r="AI67" s="7">
        <f t="shared" si="56"/>
        <v>0</v>
      </c>
      <c r="AJ67" s="7">
        <f t="shared" si="57"/>
        <v>0</v>
      </c>
      <c r="AK67" s="7">
        <f t="shared" si="58"/>
        <v>0</v>
      </c>
      <c r="AL67" s="7">
        <f t="shared" si="59"/>
        <v>0</v>
      </c>
      <c r="AM67" s="7">
        <f t="shared" si="60"/>
        <v>0</v>
      </c>
      <c r="AN67" s="7">
        <f t="shared" si="61"/>
        <v>0</v>
      </c>
      <c r="AO67" s="7">
        <f t="shared" si="62"/>
        <v>0</v>
      </c>
      <c r="AP67" s="7"/>
      <c r="AQ67" s="7">
        <f t="shared" si="63"/>
        <v>324</v>
      </c>
      <c r="AR67" s="7">
        <f t="shared" si="64"/>
        <v>324</v>
      </c>
      <c r="AS67" s="7">
        <f t="shared" si="65"/>
        <v>324</v>
      </c>
      <c r="AT67" s="7">
        <f t="shared" si="66"/>
        <v>324</v>
      </c>
      <c r="AU67" s="7">
        <f t="shared" si="67"/>
        <v>324</v>
      </c>
      <c r="AV67" s="7">
        <f t="shared" si="68"/>
        <v>361</v>
      </c>
      <c r="AW67" s="7">
        <f t="shared" si="69"/>
        <v>361</v>
      </c>
      <c r="AX67" s="7">
        <f t="shared" si="70"/>
        <v>361</v>
      </c>
      <c r="AY67" s="7">
        <f t="shared" si="71"/>
        <v>361</v>
      </c>
      <c r="AZ67" s="7">
        <f t="shared" si="72"/>
        <v>361</v>
      </c>
      <c r="BA67" s="7">
        <f t="shared" si="73"/>
        <v>361</v>
      </c>
      <c r="BB67" s="7">
        <f t="shared" si="74"/>
        <v>361</v>
      </c>
      <c r="BC67" s="7">
        <f t="shared" si="75"/>
        <v>361</v>
      </c>
      <c r="BD67" s="7"/>
      <c r="BE67" s="7">
        <v>3.7659999999999998E-3</v>
      </c>
      <c r="BF67" s="7">
        <v>3.738E-3</v>
      </c>
      <c r="BG67" s="7">
        <v>3.6310000000000001E-3</v>
      </c>
      <c r="BH67" s="7">
        <v>3.3639999999999998E-3</v>
      </c>
      <c r="BI67" s="7">
        <v>2.9940000000000001E-3</v>
      </c>
      <c r="BJ67" s="7">
        <v>2.313E-3</v>
      </c>
      <c r="BK67" s="7">
        <v>1.343E-3</v>
      </c>
      <c r="BL67" s="7">
        <v>5.5999999999999995E-4</v>
      </c>
      <c r="BM67" s="7">
        <v>2.05E-4</v>
      </c>
      <c r="BN67" s="7">
        <v>6.7000000000000002E-5</v>
      </c>
      <c r="BO67" s="7">
        <v>1.9000000000000001E-5</v>
      </c>
      <c r="BP67" s="7">
        <v>3.0000000000000001E-6</v>
      </c>
      <c r="BQ67" s="7">
        <v>0</v>
      </c>
    </row>
    <row r="68" spans="1:69" x14ac:dyDescent="0.25">
      <c r="A68" s="17">
        <v>66</v>
      </c>
      <c r="B68" s="7">
        <v>19</v>
      </c>
      <c r="C68" s="7">
        <v>19</v>
      </c>
      <c r="D68" s="7">
        <v>19</v>
      </c>
      <c r="E68" s="7">
        <v>19</v>
      </c>
      <c r="F68" s="7">
        <v>19</v>
      </c>
      <c r="G68" s="7">
        <v>19</v>
      </c>
      <c r="H68" s="7">
        <v>19</v>
      </c>
      <c r="I68" s="7">
        <v>19</v>
      </c>
      <c r="J68" s="7">
        <v>19</v>
      </c>
      <c r="K68" s="7">
        <v>19</v>
      </c>
      <c r="L68" s="7">
        <v>19</v>
      </c>
      <c r="M68" s="7">
        <v>19</v>
      </c>
      <c r="N68" s="7">
        <v>19</v>
      </c>
      <c r="O68" s="7"/>
      <c r="P68" s="7">
        <f t="shared" si="38"/>
        <v>0</v>
      </c>
      <c r="Q68" s="7">
        <f t="shared" si="39"/>
        <v>0</v>
      </c>
      <c r="R68" s="7">
        <f t="shared" si="40"/>
        <v>0</v>
      </c>
      <c r="S68" s="7">
        <f t="shared" si="41"/>
        <v>0</v>
      </c>
      <c r="T68" s="7">
        <f t="shared" si="42"/>
        <v>0</v>
      </c>
      <c r="U68" s="7">
        <f t="shared" si="43"/>
        <v>0</v>
      </c>
      <c r="V68" s="7">
        <f t="shared" si="44"/>
        <v>0</v>
      </c>
      <c r="W68" s="7">
        <f t="shared" si="45"/>
        <v>0</v>
      </c>
      <c r="X68" s="7">
        <f t="shared" si="46"/>
        <v>0</v>
      </c>
      <c r="Y68" s="7">
        <f t="shared" si="47"/>
        <v>0</v>
      </c>
      <c r="Z68" s="7">
        <f t="shared" si="48"/>
        <v>0</v>
      </c>
      <c r="AA68" s="7">
        <f t="shared" si="49"/>
        <v>0</v>
      </c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>
        <f t="shared" si="63"/>
        <v>361</v>
      </c>
      <c r="AR68" s="7">
        <f t="shared" si="64"/>
        <v>361</v>
      </c>
      <c r="AS68" s="7">
        <f t="shared" si="65"/>
        <v>361</v>
      </c>
      <c r="AT68" s="7">
        <f t="shared" si="66"/>
        <v>361</v>
      </c>
      <c r="AU68" s="7">
        <f t="shared" si="67"/>
        <v>361</v>
      </c>
      <c r="AV68" s="7">
        <f t="shared" si="68"/>
        <v>361</v>
      </c>
      <c r="AW68" s="7">
        <f t="shared" si="69"/>
        <v>361</v>
      </c>
      <c r="AX68" s="7">
        <f t="shared" si="70"/>
        <v>361</v>
      </c>
      <c r="AY68" s="7">
        <f t="shared" si="71"/>
        <v>361</v>
      </c>
      <c r="AZ68" s="7">
        <f t="shared" si="72"/>
        <v>361</v>
      </c>
      <c r="BA68" s="7">
        <f t="shared" si="73"/>
        <v>361</v>
      </c>
      <c r="BB68" s="7">
        <f t="shared" si="74"/>
        <v>361</v>
      </c>
      <c r="BC68" s="7">
        <f t="shared" si="75"/>
        <v>361</v>
      </c>
      <c r="BD68" s="7"/>
      <c r="BE68" s="7">
        <v>3.0720000000000001E-3</v>
      </c>
      <c r="BF68" s="7">
        <v>3.0630000000000002E-3</v>
      </c>
      <c r="BG68" s="7">
        <v>2.9910000000000002E-3</v>
      </c>
      <c r="BH68" s="7">
        <v>2.7850000000000001E-3</v>
      </c>
      <c r="BI68" s="7">
        <v>2.4810000000000001E-3</v>
      </c>
      <c r="BJ68" s="7">
        <v>1.91E-3</v>
      </c>
      <c r="BK68" s="7">
        <v>1.0920000000000001E-3</v>
      </c>
      <c r="BL68" s="7">
        <v>4.44E-4</v>
      </c>
      <c r="BM68" s="7">
        <v>1.65E-4</v>
      </c>
      <c r="BN68" s="7">
        <v>6.3999999999999997E-5</v>
      </c>
      <c r="BO68" s="7">
        <v>1.5E-5</v>
      </c>
      <c r="BP68" s="7">
        <v>1.9999999999999999E-6</v>
      </c>
      <c r="BQ68" s="7">
        <v>0</v>
      </c>
    </row>
    <row r="69" spans="1:69" x14ac:dyDescent="0.25">
      <c r="A69" s="17" t="s">
        <v>88</v>
      </c>
      <c r="B69" s="7">
        <f>SUM(freq!B2:B68)</f>
        <v>180</v>
      </c>
      <c r="C69" s="7">
        <f>SUM(freq!C2:C68)</f>
        <v>180</v>
      </c>
      <c r="D69" s="7">
        <f>SUM(freq!D2:D68)</f>
        <v>180</v>
      </c>
      <c r="E69" s="7">
        <f>SUM(freq!E2:E68)</f>
        <v>180</v>
      </c>
      <c r="F69" s="7">
        <f>SUM(freq!F2:F68)</f>
        <v>180</v>
      </c>
      <c r="G69" s="7">
        <f>SUM(freq!G2:G68)</f>
        <v>180</v>
      </c>
      <c r="H69" s="7">
        <f>SUM(freq!H2:H68)</f>
        <v>180</v>
      </c>
      <c r="I69" s="7">
        <f>SUM(freq!I2:I68)</f>
        <v>180</v>
      </c>
      <c r="J69" s="7">
        <f>SUM(freq!J2:J68)</f>
        <v>180</v>
      </c>
      <c r="K69" s="7">
        <f>SUM(freq!K2:K68)</f>
        <v>100</v>
      </c>
      <c r="L69" s="7">
        <f>SUM(freq!L2:L68)</f>
        <v>100</v>
      </c>
      <c r="M69" s="7">
        <f>SUM(freq!M2:M68)</f>
        <v>100</v>
      </c>
      <c r="N69" s="7">
        <f>SUM(freq!N2:N68)</f>
        <v>100</v>
      </c>
      <c r="O69" s="7">
        <f>SUM(B69:N69)</f>
        <v>2020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 t="s">
        <v>16</v>
      </c>
      <c r="BF69" s="7" t="s">
        <v>16</v>
      </c>
      <c r="BG69" s="7" t="s">
        <v>16</v>
      </c>
      <c r="BH69" s="7" t="s">
        <v>16</v>
      </c>
      <c r="BI69" s="7" t="s">
        <v>16</v>
      </c>
      <c r="BJ69" s="7" t="s">
        <v>16</v>
      </c>
      <c r="BK69" s="7" t="s">
        <v>16</v>
      </c>
      <c r="BL69" s="7" t="s">
        <v>16</v>
      </c>
      <c r="BM69" s="7" t="s">
        <v>16</v>
      </c>
      <c r="BN69" s="7" t="s">
        <v>16</v>
      </c>
      <c r="BO69" s="7" t="s">
        <v>16</v>
      </c>
      <c r="BP69" s="7" t="s">
        <v>16</v>
      </c>
      <c r="BQ69" s="7" t="s">
        <v>16</v>
      </c>
    </row>
    <row r="70" spans="1:69" x14ac:dyDescent="0.25">
      <c r="A70" s="17" t="s">
        <v>17</v>
      </c>
      <c r="B70" s="15">
        <f>freq!B69/handsmoothed!B69</f>
        <v>9.6888888888888882</v>
      </c>
      <c r="C70" s="15">
        <f>freq!C69/handsmoothed!C69</f>
        <v>9.8777777777777782</v>
      </c>
      <c r="D70" s="15">
        <f>freq!D69/handsmoothed!D69</f>
        <v>10.433333333333334</v>
      </c>
      <c r="E70" s="15">
        <f>freq!E69/handsmoothed!E69</f>
        <v>10.255555555555556</v>
      </c>
      <c r="F70" s="15">
        <f>freq!F69/handsmoothed!F69</f>
        <v>10.166666666666666</v>
      </c>
      <c r="G70" s="15">
        <f>freq!G69/handsmoothed!G69</f>
        <v>9.9388888888888882</v>
      </c>
      <c r="H70" s="15">
        <f>freq!H69/handsmoothed!H69</f>
        <v>10.244444444444444</v>
      </c>
      <c r="I70" s="15">
        <f>freq!I69/handsmoothed!I69</f>
        <v>9.5777777777777775</v>
      </c>
      <c r="J70" s="15">
        <f>freq!J69/handsmoothed!J69</f>
        <v>9.7888888888888896</v>
      </c>
      <c r="K70" s="15">
        <f>freq!K69/handsmoothed!K69</f>
        <v>9.8699999999999992</v>
      </c>
      <c r="L70" s="15">
        <f>freq!L69/handsmoothed!L69</f>
        <v>10.039999999999999</v>
      </c>
      <c r="M70" s="15">
        <f>freq!M69/handsmoothed!M69</f>
        <v>9.77</v>
      </c>
      <c r="N70" s="15">
        <f>freq!N69/handsmoothed!N69</f>
        <v>10.38</v>
      </c>
      <c r="O70" s="15">
        <f>freq!O69/handsmoothed!O69</f>
        <v>10.00049504950495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 t="s">
        <v>16</v>
      </c>
      <c r="BF70" s="7" t="s">
        <v>16</v>
      </c>
      <c r="BG70" s="7" t="s">
        <v>16</v>
      </c>
      <c r="BH70" s="7" t="s">
        <v>16</v>
      </c>
      <c r="BI70" s="7" t="s">
        <v>16</v>
      </c>
      <c r="BJ70" s="7" t="s">
        <v>16</v>
      </c>
      <c r="BK70" s="7" t="s">
        <v>16</v>
      </c>
      <c r="BL70" s="7" t="s">
        <v>16</v>
      </c>
      <c r="BM70" s="7" t="s">
        <v>16</v>
      </c>
      <c r="BN70" s="7" t="s">
        <v>16</v>
      </c>
      <c r="BO70" s="7" t="s">
        <v>16</v>
      </c>
      <c r="BP70" s="7" t="s">
        <v>16</v>
      </c>
      <c r="BQ70" s="7" t="s">
        <v>16</v>
      </c>
    </row>
    <row r="71" spans="1:69" x14ac:dyDescent="0.25">
      <c r="A71" s="17" t="s">
        <v>89</v>
      </c>
      <c r="B71" s="15">
        <f>SQRT((freq!B70-B70^2*B69)/(B69-1))</f>
        <v>2.9126748421663402</v>
      </c>
      <c r="C71" s="15">
        <f>SQRT((freq!C70-C70^2*C69)/(C69-1))</f>
        <v>3.0077285097445587</v>
      </c>
      <c r="D71" s="15">
        <f>SQRT((freq!D70-D70^2*D69)/(D69-1))</f>
        <v>2.9749419035686935</v>
      </c>
      <c r="E71" s="15">
        <f>SQRT((freq!E70-E70^2*E69)/(E69-1))</f>
        <v>3.0710801372134235</v>
      </c>
      <c r="F71" s="15">
        <f>SQRT((freq!F70-F70^2*F69)/(F69-1))</f>
        <v>2.8705789422496588</v>
      </c>
      <c r="G71" s="15">
        <f>SQRT((freq!G70-G70^2*G69)/(G69-1))</f>
        <v>3.1377390872671578</v>
      </c>
      <c r="H71" s="15">
        <f>SQRT((freq!H70-H70^2*H69)/(H69-1))</f>
        <v>3.0901216230014397</v>
      </c>
      <c r="I71" s="15">
        <f>SQRT((freq!I70-I70^2*I69)/(I69-1))</f>
        <v>3.0543595650440447</v>
      </c>
      <c r="J71" s="15">
        <f>SQRT((freq!J70-J70^2*J69)/(J69-1))</f>
        <v>2.991587625976913</v>
      </c>
      <c r="K71" s="15">
        <f>SQRT((freq!K70-K70^2*K69)/(K69-1))</f>
        <v>2.7657902956652323</v>
      </c>
      <c r="L71" s="15">
        <f>SQRT((freq!L70-L70^2*L69)/(L69-1))</f>
        <v>2.8530331192956733</v>
      </c>
      <c r="M71" s="15">
        <f>SQRT((freq!M70-M70^2*M69)/(M69-1))</f>
        <v>3.0677698937847557</v>
      </c>
      <c r="N71" s="15">
        <f>SQRT((freq!N70-N70^2*N69)/(N69-1))</f>
        <v>3.3235614340734854</v>
      </c>
      <c r="O71" s="15">
        <f>SQRT((freq!O70-O70^2*O69)/(O69-1))</f>
        <v>3.0156435047714916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 t="s">
        <v>16</v>
      </c>
      <c r="BF71" s="7" t="s">
        <v>16</v>
      </c>
      <c r="BG71" s="7" t="s">
        <v>16</v>
      </c>
      <c r="BH71" s="7" t="s">
        <v>16</v>
      </c>
      <c r="BI71" s="7" t="s">
        <v>16</v>
      </c>
      <c r="BJ71" s="7" t="s">
        <v>16</v>
      </c>
      <c r="BK71" s="7" t="s">
        <v>16</v>
      </c>
      <c r="BL71" s="7" t="s">
        <v>16</v>
      </c>
      <c r="BM71" s="7" t="s">
        <v>16</v>
      </c>
      <c r="BN71" s="7" t="s">
        <v>16</v>
      </c>
      <c r="BO71" s="7" t="s">
        <v>16</v>
      </c>
      <c r="BP71" s="7" t="s">
        <v>16</v>
      </c>
      <c r="BQ71" s="7" t="s">
        <v>16</v>
      </c>
    </row>
    <row r="72" spans="1:69" x14ac:dyDescent="0.25">
      <c r="A72" s="17" t="s">
        <v>90</v>
      </c>
      <c r="B72" s="7">
        <f t="shared" ref="B72:N72" si="76">0.3-ABS(10-ROUND(B70,2))</f>
        <v>-1.0000000000000508E-2</v>
      </c>
      <c r="C72" s="7">
        <f t="shared" si="76"/>
        <v>0.18000000000000077</v>
      </c>
      <c r="D72" s="7">
        <f t="shared" si="76"/>
        <v>-0.12999999999999973</v>
      </c>
      <c r="E72" s="7">
        <f t="shared" si="76"/>
        <v>4.0000000000000202E-2</v>
      </c>
      <c r="F72" s="7">
        <f t="shared" si="76"/>
        <v>0.13000000000000006</v>
      </c>
      <c r="G72" s="7">
        <f t="shared" si="76"/>
        <v>0.23999999999999949</v>
      </c>
      <c r="H72" s="7">
        <f t="shared" si="76"/>
        <v>5.9999999999999776E-2</v>
      </c>
      <c r="I72" s="7">
        <f t="shared" si="76"/>
        <v>-0.11999999999999994</v>
      </c>
      <c r="J72" s="7">
        <f t="shared" si="76"/>
        <v>8.9999999999999136E-2</v>
      </c>
      <c r="K72" s="7">
        <f t="shared" si="76"/>
        <v>0.16999999999999921</v>
      </c>
      <c r="L72" s="7">
        <f t="shared" si="76"/>
        <v>0.26000000000000084</v>
      </c>
      <c r="M72" s="7">
        <f t="shared" si="76"/>
        <v>6.9999999999999563E-2</v>
      </c>
      <c r="N72" s="7">
        <f t="shared" si="76"/>
        <v>-8.0000000000000793E-2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 t="s">
        <v>16</v>
      </c>
      <c r="BF72" s="7" t="s">
        <v>16</v>
      </c>
      <c r="BG72" s="7" t="s">
        <v>16</v>
      </c>
      <c r="BH72" s="7" t="s">
        <v>16</v>
      </c>
      <c r="BI72" s="7" t="s">
        <v>16</v>
      </c>
      <c r="BJ72" s="7" t="s">
        <v>16</v>
      </c>
      <c r="BK72" s="7" t="s">
        <v>16</v>
      </c>
      <c r="BL72" s="7" t="s">
        <v>16</v>
      </c>
      <c r="BM72" s="7" t="s">
        <v>16</v>
      </c>
      <c r="BN72" s="7" t="s">
        <v>16</v>
      </c>
      <c r="BO72" s="7" t="s">
        <v>16</v>
      </c>
      <c r="BP72" s="7" t="s">
        <v>16</v>
      </c>
      <c r="BQ72" s="7" t="s">
        <v>16</v>
      </c>
    </row>
    <row r="73" spans="1:69" x14ac:dyDescent="0.25">
      <c r="A73" s="17"/>
      <c r="B73" s="7">
        <f t="shared" ref="B73:N73" si="77">0.3-ABS(3-B71)</f>
        <v>0.21267484216634019</v>
      </c>
      <c r="C73" s="7">
        <f t="shared" si="77"/>
        <v>0.29227149025544125</v>
      </c>
      <c r="D73" s="7">
        <f t="shared" si="77"/>
        <v>0.27494190356869347</v>
      </c>
      <c r="E73" s="7">
        <f t="shared" si="77"/>
        <v>0.22891986278657644</v>
      </c>
      <c r="F73" s="7">
        <f t="shared" si="77"/>
        <v>0.1705789422496588</v>
      </c>
      <c r="G73" s="7">
        <f t="shared" si="77"/>
        <v>0.16226091273284221</v>
      </c>
      <c r="H73" s="7">
        <f t="shared" si="77"/>
        <v>0.20987837699856032</v>
      </c>
      <c r="I73" s="7">
        <f t="shared" si="77"/>
        <v>0.24564043495595528</v>
      </c>
      <c r="J73" s="7">
        <f t="shared" si="77"/>
        <v>0.29158762597691296</v>
      </c>
      <c r="K73" s="7">
        <f t="shared" si="77"/>
        <v>6.5790295665232257E-2</v>
      </c>
      <c r="L73" s="7">
        <f t="shared" si="77"/>
        <v>0.15303311929567326</v>
      </c>
      <c r="M73" s="7">
        <f t="shared" si="77"/>
        <v>0.23223010621524426</v>
      </c>
      <c r="N73" s="7">
        <f t="shared" si="77"/>
        <v>-2.3561434073485377E-2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 t="s">
        <v>16</v>
      </c>
      <c r="BF73" s="7" t="s">
        <v>16</v>
      </c>
      <c r="BG73" s="7" t="s">
        <v>16</v>
      </c>
      <c r="BH73" s="7" t="s">
        <v>16</v>
      </c>
      <c r="BI73" s="7" t="s">
        <v>16</v>
      </c>
      <c r="BJ73" s="7" t="s">
        <v>16</v>
      </c>
      <c r="BK73" s="7" t="s">
        <v>16</v>
      </c>
      <c r="BL73" s="7" t="s">
        <v>16</v>
      </c>
      <c r="BM73" s="7" t="s">
        <v>16</v>
      </c>
      <c r="BN73" s="7" t="s">
        <v>16</v>
      </c>
      <c r="BO73" s="7" t="s">
        <v>16</v>
      </c>
      <c r="BP73" s="7" t="s">
        <v>16</v>
      </c>
      <c r="BQ73" s="7" t="s">
        <v>16</v>
      </c>
    </row>
    <row r="74" spans="1:69" x14ac:dyDescent="0.25">
      <c r="A74" s="17" t="s">
        <v>91</v>
      </c>
      <c r="B74" s="7">
        <f t="shared" ref="B74:N74" si="78">0.6-ABS(10-ROUND(B70,2))</f>
        <v>0.28999999999999948</v>
      </c>
      <c r="C74" s="7">
        <f t="shared" si="78"/>
        <v>0.48000000000000076</v>
      </c>
      <c r="D74" s="7">
        <f t="shared" si="78"/>
        <v>0.17000000000000026</v>
      </c>
      <c r="E74" s="7">
        <f t="shared" si="78"/>
        <v>0.34000000000000019</v>
      </c>
      <c r="F74" s="7">
        <f t="shared" si="78"/>
        <v>0.43000000000000005</v>
      </c>
      <c r="G74" s="7">
        <f t="shared" si="78"/>
        <v>0.53999999999999948</v>
      </c>
      <c r="H74" s="7">
        <f t="shared" si="78"/>
        <v>0.35999999999999976</v>
      </c>
      <c r="I74" s="7">
        <f t="shared" si="78"/>
        <v>0.18000000000000005</v>
      </c>
      <c r="J74" s="7">
        <f t="shared" si="78"/>
        <v>0.38999999999999913</v>
      </c>
      <c r="K74" s="7">
        <f t="shared" si="78"/>
        <v>0.4699999999999992</v>
      </c>
      <c r="L74" s="7">
        <f t="shared" si="78"/>
        <v>0.56000000000000083</v>
      </c>
      <c r="M74" s="7">
        <f t="shared" si="78"/>
        <v>0.36999999999999955</v>
      </c>
      <c r="N74" s="7">
        <f t="shared" si="78"/>
        <v>0.2199999999999992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 t="s">
        <v>16</v>
      </c>
      <c r="BF74" s="7" t="s">
        <v>16</v>
      </c>
      <c r="BG74" s="7" t="s">
        <v>16</v>
      </c>
      <c r="BH74" s="7" t="s">
        <v>16</v>
      </c>
      <c r="BI74" s="7" t="s">
        <v>16</v>
      </c>
      <c r="BJ74" s="7" t="s">
        <v>16</v>
      </c>
      <c r="BK74" s="7" t="s">
        <v>16</v>
      </c>
      <c r="BL74" s="7" t="s">
        <v>16</v>
      </c>
      <c r="BM74" s="7" t="s">
        <v>16</v>
      </c>
      <c r="BN74" s="7" t="s">
        <v>16</v>
      </c>
      <c r="BO74" s="7" t="s">
        <v>16</v>
      </c>
      <c r="BP74" s="7" t="s">
        <v>16</v>
      </c>
      <c r="BQ74" s="7" t="s">
        <v>16</v>
      </c>
    </row>
    <row r="75" spans="1:69" x14ac:dyDescent="0.25">
      <c r="A75" s="17"/>
      <c r="B75" s="7">
        <f t="shared" ref="B75:N75" si="79">0.3-ABS(3-B71)</f>
        <v>0.21267484216634019</v>
      </c>
      <c r="C75" s="7">
        <f t="shared" si="79"/>
        <v>0.29227149025544125</v>
      </c>
      <c r="D75" s="7">
        <f t="shared" si="79"/>
        <v>0.27494190356869347</v>
      </c>
      <c r="E75" s="7">
        <f t="shared" si="79"/>
        <v>0.22891986278657644</v>
      </c>
      <c r="F75" s="7">
        <f t="shared" si="79"/>
        <v>0.1705789422496588</v>
      </c>
      <c r="G75" s="7">
        <f t="shared" si="79"/>
        <v>0.16226091273284221</v>
      </c>
      <c r="H75" s="7">
        <f t="shared" si="79"/>
        <v>0.20987837699856032</v>
      </c>
      <c r="I75" s="7">
        <f t="shared" si="79"/>
        <v>0.24564043495595528</v>
      </c>
      <c r="J75" s="7">
        <f t="shared" si="79"/>
        <v>0.29158762597691296</v>
      </c>
      <c r="K75" s="7">
        <f t="shared" si="79"/>
        <v>6.5790295665232257E-2</v>
      </c>
      <c r="L75" s="7">
        <f t="shared" si="79"/>
        <v>0.15303311929567326</v>
      </c>
      <c r="M75" s="7">
        <f t="shared" si="79"/>
        <v>0.23223010621524426</v>
      </c>
      <c r="N75" s="7">
        <f t="shared" si="79"/>
        <v>-2.3561434073485377E-2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 t="s">
        <v>16</v>
      </c>
      <c r="BF75" s="7" t="s">
        <v>16</v>
      </c>
      <c r="BG75" s="7" t="s">
        <v>16</v>
      </c>
      <c r="BH75" s="7" t="s">
        <v>16</v>
      </c>
      <c r="BI75" s="7" t="s">
        <v>16</v>
      </c>
      <c r="BJ75" s="7" t="s">
        <v>16</v>
      </c>
      <c r="BK75" s="7" t="s">
        <v>16</v>
      </c>
      <c r="BL75" s="7" t="s">
        <v>16</v>
      </c>
      <c r="BM75" s="7" t="s">
        <v>16</v>
      </c>
      <c r="BN75" s="7" t="s">
        <v>16</v>
      </c>
      <c r="BO75" s="7" t="s">
        <v>16</v>
      </c>
      <c r="BP75" s="7" t="s">
        <v>16</v>
      </c>
      <c r="BQ75" s="7" t="s">
        <v>16</v>
      </c>
    </row>
    <row r="76" spans="1:69" x14ac:dyDescent="0.25">
      <c r="A76" s="17" t="s">
        <v>92</v>
      </c>
      <c r="B76" s="7">
        <f t="shared" ref="B76:N76" si="80">0.9-ABS(10-ROUND(B70,2))</f>
        <v>0.58999999999999952</v>
      </c>
      <c r="C76" s="7">
        <f t="shared" si="80"/>
        <v>0.7800000000000008</v>
      </c>
      <c r="D76" s="7">
        <f t="shared" si="80"/>
        <v>0.47000000000000031</v>
      </c>
      <c r="E76" s="7">
        <f t="shared" si="80"/>
        <v>0.64000000000000024</v>
      </c>
      <c r="F76" s="7">
        <f t="shared" si="80"/>
        <v>0.73000000000000009</v>
      </c>
      <c r="G76" s="7">
        <f t="shared" si="80"/>
        <v>0.83999999999999952</v>
      </c>
      <c r="H76" s="7">
        <f t="shared" si="80"/>
        <v>0.65999999999999981</v>
      </c>
      <c r="I76" s="7">
        <f t="shared" si="80"/>
        <v>0.48000000000000009</v>
      </c>
      <c r="J76" s="7">
        <f t="shared" si="80"/>
        <v>0.68999999999999917</v>
      </c>
      <c r="K76" s="7">
        <f t="shared" si="80"/>
        <v>0.76999999999999924</v>
      </c>
      <c r="L76" s="7">
        <f t="shared" si="80"/>
        <v>0.86000000000000087</v>
      </c>
      <c r="M76" s="7">
        <f t="shared" si="80"/>
        <v>0.6699999999999996</v>
      </c>
      <c r="N76" s="7">
        <f t="shared" si="80"/>
        <v>0.51999999999999924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 t="s">
        <v>16</v>
      </c>
      <c r="BF76" s="7" t="s">
        <v>16</v>
      </c>
      <c r="BG76" s="7" t="s">
        <v>16</v>
      </c>
      <c r="BH76" s="7" t="s">
        <v>16</v>
      </c>
      <c r="BI76" s="7" t="s">
        <v>16</v>
      </c>
      <c r="BJ76" s="7" t="s">
        <v>16</v>
      </c>
      <c r="BK76" s="7" t="s">
        <v>16</v>
      </c>
      <c r="BL76" s="7" t="s">
        <v>16</v>
      </c>
      <c r="BM76" s="7" t="s">
        <v>16</v>
      </c>
      <c r="BN76" s="7" t="s">
        <v>16</v>
      </c>
      <c r="BO76" s="7" t="s">
        <v>16</v>
      </c>
      <c r="BP76" s="7" t="s">
        <v>16</v>
      </c>
      <c r="BQ76" s="7" t="s">
        <v>16</v>
      </c>
    </row>
    <row r="77" spans="1:69" x14ac:dyDescent="0.25">
      <c r="A77" s="17"/>
      <c r="B77" s="7">
        <f t="shared" ref="B77:N77" si="81">0.45-ABS(3-B71)</f>
        <v>0.36267484216634022</v>
      </c>
      <c r="C77" s="7">
        <f t="shared" si="81"/>
        <v>0.44227149025544127</v>
      </c>
      <c r="D77" s="7">
        <f t="shared" si="81"/>
        <v>0.42494190356869349</v>
      </c>
      <c r="E77" s="7">
        <f t="shared" si="81"/>
        <v>0.37891986278657647</v>
      </c>
      <c r="F77" s="7">
        <f t="shared" si="81"/>
        <v>0.32057894224965883</v>
      </c>
      <c r="G77" s="7">
        <f t="shared" si="81"/>
        <v>0.31226091273284223</v>
      </c>
      <c r="H77" s="7">
        <f t="shared" si="81"/>
        <v>0.35987837699856035</v>
      </c>
      <c r="I77" s="7">
        <f t="shared" si="81"/>
        <v>0.3956404349559553</v>
      </c>
      <c r="J77" s="7">
        <f t="shared" si="81"/>
        <v>0.44158762597691298</v>
      </c>
      <c r="K77" s="7">
        <f t="shared" si="81"/>
        <v>0.21579029566523228</v>
      </c>
      <c r="L77" s="7">
        <f t="shared" si="81"/>
        <v>0.30303311929567328</v>
      </c>
      <c r="M77" s="7">
        <f t="shared" si="81"/>
        <v>0.38223010621524428</v>
      </c>
      <c r="N77" s="7">
        <f t="shared" si="81"/>
        <v>0.12643856592651465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 t="s">
        <v>16</v>
      </c>
      <c r="BF77" s="7" t="s">
        <v>16</v>
      </c>
      <c r="BG77" s="7" t="s">
        <v>16</v>
      </c>
      <c r="BH77" s="7" t="s">
        <v>16</v>
      </c>
      <c r="BI77" s="7" t="s">
        <v>16</v>
      </c>
      <c r="BJ77" s="7" t="s">
        <v>16</v>
      </c>
      <c r="BK77" s="7" t="s">
        <v>16</v>
      </c>
      <c r="BL77" s="7" t="s">
        <v>16</v>
      </c>
      <c r="BM77" s="7" t="s">
        <v>16</v>
      </c>
      <c r="BN77" s="7" t="s">
        <v>16</v>
      </c>
      <c r="BO77" s="7" t="s">
        <v>16</v>
      </c>
      <c r="BP77" s="7" t="s">
        <v>16</v>
      </c>
      <c r="BQ77" s="7" t="s">
        <v>16</v>
      </c>
    </row>
  </sheetData>
  <conditionalFormatting sqref="B2:N68">
    <cfRule type="cellIs" dxfId="24" priority="10" operator="equal">
      <formula>6</formula>
    </cfRule>
    <cfRule type="cellIs" dxfId="23" priority="11" operator="equal">
      <formula>5</formula>
    </cfRule>
    <cfRule type="cellIs" dxfId="22" priority="12" operator="equal">
      <formula>15</formula>
    </cfRule>
    <cfRule type="cellIs" dxfId="21" priority="13" operator="equal">
      <formula>3</formula>
    </cfRule>
    <cfRule type="cellIs" dxfId="20" priority="14" operator="equal">
      <formula>2</formula>
    </cfRule>
    <cfRule type="cellIs" dxfId="19" priority="20" operator="equal">
      <formula>19</formula>
    </cfRule>
    <cfRule type="cellIs" dxfId="18" priority="21" operator="equal">
      <formula>1</formula>
    </cfRule>
    <cfRule type="cellIs" dxfId="17" priority="22" operator="equal">
      <formula>16</formula>
    </cfRule>
    <cfRule type="cellIs" dxfId="16" priority="23" operator="equal">
      <formula>13</formula>
    </cfRule>
    <cfRule type="cellIs" dxfId="15" priority="24" operator="equal">
      <formula>4</formula>
    </cfRule>
    <cfRule type="cellIs" dxfId="14" priority="25" operator="equal">
      <formula>7</formula>
    </cfRule>
    <cfRule type="cellIs" dxfId="13" priority="26" operator="equal">
      <formula>10</formula>
    </cfRule>
    <cfRule type="cellIs" dxfId="12" priority="8" operator="equal">
      <formula>8</formula>
    </cfRule>
    <cfRule type="cellIs" dxfId="11" priority="7" operator="equal">
      <formula>9</formula>
    </cfRule>
    <cfRule type="cellIs" dxfId="10" priority="6" operator="equal">
      <formula>11</formula>
    </cfRule>
    <cfRule type="cellIs" dxfId="9" priority="5" operator="equal">
      <formula>12</formula>
    </cfRule>
    <cfRule type="cellIs" dxfId="8" priority="3" operator="equal">
      <formula>17</formula>
    </cfRule>
    <cfRule type="cellIs" dxfId="7" priority="2" operator="equal">
      <formula>18</formula>
    </cfRule>
    <cfRule type="cellIs" dxfId="6" priority="1" operator="equal">
      <formula>14</formula>
    </cfRule>
  </conditionalFormatting>
  <conditionalFormatting sqref="B70:O70">
    <cfRule type="cellIs" dxfId="5" priority="18" operator="between">
      <formula>9.5</formula>
      <formula>10.5</formula>
    </cfRule>
  </conditionalFormatting>
  <conditionalFormatting sqref="B71:O71">
    <cfRule type="cellIs" dxfId="4" priority="17" operator="between">
      <formula>2.5</formula>
      <formula>3.5</formula>
    </cfRule>
  </conditionalFormatting>
  <conditionalFormatting sqref="P2:AA68">
    <cfRule type="cellIs" dxfId="1" priority="15" operator="lessThan">
      <formula>0</formula>
    </cfRule>
    <cfRule type="cellIs" dxfId="0" priority="16" operator="greaterThan">
      <formula>0</formula>
    </cfRule>
  </conditionalFormatting>
  <conditionalFormatting sqref="AC2:AO67">
    <cfRule type="cellIs" dxfId="3" priority="9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8CB93C23-ED53-4E6E-8A89-EEA2C1870E75}">
            <xm:f>NOT(freq!B2=".")</xm:f>
            <x14:dxf>
              <font>
                <b/>
                <i val="0"/>
              </font>
            </x14:dxf>
          </x14:cfRule>
          <xm:sqref>B2:N68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FA356-5C3B-492D-9F1B-63DBC639F25F}">
  <dimension ref="A1:AB70"/>
  <sheetViews>
    <sheetView topLeftCell="A53" workbookViewId="0">
      <selection activeCell="I76" sqref="I76"/>
    </sheetView>
  </sheetViews>
  <sheetFormatPr defaultColWidth="8.7109375" defaultRowHeight="15" x14ac:dyDescent="0.25"/>
  <cols>
    <col min="1" max="16384" width="8.7109375" style="11"/>
  </cols>
  <sheetData>
    <row r="1" spans="1:28" x14ac:dyDescent="0.25">
      <c r="A1" s="9"/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0" t="s">
        <v>28</v>
      </c>
      <c r="J1" s="10" t="s">
        <v>29</v>
      </c>
      <c r="K1" s="10" t="s">
        <v>30</v>
      </c>
      <c r="L1" s="10" t="s">
        <v>31</v>
      </c>
      <c r="M1" s="10" t="s">
        <v>32</v>
      </c>
      <c r="N1" s="10" t="s">
        <v>33</v>
      </c>
      <c r="P1" s="11" t="s">
        <v>120</v>
      </c>
      <c r="Q1" s="11" t="s">
        <v>121</v>
      </c>
      <c r="R1" s="11" t="s">
        <v>122</v>
      </c>
      <c r="S1" s="11" t="s">
        <v>123</v>
      </c>
      <c r="T1" s="11" t="s">
        <v>124</v>
      </c>
      <c r="U1" s="11" t="s">
        <v>125</v>
      </c>
      <c r="V1" s="11" t="s">
        <v>126</v>
      </c>
      <c r="W1" s="11" t="s">
        <v>127</v>
      </c>
      <c r="X1" s="11" t="s">
        <v>128</v>
      </c>
      <c r="Y1" s="11" t="s">
        <v>129</v>
      </c>
      <c r="Z1" s="11" t="s">
        <v>130</v>
      </c>
      <c r="AA1" s="11" t="s">
        <v>131</v>
      </c>
      <c r="AB1" s="11" t="s">
        <v>132</v>
      </c>
    </row>
    <row r="2" spans="1:28" x14ac:dyDescent="0.25">
      <c r="A2" s="12">
        <v>0</v>
      </c>
      <c r="B2" s="7" t="s">
        <v>16</v>
      </c>
      <c r="C2" s="7" t="s">
        <v>16</v>
      </c>
      <c r="D2" s="7" t="s">
        <v>16</v>
      </c>
      <c r="E2" s="7" t="s">
        <v>16</v>
      </c>
      <c r="F2" s="7" t="s">
        <v>16</v>
      </c>
      <c r="G2" s="7" t="s">
        <v>16</v>
      </c>
      <c r="H2" s="7" t="s">
        <v>16</v>
      </c>
      <c r="I2" s="7" t="s">
        <v>16</v>
      </c>
      <c r="J2" s="7" t="s">
        <v>16</v>
      </c>
      <c r="K2" s="7" t="s">
        <v>16</v>
      </c>
      <c r="L2" s="7">
        <v>1</v>
      </c>
      <c r="M2" s="7" t="s">
        <v>16</v>
      </c>
      <c r="N2" s="7" t="s">
        <v>16</v>
      </c>
      <c r="P2" s="11">
        <f>handsmoothed!B2^2</f>
        <v>1</v>
      </c>
      <c r="Q2" s="11">
        <f>handsmoothed!C2^2</f>
        <v>1</v>
      </c>
      <c r="R2" s="11">
        <f>handsmoothed!D2^2</f>
        <v>1</v>
      </c>
      <c r="S2" s="11">
        <f>handsmoothed!E2^2</f>
        <v>1</v>
      </c>
      <c r="T2" s="11">
        <f>handsmoothed!F2^2</f>
        <v>1</v>
      </c>
      <c r="U2" s="11">
        <f>handsmoothed!G2^2</f>
        <v>1</v>
      </c>
      <c r="V2" s="11">
        <f>handsmoothed!H2^2</f>
        <v>1</v>
      </c>
      <c r="W2" s="11">
        <f>handsmoothed!I2^2</f>
        <v>1</v>
      </c>
      <c r="X2" s="11">
        <f>handsmoothed!J2^2</f>
        <v>1</v>
      </c>
      <c r="Y2" s="11">
        <f>handsmoothed!K2^2</f>
        <v>1</v>
      </c>
      <c r="Z2" s="11">
        <f>handsmoothed!L2^2</f>
        <v>1</v>
      </c>
      <c r="AA2" s="11">
        <f>handsmoothed!M2^2</f>
        <v>1</v>
      </c>
      <c r="AB2" s="11">
        <f>handsmoothed!N2^2</f>
        <v>1</v>
      </c>
    </row>
    <row r="3" spans="1:28" x14ac:dyDescent="0.25">
      <c r="A3" s="11">
        <v>1</v>
      </c>
      <c r="B3" s="7" t="s">
        <v>16</v>
      </c>
      <c r="C3" s="7" t="s">
        <v>16</v>
      </c>
      <c r="D3" s="7" t="s">
        <v>16</v>
      </c>
      <c r="E3" s="7" t="s">
        <v>16</v>
      </c>
      <c r="F3" s="7" t="s">
        <v>16</v>
      </c>
      <c r="G3" s="7" t="s">
        <v>16</v>
      </c>
      <c r="H3" s="7" t="s">
        <v>16</v>
      </c>
      <c r="I3" s="7" t="s">
        <v>16</v>
      </c>
      <c r="J3" s="7" t="s">
        <v>16</v>
      </c>
      <c r="K3" s="7" t="s">
        <v>16</v>
      </c>
      <c r="L3" s="7" t="s">
        <v>16</v>
      </c>
      <c r="M3" s="7" t="s">
        <v>16</v>
      </c>
      <c r="N3" s="7" t="s">
        <v>16</v>
      </c>
      <c r="P3" s="11">
        <f>handsmoothed!B3^2</f>
        <v>1</v>
      </c>
      <c r="Q3" s="11">
        <f>handsmoothed!C3^2</f>
        <v>1</v>
      </c>
      <c r="R3" s="11">
        <f>handsmoothed!D3^2</f>
        <v>1</v>
      </c>
      <c r="S3" s="11">
        <f>handsmoothed!E3^2</f>
        <v>1</v>
      </c>
      <c r="T3" s="11">
        <f>handsmoothed!F3^2</f>
        <v>1</v>
      </c>
      <c r="U3" s="11">
        <f>handsmoothed!G3^2</f>
        <v>1</v>
      </c>
      <c r="V3" s="11">
        <f>handsmoothed!H3^2</f>
        <v>1</v>
      </c>
      <c r="W3" s="11">
        <f>handsmoothed!I3^2</f>
        <v>1</v>
      </c>
      <c r="X3" s="11">
        <f>handsmoothed!J3^2</f>
        <v>1</v>
      </c>
      <c r="Y3" s="11">
        <f>handsmoothed!K3^2</f>
        <v>1</v>
      </c>
      <c r="Z3" s="11">
        <f>handsmoothed!L3^2</f>
        <v>1</v>
      </c>
      <c r="AA3" s="11">
        <f>handsmoothed!M3^2</f>
        <v>1</v>
      </c>
      <c r="AB3" s="11">
        <f>handsmoothed!N3^2</f>
        <v>1</v>
      </c>
    </row>
    <row r="4" spans="1:28" x14ac:dyDescent="0.25">
      <c r="A4" s="12">
        <v>2</v>
      </c>
      <c r="B4" s="7" t="s">
        <v>16</v>
      </c>
      <c r="C4" s="7" t="s">
        <v>16</v>
      </c>
      <c r="D4" s="7" t="s">
        <v>16</v>
      </c>
      <c r="E4" s="7">
        <v>1</v>
      </c>
      <c r="F4" s="7" t="s">
        <v>16</v>
      </c>
      <c r="G4" s="7" t="s">
        <v>16</v>
      </c>
      <c r="H4" s="7" t="s">
        <v>16</v>
      </c>
      <c r="I4" s="7">
        <v>1</v>
      </c>
      <c r="J4" s="7" t="s">
        <v>16</v>
      </c>
      <c r="K4" s="7" t="s">
        <v>16</v>
      </c>
      <c r="L4" s="7" t="s">
        <v>16</v>
      </c>
      <c r="M4" s="7" t="s">
        <v>16</v>
      </c>
      <c r="N4" s="7">
        <v>1</v>
      </c>
      <c r="P4" s="11">
        <f>handsmoothed!B4^2</f>
        <v>1</v>
      </c>
      <c r="Q4" s="11">
        <f>handsmoothed!C4^2</f>
        <v>1</v>
      </c>
      <c r="R4" s="11">
        <f>handsmoothed!D4^2</f>
        <v>1</v>
      </c>
      <c r="S4" s="11">
        <f>handsmoothed!E4^2</f>
        <v>1</v>
      </c>
      <c r="T4" s="11">
        <f>handsmoothed!F4^2</f>
        <v>1</v>
      </c>
      <c r="U4" s="11">
        <f>handsmoothed!G4^2</f>
        <v>1</v>
      </c>
      <c r="V4" s="11">
        <f>handsmoothed!H4^2</f>
        <v>1</v>
      </c>
      <c r="W4" s="11">
        <f>handsmoothed!I4^2</f>
        <v>1</v>
      </c>
      <c r="X4" s="11">
        <f>handsmoothed!J4^2</f>
        <v>1</v>
      </c>
      <c r="Y4" s="11">
        <f>handsmoothed!K4^2</f>
        <v>1</v>
      </c>
      <c r="Z4" s="11">
        <f>handsmoothed!L4^2</f>
        <v>1</v>
      </c>
      <c r="AA4" s="11">
        <f>handsmoothed!M4^2</f>
        <v>1</v>
      </c>
      <c r="AB4" s="11">
        <f>handsmoothed!N4^2</f>
        <v>4</v>
      </c>
    </row>
    <row r="5" spans="1:28" x14ac:dyDescent="0.25">
      <c r="A5" s="12">
        <v>3</v>
      </c>
      <c r="B5" s="7">
        <v>1</v>
      </c>
      <c r="C5" s="7" t="s">
        <v>16</v>
      </c>
      <c r="D5" s="7" t="s">
        <v>16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7" t="s">
        <v>16</v>
      </c>
      <c r="P5" s="11">
        <f>handsmoothed!B5^2</f>
        <v>1</v>
      </c>
      <c r="Q5" s="11">
        <f>handsmoothed!C5^2</f>
        <v>1</v>
      </c>
      <c r="R5" s="11">
        <f>handsmoothed!D5^2</f>
        <v>1</v>
      </c>
      <c r="S5" s="11">
        <f>handsmoothed!E5^2</f>
        <v>1</v>
      </c>
      <c r="T5" s="11">
        <f>handsmoothed!F5^2</f>
        <v>4</v>
      </c>
      <c r="U5" s="11">
        <f>handsmoothed!G5^2</f>
        <v>4</v>
      </c>
      <c r="V5" s="11">
        <f>handsmoothed!H5^2</f>
        <v>4</v>
      </c>
      <c r="W5" s="11">
        <f>handsmoothed!I5^2</f>
        <v>4</v>
      </c>
      <c r="X5" s="11">
        <f>handsmoothed!J5^2</f>
        <v>4</v>
      </c>
      <c r="Y5" s="11">
        <f>handsmoothed!K5^2</f>
        <v>4</v>
      </c>
      <c r="Z5" s="11">
        <f>handsmoothed!L5^2</f>
        <v>4</v>
      </c>
      <c r="AA5" s="11">
        <f>handsmoothed!M5^2</f>
        <v>4</v>
      </c>
      <c r="AB5" s="11">
        <f>handsmoothed!N5^2</f>
        <v>4</v>
      </c>
    </row>
    <row r="6" spans="1:28" x14ac:dyDescent="0.25">
      <c r="A6" s="12">
        <v>4</v>
      </c>
      <c r="B6" s="7" t="s">
        <v>16</v>
      </c>
      <c r="C6" s="7" t="s">
        <v>16</v>
      </c>
      <c r="D6" s="7" t="s">
        <v>16</v>
      </c>
      <c r="E6" s="7" t="s">
        <v>16</v>
      </c>
      <c r="F6" s="7" t="s">
        <v>16</v>
      </c>
      <c r="G6" s="7">
        <v>1</v>
      </c>
      <c r="H6" s="7" t="s">
        <v>16</v>
      </c>
      <c r="I6" s="7">
        <v>2</v>
      </c>
      <c r="J6" s="7" t="s">
        <v>16</v>
      </c>
      <c r="K6" s="7" t="s">
        <v>16</v>
      </c>
      <c r="L6" s="7" t="s">
        <v>16</v>
      </c>
      <c r="M6" s="7" t="s">
        <v>16</v>
      </c>
      <c r="N6" s="7">
        <v>2</v>
      </c>
      <c r="P6" s="11">
        <f>handsmoothed!B6^2</f>
        <v>4</v>
      </c>
      <c r="Q6" s="11">
        <f>handsmoothed!C6^2</f>
        <v>4</v>
      </c>
      <c r="R6" s="11">
        <f>handsmoothed!D6^2</f>
        <v>4</v>
      </c>
      <c r="S6" s="11">
        <f>handsmoothed!E6^2</f>
        <v>4</v>
      </c>
      <c r="T6" s="11">
        <f>handsmoothed!F6^2</f>
        <v>4</v>
      </c>
      <c r="U6" s="11">
        <f>handsmoothed!G6^2</f>
        <v>4</v>
      </c>
      <c r="V6" s="11">
        <f>handsmoothed!H6^2</f>
        <v>4</v>
      </c>
      <c r="W6" s="11">
        <f>handsmoothed!I6^2</f>
        <v>4</v>
      </c>
      <c r="X6" s="11">
        <f>handsmoothed!J6^2</f>
        <v>4</v>
      </c>
      <c r="Y6" s="11">
        <f>handsmoothed!K6^2</f>
        <v>4</v>
      </c>
      <c r="Z6" s="11">
        <f>handsmoothed!L6^2</f>
        <v>4</v>
      </c>
      <c r="AA6" s="11">
        <f>handsmoothed!M6^2</f>
        <v>4</v>
      </c>
      <c r="AB6" s="11">
        <f>handsmoothed!N6^2</f>
        <v>9</v>
      </c>
    </row>
    <row r="7" spans="1:28" x14ac:dyDescent="0.25">
      <c r="A7" s="12">
        <v>5</v>
      </c>
      <c r="B7" s="7" t="s">
        <v>16</v>
      </c>
      <c r="C7" s="7">
        <v>1</v>
      </c>
      <c r="D7" s="7" t="s">
        <v>16</v>
      </c>
      <c r="E7" s="7" t="s">
        <v>16</v>
      </c>
      <c r="F7" s="7" t="s">
        <v>16</v>
      </c>
      <c r="G7" s="7" t="s">
        <v>16</v>
      </c>
      <c r="H7" s="7" t="s">
        <v>16</v>
      </c>
      <c r="I7" s="7">
        <v>2</v>
      </c>
      <c r="J7" s="7">
        <v>1</v>
      </c>
      <c r="K7" s="7" t="s">
        <v>16</v>
      </c>
      <c r="L7" s="7" t="s">
        <v>16</v>
      </c>
      <c r="M7" s="7" t="s">
        <v>16</v>
      </c>
      <c r="N7" s="7">
        <v>3</v>
      </c>
      <c r="P7" s="11">
        <f>handsmoothed!B7^2</f>
        <v>4</v>
      </c>
      <c r="Q7" s="11">
        <f>handsmoothed!C7^2</f>
        <v>4</v>
      </c>
      <c r="R7" s="11">
        <f>handsmoothed!D7^2</f>
        <v>4</v>
      </c>
      <c r="S7" s="11">
        <f>handsmoothed!E7^2</f>
        <v>4</v>
      </c>
      <c r="T7" s="11">
        <f>handsmoothed!F7^2</f>
        <v>4</v>
      </c>
      <c r="U7" s="11">
        <f>handsmoothed!G7^2</f>
        <v>4</v>
      </c>
      <c r="V7" s="11">
        <f>handsmoothed!H7^2</f>
        <v>4</v>
      </c>
      <c r="W7" s="11">
        <f>handsmoothed!I7^2</f>
        <v>4</v>
      </c>
      <c r="X7" s="11">
        <f>handsmoothed!J7^2</f>
        <v>4</v>
      </c>
      <c r="Y7" s="11">
        <f>handsmoothed!K7^2</f>
        <v>4</v>
      </c>
      <c r="Z7" s="11">
        <f>handsmoothed!L7^2</f>
        <v>4</v>
      </c>
      <c r="AA7" s="11">
        <f>handsmoothed!M7^2</f>
        <v>9</v>
      </c>
      <c r="AB7" s="11">
        <f>handsmoothed!N7^2</f>
        <v>9</v>
      </c>
    </row>
    <row r="8" spans="1:28" x14ac:dyDescent="0.25">
      <c r="A8" s="12">
        <v>6</v>
      </c>
      <c r="B8" s="7" t="s">
        <v>16</v>
      </c>
      <c r="C8" s="7" t="s">
        <v>16</v>
      </c>
      <c r="D8" s="7">
        <v>1</v>
      </c>
      <c r="E8" s="7">
        <v>2</v>
      </c>
      <c r="F8" s="7">
        <v>1</v>
      </c>
      <c r="G8" s="7">
        <v>1</v>
      </c>
      <c r="H8" s="7" t="s">
        <v>16</v>
      </c>
      <c r="I8" s="7" t="s">
        <v>16</v>
      </c>
      <c r="J8" s="7" t="s">
        <v>16</v>
      </c>
      <c r="K8" s="7">
        <v>1</v>
      </c>
      <c r="L8" s="7" t="s">
        <v>16</v>
      </c>
      <c r="M8" s="7">
        <v>1</v>
      </c>
      <c r="N8" s="7">
        <v>2</v>
      </c>
      <c r="P8" s="11">
        <f>handsmoothed!B8^2</f>
        <v>4</v>
      </c>
      <c r="Q8" s="11">
        <f>handsmoothed!C8^2</f>
        <v>4</v>
      </c>
      <c r="R8" s="11">
        <f>handsmoothed!D8^2</f>
        <v>4</v>
      </c>
      <c r="S8" s="11">
        <f>handsmoothed!E8^2</f>
        <v>4</v>
      </c>
      <c r="T8" s="11">
        <f>handsmoothed!F8^2</f>
        <v>4</v>
      </c>
      <c r="U8" s="11">
        <f>handsmoothed!G8^2</f>
        <v>4</v>
      </c>
      <c r="V8" s="11">
        <f>handsmoothed!H8^2</f>
        <v>4</v>
      </c>
      <c r="W8" s="11">
        <f>handsmoothed!I8^2</f>
        <v>9</v>
      </c>
      <c r="X8" s="11">
        <f>handsmoothed!J8^2</f>
        <v>9</v>
      </c>
      <c r="Y8" s="11">
        <f>handsmoothed!K8^2</f>
        <v>9</v>
      </c>
      <c r="Z8" s="11">
        <f>handsmoothed!L8^2</f>
        <v>9</v>
      </c>
      <c r="AA8" s="11">
        <f>handsmoothed!M8^2</f>
        <v>9</v>
      </c>
      <c r="AB8" s="11">
        <f>handsmoothed!N8^2</f>
        <v>16</v>
      </c>
    </row>
    <row r="9" spans="1:28" x14ac:dyDescent="0.25">
      <c r="A9" s="12">
        <v>7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>
        <v>2</v>
      </c>
      <c r="K9" s="7" t="s">
        <v>16</v>
      </c>
      <c r="L9" s="7" t="s">
        <v>16</v>
      </c>
      <c r="M9" s="7" t="s">
        <v>16</v>
      </c>
      <c r="N9" s="7" t="s">
        <v>16</v>
      </c>
      <c r="P9" s="11">
        <f>handsmoothed!B9^2</f>
        <v>4</v>
      </c>
      <c r="Q9" s="11">
        <f>handsmoothed!C9^2</f>
        <v>4</v>
      </c>
      <c r="R9" s="11">
        <f>handsmoothed!D9^2</f>
        <v>4</v>
      </c>
      <c r="S9" s="11">
        <f>handsmoothed!E9^2</f>
        <v>4</v>
      </c>
      <c r="T9" s="11">
        <f>handsmoothed!F9^2</f>
        <v>9</v>
      </c>
      <c r="U9" s="11">
        <f>handsmoothed!G9^2</f>
        <v>9</v>
      </c>
      <c r="V9" s="11">
        <f>handsmoothed!H9^2</f>
        <v>9</v>
      </c>
      <c r="W9" s="11">
        <f>handsmoothed!I9^2</f>
        <v>9</v>
      </c>
      <c r="X9" s="11">
        <f>handsmoothed!J9^2</f>
        <v>9</v>
      </c>
      <c r="Y9" s="11">
        <f>handsmoothed!K9^2</f>
        <v>9</v>
      </c>
      <c r="Z9" s="11">
        <f>handsmoothed!L9^2</f>
        <v>9</v>
      </c>
      <c r="AA9" s="11">
        <f>handsmoothed!M9^2</f>
        <v>16</v>
      </c>
      <c r="AB9" s="11">
        <f>handsmoothed!N9^2</f>
        <v>16</v>
      </c>
    </row>
    <row r="10" spans="1:28" x14ac:dyDescent="0.25">
      <c r="A10" s="12">
        <v>8</v>
      </c>
      <c r="B10" s="7">
        <v>2</v>
      </c>
      <c r="C10" s="7">
        <v>1</v>
      </c>
      <c r="D10" s="7">
        <v>1</v>
      </c>
      <c r="E10" s="7" t="s">
        <v>16</v>
      </c>
      <c r="F10" s="7" t="s">
        <v>16</v>
      </c>
      <c r="G10" s="7">
        <v>1</v>
      </c>
      <c r="H10" s="7">
        <v>1</v>
      </c>
      <c r="I10" s="7" t="s">
        <v>16</v>
      </c>
      <c r="J10" s="7" t="s">
        <v>16</v>
      </c>
      <c r="K10" s="7">
        <v>1</v>
      </c>
      <c r="L10" s="7">
        <v>1</v>
      </c>
      <c r="M10" s="7">
        <v>3</v>
      </c>
      <c r="N10" s="7">
        <v>1</v>
      </c>
      <c r="P10" s="11">
        <f>handsmoothed!B10^2</f>
        <v>9</v>
      </c>
      <c r="Q10" s="11">
        <f>handsmoothed!C10^2</f>
        <v>9</v>
      </c>
      <c r="R10" s="11">
        <f>handsmoothed!D10^2</f>
        <v>9</v>
      </c>
      <c r="S10" s="11">
        <f>handsmoothed!E10^2</f>
        <v>9</v>
      </c>
      <c r="T10" s="11">
        <f>handsmoothed!F10^2</f>
        <v>9</v>
      </c>
      <c r="U10" s="11">
        <f>handsmoothed!G10^2</f>
        <v>9</v>
      </c>
      <c r="V10" s="11">
        <f>handsmoothed!H10^2</f>
        <v>9</v>
      </c>
      <c r="W10" s="11">
        <f>handsmoothed!I10^2</f>
        <v>9</v>
      </c>
      <c r="X10" s="11">
        <f>handsmoothed!J10^2</f>
        <v>9</v>
      </c>
      <c r="Y10" s="11">
        <f>handsmoothed!K10^2</f>
        <v>9</v>
      </c>
      <c r="Z10" s="11">
        <f>handsmoothed!L10^2</f>
        <v>16</v>
      </c>
      <c r="AA10" s="11">
        <f>handsmoothed!M10^2</f>
        <v>16</v>
      </c>
      <c r="AB10" s="11">
        <f>handsmoothed!N10^2</f>
        <v>25</v>
      </c>
    </row>
    <row r="11" spans="1:28" x14ac:dyDescent="0.25">
      <c r="A11" s="13">
        <v>9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7" t="s">
        <v>16</v>
      </c>
      <c r="P11" s="11">
        <f>handsmoothed!B11^2</f>
        <v>9</v>
      </c>
      <c r="Q11" s="11">
        <f>handsmoothed!C11^2</f>
        <v>9</v>
      </c>
      <c r="R11" s="11">
        <f>handsmoothed!D11^2</f>
        <v>9</v>
      </c>
      <c r="S11" s="11">
        <f>handsmoothed!E11^2</f>
        <v>9</v>
      </c>
      <c r="T11" s="11">
        <f>handsmoothed!F11^2</f>
        <v>9</v>
      </c>
      <c r="U11" s="11">
        <f>handsmoothed!G11^2</f>
        <v>9</v>
      </c>
      <c r="V11" s="11">
        <f>handsmoothed!H11^2</f>
        <v>9</v>
      </c>
      <c r="W11" s="11">
        <f>handsmoothed!I11^2</f>
        <v>9</v>
      </c>
      <c r="X11" s="11">
        <f>handsmoothed!J11^2</f>
        <v>16</v>
      </c>
      <c r="Y11" s="11">
        <f>handsmoothed!K11^2</f>
        <v>16</v>
      </c>
      <c r="Z11" s="11">
        <f>handsmoothed!L11^2</f>
        <v>16</v>
      </c>
      <c r="AA11" s="11">
        <f>handsmoothed!M11^2</f>
        <v>25</v>
      </c>
      <c r="AB11" s="11">
        <f>handsmoothed!N11^2</f>
        <v>25</v>
      </c>
    </row>
    <row r="12" spans="1:28" x14ac:dyDescent="0.25">
      <c r="A12" s="12">
        <v>10</v>
      </c>
      <c r="B12" s="7" t="s">
        <v>16</v>
      </c>
      <c r="C12" s="7" t="s">
        <v>16</v>
      </c>
      <c r="D12" s="7" t="s">
        <v>16</v>
      </c>
      <c r="E12" s="7" t="s">
        <v>16</v>
      </c>
      <c r="F12" s="7" t="s">
        <v>16</v>
      </c>
      <c r="G12" s="7" t="s">
        <v>16</v>
      </c>
      <c r="H12" s="7" t="s">
        <v>16</v>
      </c>
      <c r="I12" s="7" t="s">
        <v>16</v>
      </c>
      <c r="J12" s="7" t="s">
        <v>16</v>
      </c>
      <c r="K12" s="7" t="s">
        <v>16</v>
      </c>
      <c r="L12" s="7">
        <v>1</v>
      </c>
      <c r="M12" s="7">
        <v>1</v>
      </c>
      <c r="N12" s="7" t="s">
        <v>16</v>
      </c>
      <c r="P12" s="11">
        <f>handsmoothed!B12^2</f>
        <v>9</v>
      </c>
      <c r="Q12" s="11">
        <f>handsmoothed!C12^2</f>
        <v>9</v>
      </c>
      <c r="R12" s="11">
        <f>handsmoothed!D12^2</f>
        <v>9</v>
      </c>
      <c r="S12" s="11">
        <f>handsmoothed!E12^2</f>
        <v>9</v>
      </c>
      <c r="T12" s="11">
        <f>handsmoothed!F12^2</f>
        <v>9</v>
      </c>
      <c r="U12" s="11">
        <f>handsmoothed!G12^2</f>
        <v>9</v>
      </c>
      <c r="V12" s="11">
        <f>handsmoothed!H12^2</f>
        <v>9</v>
      </c>
      <c r="W12" s="11">
        <f>handsmoothed!I12^2</f>
        <v>16</v>
      </c>
      <c r="X12" s="11">
        <f>handsmoothed!J12^2</f>
        <v>16</v>
      </c>
      <c r="Y12" s="11">
        <f>handsmoothed!K12^2</f>
        <v>16</v>
      </c>
      <c r="Z12" s="11">
        <f>handsmoothed!L12^2</f>
        <v>25</v>
      </c>
      <c r="AA12" s="11">
        <f>handsmoothed!M12^2</f>
        <v>25</v>
      </c>
      <c r="AB12" s="11">
        <f>handsmoothed!N12^2</f>
        <v>36</v>
      </c>
    </row>
    <row r="13" spans="1:28" x14ac:dyDescent="0.25">
      <c r="A13" s="12">
        <v>11</v>
      </c>
      <c r="B13" s="7" t="s">
        <v>16</v>
      </c>
      <c r="C13" s="7" t="s">
        <v>16</v>
      </c>
      <c r="D13" s="7" t="s">
        <v>16</v>
      </c>
      <c r="E13" s="7" t="s">
        <v>16</v>
      </c>
      <c r="F13" s="7" t="s">
        <v>16</v>
      </c>
      <c r="G13" s="7">
        <v>1</v>
      </c>
      <c r="H13" s="7">
        <v>2</v>
      </c>
      <c r="I13" s="7" t="s">
        <v>16</v>
      </c>
      <c r="J13" s="7">
        <v>1</v>
      </c>
      <c r="K13" s="7" t="s">
        <v>16</v>
      </c>
      <c r="L13" s="7" t="s">
        <v>16</v>
      </c>
      <c r="M13" s="7">
        <v>1</v>
      </c>
      <c r="N13" s="7" t="s">
        <v>16</v>
      </c>
      <c r="P13" s="11">
        <f>handsmoothed!B13^2</f>
        <v>9</v>
      </c>
      <c r="Q13" s="11">
        <f>handsmoothed!C13^2</f>
        <v>9</v>
      </c>
      <c r="R13" s="11">
        <f>handsmoothed!D13^2</f>
        <v>9</v>
      </c>
      <c r="S13" s="11">
        <f>handsmoothed!E13^2</f>
        <v>16</v>
      </c>
      <c r="T13" s="11">
        <f>handsmoothed!F13^2</f>
        <v>16</v>
      </c>
      <c r="U13" s="11">
        <f>handsmoothed!G13^2</f>
        <v>16</v>
      </c>
      <c r="V13" s="11">
        <f>handsmoothed!H13^2</f>
        <v>16</v>
      </c>
      <c r="W13" s="11">
        <f>handsmoothed!I13^2</f>
        <v>16</v>
      </c>
      <c r="X13" s="11">
        <f>handsmoothed!J13^2</f>
        <v>16</v>
      </c>
      <c r="Y13" s="11">
        <f>handsmoothed!K13^2</f>
        <v>25</v>
      </c>
      <c r="Z13" s="11">
        <f>handsmoothed!L13^2</f>
        <v>25</v>
      </c>
      <c r="AA13" s="11">
        <f>handsmoothed!M13^2</f>
        <v>36</v>
      </c>
      <c r="AB13" s="11">
        <f>handsmoothed!N13^2</f>
        <v>36</v>
      </c>
    </row>
    <row r="14" spans="1:28" x14ac:dyDescent="0.25">
      <c r="A14" s="12">
        <v>12</v>
      </c>
      <c r="B14" s="7">
        <v>1</v>
      </c>
      <c r="C14" s="7">
        <v>5</v>
      </c>
      <c r="D14" s="7">
        <v>1</v>
      </c>
      <c r="E14" s="7">
        <v>1</v>
      </c>
      <c r="F14" s="7">
        <v>4</v>
      </c>
      <c r="G14" s="7" t="s">
        <v>16</v>
      </c>
      <c r="H14" s="7">
        <v>3</v>
      </c>
      <c r="I14" s="7">
        <v>3</v>
      </c>
      <c r="J14" s="7">
        <v>8</v>
      </c>
      <c r="K14" s="7">
        <v>4</v>
      </c>
      <c r="L14" s="7">
        <v>2</v>
      </c>
      <c r="M14" s="7">
        <v>4</v>
      </c>
      <c r="N14" s="7">
        <v>10</v>
      </c>
      <c r="P14" s="11">
        <f>handsmoothed!B14^2</f>
        <v>16</v>
      </c>
      <c r="Q14" s="11">
        <f>handsmoothed!C14^2</f>
        <v>16</v>
      </c>
      <c r="R14" s="11">
        <f>handsmoothed!D14^2</f>
        <v>16</v>
      </c>
      <c r="S14" s="11">
        <f>handsmoothed!E14^2</f>
        <v>16</v>
      </c>
      <c r="T14" s="11">
        <f>handsmoothed!F14^2</f>
        <v>16</v>
      </c>
      <c r="U14" s="11">
        <f>handsmoothed!G14^2</f>
        <v>16</v>
      </c>
      <c r="V14" s="11">
        <f>handsmoothed!H14^2</f>
        <v>16</v>
      </c>
      <c r="W14" s="11">
        <f>handsmoothed!I14^2</f>
        <v>16</v>
      </c>
      <c r="X14" s="11">
        <f>handsmoothed!J14^2</f>
        <v>25</v>
      </c>
      <c r="Y14" s="11">
        <f>handsmoothed!K14^2</f>
        <v>25</v>
      </c>
      <c r="Z14" s="11">
        <f>handsmoothed!L14^2</f>
        <v>25</v>
      </c>
      <c r="AA14" s="11">
        <f>handsmoothed!M14^2</f>
        <v>36</v>
      </c>
      <c r="AB14" s="11">
        <f>handsmoothed!N14^2</f>
        <v>49</v>
      </c>
    </row>
    <row r="15" spans="1:28" x14ac:dyDescent="0.25">
      <c r="A15" s="13">
        <v>13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7" t="s">
        <v>16</v>
      </c>
      <c r="P15" s="11">
        <f>handsmoothed!B15^2</f>
        <v>16</v>
      </c>
      <c r="Q15" s="11">
        <f>handsmoothed!C15^2</f>
        <v>16</v>
      </c>
      <c r="R15" s="11">
        <f>handsmoothed!D15^2</f>
        <v>16</v>
      </c>
      <c r="S15" s="11">
        <f>handsmoothed!E15^2</f>
        <v>16</v>
      </c>
      <c r="T15" s="11">
        <f>handsmoothed!F15^2</f>
        <v>16</v>
      </c>
      <c r="U15" s="11">
        <f>handsmoothed!G15^2</f>
        <v>16</v>
      </c>
      <c r="V15" s="11">
        <f>handsmoothed!H15^2</f>
        <v>16</v>
      </c>
      <c r="W15" s="11">
        <f>handsmoothed!I15^2</f>
        <v>25</v>
      </c>
      <c r="X15" s="11">
        <f>handsmoothed!J15^2</f>
        <v>25</v>
      </c>
      <c r="Y15" s="11">
        <f>handsmoothed!K15^2</f>
        <v>25</v>
      </c>
      <c r="Z15" s="11">
        <f>handsmoothed!L15^2</f>
        <v>36</v>
      </c>
      <c r="AA15" s="11">
        <f>handsmoothed!M15^2</f>
        <v>36</v>
      </c>
      <c r="AB15" s="11">
        <f>handsmoothed!N15^2</f>
        <v>49</v>
      </c>
    </row>
    <row r="16" spans="1:28" x14ac:dyDescent="0.25">
      <c r="A16" s="12">
        <v>14</v>
      </c>
      <c r="B16" s="7" t="s">
        <v>16</v>
      </c>
      <c r="C16" s="7" t="s">
        <v>16</v>
      </c>
      <c r="D16" s="7" t="s">
        <v>16</v>
      </c>
      <c r="E16" s="7" t="s">
        <v>16</v>
      </c>
      <c r="F16" s="7" t="s">
        <v>16</v>
      </c>
      <c r="G16" s="7" t="s">
        <v>16</v>
      </c>
      <c r="H16" s="7" t="s">
        <v>16</v>
      </c>
      <c r="I16" s="7" t="s">
        <v>16</v>
      </c>
      <c r="J16" s="7" t="s">
        <v>16</v>
      </c>
      <c r="K16" s="7" t="s">
        <v>16</v>
      </c>
      <c r="L16" s="7">
        <v>1</v>
      </c>
      <c r="M16" s="7">
        <v>2</v>
      </c>
      <c r="N16" s="7" t="s">
        <v>16</v>
      </c>
      <c r="P16" s="11">
        <f>handsmoothed!B16^2</f>
        <v>16</v>
      </c>
      <c r="Q16" s="11">
        <f>handsmoothed!C16^2</f>
        <v>16</v>
      </c>
      <c r="R16" s="11">
        <f>handsmoothed!D16^2</f>
        <v>16</v>
      </c>
      <c r="S16" s="11">
        <f>handsmoothed!E16^2</f>
        <v>16</v>
      </c>
      <c r="T16" s="11">
        <f>handsmoothed!F16^2</f>
        <v>16</v>
      </c>
      <c r="U16" s="11">
        <f>handsmoothed!G16^2</f>
        <v>25</v>
      </c>
      <c r="V16" s="11">
        <f>handsmoothed!H16^2</f>
        <v>25</v>
      </c>
      <c r="W16" s="11">
        <f>handsmoothed!I16^2</f>
        <v>25</v>
      </c>
      <c r="X16" s="11">
        <f>handsmoothed!J16^2</f>
        <v>25</v>
      </c>
      <c r="Y16" s="11">
        <f>handsmoothed!K16^2</f>
        <v>36</v>
      </c>
      <c r="Z16" s="11">
        <f>handsmoothed!L16^2</f>
        <v>36</v>
      </c>
      <c r="AA16" s="11">
        <f>handsmoothed!M16^2</f>
        <v>49</v>
      </c>
      <c r="AB16" s="11">
        <f>handsmoothed!N16^2</f>
        <v>64</v>
      </c>
    </row>
    <row r="17" spans="1:28" x14ac:dyDescent="0.25">
      <c r="A17" s="12">
        <v>15</v>
      </c>
      <c r="B17" s="7" t="s">
        <v>16</v>
      </c>
      <c r="C17" s="7" t="s">
        <v>16</v>
      </c>
      <c r="D17" s="7" t="s">
        <v>16</v>
      </c>
      <c r="E17" s="7" t="s">
        <v>16</v>
      </c>
      <c r="F17" s="7" t="s">
        <v>16</v>
      </c>
      <c r="G17" s="7" t="s">
        <v>16</v>
      </c>
      <c r="H17" s="7">
        <v>1</v>
      </c>
      <c r="I17" s="7">
        <v>1</v>
      </c>
      <c r="J17" s="7">
        <v>2</v>
      </c>
      <c r="K17" s="7" t="s">
        <v>16</v>
      </c>
      <c r="L17" s="7" t="s">
        <v>16</v>
      </c>
      <c r="M17" s="7">
        <v>1</v>
      </c>
      <c r="N17" s="7" t="s">
        <v>16</v>
      </c>
      <c r="P17" s="11">
        <f>handsmoothed!B17^2</f>
        <v>25</v>
      </c>
      <c r="Q17" s="11">
        <f>handsmoothed!C17^2</f>
        <v>25</v>
      </c>
      <c r="R17" s="11">
        <f>handsmoothed!D17^2</f>
        <v>25</v>
      </c>
      <c r="S17" s="11">
        <f>handsmoothed!E17^2</f>
        <v>25</v>
      </c>
      <c r="T17" s="11">
        <f>handsmoothed!F17^2</f>
        <v>25</v>
      </c>
      <c r="U17" s="11">
        <f>handsmoothed!G17^2</f>
        <v>25</v>
      </c>
      <c r="V17" s="11">
        <f>handsmoothed!H17^2</f>
        <v>25</v>
      </c>
      <c r="W17" s="11">
        <f>handsmoothed!I17^2</f>
        <v>25</v>
      </c>
      <c r="X17" s="11">
        <f>handsmoothed!J17^2</f>
        <v>36</v>
      </c>
      <c r="Y17" s="11">
        <f>handsmoothed!K17^2</f>
        <v>36</v>
      </c>
      <c r="Z17" s="11">
        <f>handsmoothed!L17^2</f>
        <v>36</v>
      </c>
      <c r="AA17" s="11">
        <f>handsmoothed!M17^2</f>
        <v>49</v>
      </c>
      <c r="AB17" s="11">
        <f>handsmoothed!N17^2</f>
        <v>64</v>
      </c>
    </row>
    <row r="18" spans="1:28" x14ac:dyDescent="0.25">
      <c r="A18" s="12">
        <v>16</v>
      </c>
      <c r="B18" s="7">
        <v>2</v>
      </c>
      <c r="C18" s="7">
        <v>1</v>
      </c>
      <c r="D18" s="7">
        <v>1</v>
      </c>
      <c r="E18" s="7">
        <v>3</v>
      </c>
      <c r="F18" s="7">
        <v>3</v>
      </c>
      <c r="G18" s="7">
        <v>2</v>
      </c>
      <c r="H18" s="7">
        <v>5</v>
      </c>
      <c r="I18" s="7">
        <v>11</v>
      </c>
      <c r="J18" s="7">
        <v>10</v>
      </c>
      <c r="K18" s="7">
        <v>4</v>
      </c>
      <c r="L18" s="7">
        <v>10</v>
      </c>
      <c r="M18" s="7">
        <v>15</v>
      </c>
      <c r="N18" s="7">
        <v>8</v>
      </c>
      <c r="P18" s="11">
        <f>handsmoothed!B18^2</f>
        <v>25</v>
      </c>
      <c r="Q18" s="11">
        <f>handsmoothed!C18^2</f>
        <v>25</v>
      </c>
      <c r="R18" s="11">
        <f>handsmoothed!D18^2</f>
        <v>25</v>
      </c>
      <c r="S18" s="11">
        <f>handsmoothed!E18^2</f>
        <v>25</v>
      </c>
      <c r="T18" s="11">
        <f>handsmoothed!F18^2</f>
        <v>25</v>
      </c>
      <c r="U18" s="11">
        <f>handsmoothed!G18^2</f>
        <v>25</v>
      </c>
      <c r="V18" s="11">
        <f>handsmoothed!H18^2</f>
        <v>25</v>
      </c>
      <c r="W18" s="11">
        <f>handsmoothed!I18^2</f>
        <v>36</v>
      </c>
      <c r="X18" s="11">
        <f>handsmoothed!J18^2</f>
        <v>36</v>
      </c>
      <c r="Y18" s="11">
        <f>handsmoothed!K18^2</f>
        <v>36</v>
      </c>
      <c r="Z18" s="11">
        <f>handsmoothed!L18^2</f>
        <v>49</v>
      </c>
      <c r="AA18" s="11">
        <f>handsmoothed!M18^2</f>
        <v>49</v>
      </c>
      <c r="AB18" s="11">
        <f>handsmoothed!N18^2</f>
        <v>64</v>
      </c>
    </row>
    <row r="19" spans="1:28" x14ac:dyDescent="0.25">
      <c r="A19" s="12">
        <v>17</v>
      </c>
      <c r="B19" s="7" t="s">
        <v>16</v>
      </c>
      <c r="C19" s="7" t="s">
        <v>16</v>
      </c>
      <c r="D19" s="7" t="s">
        <v>16</v>
      </c>
      <c r="E19" s="7" t="s">
        <v>16</v>
      </c>
      <c r="F19" s="7" t="s">
        <v>16</v>
      </c>
      <c r="G19" s="7" t="s">
        <v>16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>
        <v>1</v>
      </c>
      <c r="N19" s="7" t="s">
        <v>16</v>
      </c>
      <c r="P19" s="11">
        <f>handsmoothed!B19^2</f>
        <v>25</v>
      </c>
      <c r="Q19" s="11">
        <f>handsmoothed!C19^2</f>
        <v>25</v>
      </c>
      <c r="R19" s="11">
        <f>handsmoothed!D19^2</f>
        <v>25</v>
      </c>
      <c r="S19" s="11">
        <f>handsmoothed!E19^2</f>
        <v>25</v>
      </c>
      <c r="T19" s="11">
        <f>handsmoothed!F19^2</f>
        <v>25</v>
      </c>
      <c r="U19" s="11">
        <f>handsmoothed!G19^2</f>
        <v>25</v>
      </c>
      <c r="V19" s="11">
        <f>handsmoothed!H19^2</f>
        <v>25</v>
      </c>
      <c r="W19" s="11">
        <f>handsmoothed!I19^2</f>
        <v>36</v>
      </c>
      <c r="X19" s="11">
        <f>handsmoothed!J19^2</f>
        <v>36</v>
      </c>
      <c r="Y19" s="11">
        <f>handsmoothed!K19^2</f>
        <v>49</v>
      </c>
      <c r="Z19" s="11">
        <f>handsmoothed!L19^2</f>
        <v>49</v>
      </c>
      <c r="AA19" s="11">
        <f>handsmoothed!M19^2</f>
        <v>64</v>
      </c>
      <c r="AB19" s="11">
        <f>handsmoothed!N19^2</f>
        <v>81</v>
      </c>
    </row>
    <row r="20" spans="1:28" x14ac:dyDescent="0.25">
      <c r="A20" s="12">
        <v>18</v>
      </c>
      <c r="B20" s="7" t="s">
        <v>16</v>
      </c>
      <c r="C20" s="7" t="s">
        <v>16</v>
      </c>
      <c r="D20" s="7" t="s">
        <v>16</v>
      </c>
      <c r="E20" s="7" t="s">
        <v>16</v>
      </c>
      <c r="F20" s="7">
        <v>1</v>
      </c>
      <c r="G20" s="7">
        <v>1</v>
      </c>
      <c r="H20" s="7" t="s">
        <v>16</v>
      </c>
      <c r="I20" s="7">
        <v>1</v>
      </c>
      <c r="J20" s="7">
        <v>1</v>
      </c>
      <c r="K20" s="7" t="s">
        <v>16</v>
      </c>
      <c r="L20" s="7" t="s">
        <v>16</v>
      </c>
      <c r="M20" s="7" t="s">
        <v>16</v>
      </c>
      <c r="N20" s="7">
        <v>3</v>
      </c>
      <c r="P20" s="11">
        <f>handsmoothed!B20^2</f>
        <v>25</v>
      </c>
      <c r="Q20" s="11">
        <f>handsmoothed!C20^2</f>
        <v>25</v>
      </c>
      <c r="R20" s="11">
        <f>handsmoothed!D20^2</f>
        <v>25</v>
      </c>
      <c r="S20" s="11">
        <f>handsmoothed!E20^2</f>
        <v>25</v>
      </c>
      <c r="T20" s="11">
        <f>handsmoothed!F20^2</f>
        <v>25</v>
      </c>
      <c r="U20" s="11">
        <f>handsmoothed!G20^2</f>
        <v>36</v>
      </c>
      <c r="V20" s="11">
        <f>handsmoothed!H20^2</f>
        <v>36</v>
      </c>
      <c r="W20" s="11">
        <f>handsmoothed!I20^2</f>
        <v>36</v>
      </c>
      <c r="X20" s="11">
        <f>handsmoothed!J20^2</f>
        <v>49</v>
      </c>
      <c r="Y20" s="11">
        <f>handsmoothed!K20^2</f>
        <v>49</v>
      </c>
      <c r="Z20" s="11">
        <f>handsmoothed!L20^2</f>
        <v>49</v>
      </c>
      <c r="AA20" s="11">
        <f>handsmoothed!M20^2</f>
        <v>64</v>
      </c>
      <c r="AB20" s="11">
        <f>handsmoothed!N20^2</f>
        <v>81</v>
      </c>
    </row>
    <row r="21" spans="1:28" x14ac:dyDescent="0.25">
      <c r="A21" s="12">
        <v>19</v>
      </c>
      <c r="B21" s="7">
        <v>2</v>
      </c>
      <c r="C21" s="7">
        <v>1</v>
      </c>
      <c r="D21" s="7">
        <v>1</v>
      </c>
      <c r="E21" s="7">
        <v>1</v>
      </c>
      <c r="F21" s="7" t="s">
        <v>16</v>
      </c>
      <c r="G21" s="7" t="s">
        <v>16</v>
      </c>
      <c r="H21" s="7">
        <v>1</v>
      </c>
      <c r="I21" s="7">
        <v>1</v>
      </c>
      <c r="J21" s="7" t="s">
        <v>16</v>
      </c>
      <c r="K21" s="7" t="s">
        <v>16</v>
      </c>
      <c r="L21" s="7">
        <v>1</v>
      </c>
      <c r="M21" s="7" t="s">
        <v>16</v>
      </c>
      <c r="N21" s="7">
        <v>2</v>
      </c>
      <c r="P21" s="11">
        <f>handsmoothed!B21^2</f>
        <v>36</v>
      </c>
      <c r="Q21" s="11">
        <f>handsmoothed!C21^2</f>
        <v>36</v>
      </c>
      <c r="R21" s="11">
        <f>handsmoothed!D21^2</f>
        <v>36</v>
      </c>
      <c r="S21" s="11">
        <f>handsmoothed!E21^2</f>
        <v>36</v>
      </c>
      <c r="T21" s="11">
        <f>handsmoothed!F21^2</f>
        <v>36</v>
      </c>
      <c r="U21" s="11">
        <f>handsmoothed!G21^2</f>
        <v>36</v>
      </c>
      <c r="V21" s="11">
        <f>handsmoothed!H21^2</f>
        <v>36</v>
      </c>
      <c r="W21" s="11">
        <f>handsmoothed!I21^2</f>
        <v>49</v>
      </c>
      <c r="X21" s="11">
        <f>handsmoothed!J21^2</f>
        <v>49</v>
      </c>
      <c r="Y21" s="11">
        <f>handsmoothed!K21^2</f>
        <v>49</v>
      </c>
      <c r="Z21" s="11">
        <f>handsmoothed!L21^2</f>
        <v>64</v>
      </c>
      <c r="AA21" s="11">
        <f>handsmoothed!M21^2</f>
        <v>81</v>
      </c>
      <c r="AB21" s="11">
        <f>handsmoothed!N21^2</f>
        <v>100</v>
      </c>
    </row>
    <row r="22" spans="1:28" x14ac:dyDescent="0.25">
      <c r="A22" s="12">
        <v>20</v>
      </c>
      <c r="B22" s="7">
        <v>11</v>
      </c>
      <c r="C22" s="7">
        <v>12</v>
      </c>
      <c r="D22" s="7">
        <v>8</v>
      </c>
      <c r="E22" s="7">
        <v>13</v>
      </c>
      <c r="F22" s="7">
        <v>4</v>
      </c>
      <c r="G22" s="7">
        <v>17</v>
      </c>
      <c r="H22" s="7">
        <v>11</v>
      </c>
      <c r="I22" s="7">
        <v>18</v>
      </c>
      <c r="J22" s="7">
        <v>26</v>
      </c>
      <c r="K22" s="7">
        <v>19</v>
      </c>
      <c r="L22" s="7">
        <v>20</v>
      </c>
      <c r="M22" s="7">
        <v>27</v>
      </c>
      <c r="N22" s="7">
        <v>23</v>
      </c>
      <c r="P22" s="11">
        <f>handsmoothed!B22^2</f>
        <v>36</v>
      </c>
      <c r="Q22" s="11">
        <f>handsmoothed!C22^2</f>
        <v>36</v>
      </c>
      <c r="R22" s="11">
        <f>handsmoothed!D22^2</f>
        <v>36</v>
      </c>
      <c r="S22" s="11">
        <f>handsmoothed!E22^2</f>
        <v>36</v>
      </c>
      <c r="T22" s="11">
        <f>handsmoothed!F22^2</f>
        <v>36</v>
      </c>
      <c r="U22" s="11">
        <f>handsmoothed!G22^2</f>
        <v>36</v>
      </c>
      <c r="V22" s="11">
        <f>handsmoothed!H22^2</f>
        <v>36</v>
      </c>
      <c r="W22" s="11">
        <f>handsmoothed!I22^2</f>
        <v>49</v>
      </c>
      <c r="X22" s="11">
        <f>handsmoothed!J22^2</f>
        <v>49</v>
      </c>
      <c r="Y22" s="11">
        <f>handsmoothed!K22^2</f>
        <v>64</v>
      </c>
      <c r="Z22" s="11">
        <f>handsmoothed!L22^2</f>
        <v>64</v>
      </c>
      <c r="AA22" s="11">
        <f>handsmoothed!M22^2</f>
        <v>81</v>
      </c>
      <c r="AB22" s="11">
        <f>handsmoothed!N22^2</f>
        <v>100</v>
      </c>
    </row>
    <row r="23" spans="1:28" x14ac:dyDescent="0.25">
      <c r="A23" s="12">
        <v>21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7" t="s">
        <v>16</v>
      </c>
      <c r="H23" s="7" t="s">
        <v>16</v>
      </c>
      <c r="I23" s="7" t="s">
        <v>16</v>
      </c>
      <c r="J23" s="7">
        <v>1</v>
      </c>
      <c r="K23" s="7" t="s">
        <v>16</v>
      </c>
      <c r="L23" s="7" t="s">
        <v>16</v>
      </c>
      <c r="M23" s="7">
        <v>1</v>
      </c>
      <c r="N23" s="7">
        <v>1</v>
      </c>
      <c r="P23" s="11">
        <f>handsmoothed!B23^2</f>
        <v>36</v>
      </c>
      <c r="Q23" s="11">
        <f>handsmoothed!C23^2</f>
        <v>36</v>
      </c>
      <c r="R23" s="11">
        <f>handsmoothed!D23^2</f>
        <v>36</v>
      </c>
      <c r="S23" s="11">
        <f>handsmoothed!E23^2</f>
        <v>36</v>
      </c>
      <c r="T23" s="11">
        <f>handsmoothed!F23^2</f>
        <v>36</v>
      </c>
      <c r="U23" s="11">
        <f>handsmoothed!G23^2</f>
        <v>36</v>
      </c>
      <c r="V23" s="11">
        <f>handsmoothed!H23^2</f>
        <v>49</v>
      </c>
      <c r="W23" s="11">
        <f>handsmoothed!I23^2</f>
        <v>49</v>
      </c>
      <c r="X23" s="11">
        <f>handsmoothed!J23^2</f>
        <v>64</v>
      </c>
      <c r="Y23" s="11">
        <f>handsmoothed!K23^2</f>
        <v>64</v>
      </c>
      <c r="Z23" s="11">
        <f>handsmoothed!L23^2</f>
        <v>81</v>
      </c>
      <c r="AA23" s="11">
        <f>handsmoothed!M23^2</f>
        <v>100</v>
      </c>
      <c r="AB23" s="11">
        <f>handsmoothed!N23^2</f>
        <v>121</v>
      </c>
    </row>
    <row r="24" spans="1:28" x14ac:dyDescent="0.25">
      <c r="A24" s="12">
        <v>22</v>
      </c>
      <c r="B24" s="7" t="s">
        <v>16</v>
      </c>
      <c r="C24" s="7" t="s">
        <v>16</v>
      </c>
      <c r="D24" s="7" t="s">
        <v>16</v>
      </c>
      <c r="E24" s="7" t="s">
        <v>16</v>
      </c>
      <c r="F24" s="7" t="s">
        <v>16</v>
      </c>
      <c r="G24" s="7" t="s">
        <v>16</v>
      </c>
      <c r="H24" s="7" t="s">
        <v>16</v>
      </c>
      <c r="I24" s="7" t="s">
        <v>16</v>
      </c>
      <c r="J24" s="7">
        <v>2</v>
      </c>
      <c r="K24" s="7" t="s">
        <v>16</v>
      </c>
      <c r="L24" s="7" t="s">
        <v>16</v>
      </c>
      <c r="M24" s="7" t="s">
        <v>16</v>
      </c>
      <c r="N24" s="7" t="s">
        <v>16</v>
      </c>
      <c r="P24" s="11">
        <f>handsmoothed!B24^2</f>
        <v>36</v>
      </c>
      <c r="Q24" s="11">
        <f>handsmoothed!C24^2</f>
        <v>36</v>
      </c>
      <c r="R24" s="11">
        <f>handsmoothed!D24^2</f>
        <v>36</v>
      </c>
      <c r="S24" s="11">
        <f>handsmoothed!E24^2</f>
        <v>36</v>
      </c>
      <c r="T24" s="11">
        <f>handsmoothed!F24^2</f>
        <v>36</v>
      </c>
      <c r="U24" s="11">
        <f>handsmoothed!G24^2</f>
        <v>49</v>
      </c>
      <c r="V24" s="11">
        <f>handsmoothed!H24^2</f>
        <v>49</v>
      </c>
      <c r="W24" s="11">
        <f>handsmoothed!I24^2</f>
        <v>49</v>
      </c>
      <c r="X24" s="11">
        <f>handsmoothed!J24^2</f>
        <v>64</v>
      </c>
      <c r="Y24" s="11">
        <f>handsmoothed!K24^2</f>
        <v>81</v>
      </c>
      <c r="Z24" s="11">
        <f>handsmoothed!L24^2</f>
        <v>81</v>
      </c>
      <c r="AA24" s="11">
        <f>handsmoothed!M24^2</f>
        <v>100</v>
      </c>
      <c r="AB24" s="11">
        <f>handsmoothed!N24^2</f>
        <v>121</v>
      </c>
    </row>
    <row r="25" spans="1:28" x14ac:dyDescent="0.25">
      <c r="A25" s="12">
        <v>23</v>
      </c>
      <c r="B25" s="7">
        <v>1</v>
      </c>
      <c r="C25" s="7" t="s">
        <v>16</v>
      </c>
      <c r="D25" s="7" t="s">
        <v>16</v>
      </c>
      <c r="E25" s="7" t="s">
        <v>16</v>
      </c>
      <c r="F25" s="7" t="s">
        <v>16</v>
      </c>
      <c r="G25" s="7" t="s">
        <v>16</v>
      </c>
      <c r="H25" s="7" t="s">
        <v>16</v>
      </c>
      <c r="I25" s="7">
        <v>3</v>
      </c>
      <c r="J25" s="7">
        <v>1</v>
      </c>
      <c r="K25" s="7" t="s">
        <v>16</v>
      </c>
      <c r="L25" s="7">
        <v>1</v>
      </c>
      <c r="M25" s="7">
        <v>3</v>
      </c>
      <c r="N25" s="7">
        <v>1</v>
      </c>
      <c r="P25" s="11">
        <f>handsmoothed!B25^2</f>
        <v>36</v>
      </c>
      <c r="Q25" s="11">
        <f>handsmoothed!C25^2</f>
        <v>36</v>
      </c>
      <c r="R25" s="11">
        <f>handsmoothed!D25^2</f>
        <v>36</v>
      </c>
      <c r="S25" s="11">
        <f>handsmoothed!E25^2</f>
        <v>36</v>
      </c>
      <c r="T25" s="11">
        <f>handsmoothed!F25^2</f>
        <v>49</v>
      </c>
      <c r="U25" s="11">
        <f>handsmoothed!G25^2</f>
        <v>49</v>
      </c>
      <c r="V25" s="11">
        <f>handsmoothed!H25^2</f>
        <v>49</v>
      </c>
      <c r="W25" s="11">
        <f>handsmoothed!I25^2</f>
        <v>64</v>
      </c>
      <c r="X25" s="11">
        <f>handsmoothed!J25^2</f>
        <v>64</v>
      </c>
      <c r="Y25" s="11">
        <f>handsmoothed!K25^2</f>
        <v>81</v>
      </c>
      <c r="Z25" s="11">
        <f>handsmoothed!L25^2</f>
        <v>100</v>
      </c>
      <c r="AA25" s="11">
        <f>handsmoothed!M25^2</f>
        <v>100</v>
      </c>
      <c r="AB25" s="11">
        <f>handsmoothed!N25^2</f>
        <v>121</v>
      </c>
    </row>
    <row r="26" spans="1:28" x14ac:dyDescent="0.25">
      <c r="A26" s="12">
        <v>24</v>
      </c>
      <c r="B26" s="7">
        <v>21</v>
      </c>
      <c r="C26" s="7">
        <v>17</v>
      </c>
      <c r="D26" s="7">
        <v>13</v>
      </c>
      <c r="E26" s="7">
        <v>10</v>
      </c>
      <c r="F26" s="7">
        <v>12</v>
      </c>
      <c r="G26" s="7">
        <v>17</v>
      </c>
      <c r="H26" s="7">
        <v>18</v>
      </c>
      <c r="I26" s="7">
        <v>25</v>
      </c>
      <c r="J26" s="7">
        <v>26</v>
      </c>
      <c r="K26" s="7">
        <v>26</v>
      </c>
      <c r="L26" s="7">
        <v>22</v>
      </c>
      <c r="M26" s="7">
        <v>17</v>
      </c>
      <c r="N26" s="7">
        <v>12</v>
      </c>
      <c r="P26" s="11">
        <f>handsmoothed!B26^2</f>
        <v>49</v>
      </c>
      <c r="Q26" s="11">
        <f>handsmoothed!C26^2</f>
        <v>49</v>
      </c>
      <c r="R26" s="11">
        <f>handsmoothed!D26^2</f>
        <v>49</v>
      </c>
      <c r="S26" s="11">
        <f>handsmoothed!E26^2</f>
        <v>49</v>
      </c>
      <c r="T26" s="11">
        <f>handsmoothed!F26^2</f>
        <v>49</v>
      </c>
      <c r="U26" s="11">
        <f>handsmoothed!G26^2</f>
        <v>49</v>
      </c>
      <c r="V26" s="11">
        <f>handsmoothed!H26^2</f>
        <v>49</v>
      </c>
      <c r="W26" s="11">
        <f>handsmoothed!I26^2</f>
        <v>64</v>
      </c>
      <c r="X26" s="11">
        <f>handsmoothed!J26^2</f>
        <v>81</v>
      </c>
      <c r="Y26" s="11">
        <f>handsmoothed!K26^2</f>
        <v>81</v>
      </c>
      <c r="Z26" s="11">
        <f>handsmoothed!L26^2</f>
        <v>100</v>
      </c>
      <c r="AA26" s="11">
        <f>handsmoothed!M26^2</f>
        <v>121</v>
      </c>
      <c r="AB26" s="11">
        <f>handsmoothed!N26^2</f>
        <v>144</v>
      </c>
    </row>
    <row r="27" spans="1:28" x14ac:dyDescent="0.25">
      <c r="A27" s="12">
        <v>25</v>
      </c>
      <c r="B27" s="7">
        <v>2</v>
      </c>
      <c r="C27" s="7" t="s">
        <v>16</v>
      </c>
      <c r="D27" s="7">
        <v>1</v>
      </c>
      <c r="E27" s="7">
        <v>3</v>
      </c>
      <c r="F27" s="7">
        <v>1</v>
      </c>
      <c r="G27" s="7">
        <v>1</v>
      </c>
      <c r="H27" s="7">
        <v>2</v>
      </c>
      <c r="I27" s="7">
        <v>3</v>
      </c>
      <c r="J27" s="7">
        <v>1</v>
      </c>
      <c r="K27" s="7" t="s">
        <v>16</v>
      </c>
      <c r="L27" s="7">
        <v>2</v>
      </c>
      <c r="M27" s="7">
        <v>1</v>
      </c>
      <c r="N27" s="7">
        <v>3</v>
      </c>
      <c r="P27" s="11">
        <f>handsmoothed!B27^2</f>
        <v>49</v>
      </c>
      <c r="Q27" s="11">
        <f>handsmoothed!C27^2</f>
        <v>49</v>
      </c>
      <c r="R27" s="11">
        <f>handsmoothed!D27^2</f>
        <v>49</v>
      </c>
      <c r="S27" s="11">
        <f>handsmoothed!E27^2</f>
        <v>49</v>
      </c>
      <c r="T27" s="11">
        <f>handsmoothed!F27^2</f>
        <v>49</v>
      </c>
      <c r="U27" s="11">
        <f>handsmoothed!G27^2</f>
        <v>49</v>
      </c>
      <c r="V27" s="11">
        <f>handsmoothed!H27^2</f>
        <v>64</v>
      </c>
      <c r="W27" s="11">
        <f>handsmoothed!I27^2</f>
        <v>64</v>
      </c>
      <c r="X27" s="11">
        <f>handsmoothed!J27^2</f>
        <v>81</v>
      </c>
      <c r="Y27" s="11">
        <f>handsmoothed!K27^2</f>
        <v>100</v>
      </c>
      <c r="Z27" s="11">
        <f>handsmoothed!L27^2</f>
        <v>100</v>
      </c>
      <c r="AA27" s="11">
        <f>handsmoothed!M27^2</f>
        <v>121</v>
      </c>
      <c r="AB27" s="11">
        <f>handsmoothed!N27^2</f>
        <v>144</v>
      </c>
    </row>
    <row r="28" spans="1:28" x14ac:dyDescent="0.25">
      <c r="A28" s="12">
        <v>26</v>
      </c>
      <c r="B28" s="7">
        <v>1</v>
      </c>
      <c r="C28" s="7">
        <v>1</v>
      </c>
      <c r="D28" s="7" t="s">
        <v>16</v>
      </c>
      <c r="E28" s="7">
        <v>1</v>
      </c>
      <c r="F28" s="7" t="s">
        <v>16</v>
      </c>
      <c r="G28" s="7">
        <v>1</v>
      </c>
      <c r="H28" s="7">
        <v>2</v>
      </c>
      <c r="I28" s="7">
        <v>1</v>
      </c>
      <c r="J28" s="7">
        <v>1</v>
      </c>
      <c r="K28" s="7" t="s">
        <v>16</v>
      </c>
      <c r="L28" s="7">
        <v>1</v>
      </c>
      <c r="M28" s="7" t="s">
        <v>16</v>
      </c>
      <c r="N28" s="7" t="s">
        <v>16</v>
      </c>
      <c r="P28" s="11">
        <f>handsmoothed!B28^2</f>
        <v>49</v>
      </c>
      <c r="Q28" s="11">
        <f>handsmoothed!C28^2</f>
        <v>49</v>
      </c>
      <c r="R28" s="11">
        <f>handsmoothed!D28^2</f>
        <v>49</v>
      </c>
      <c r="S28" s="11">
        <f>handsmoothed!E28^2</f>
        <v>49</v>
      </c>
      <c r="T28" s="11">
        <f>handsmoothed!F28^2</f>
        <v>49</v>
      </c>
      <c r="U28" s="11">
        <f>handsmoothed!G28^2</f>
        <v>64</v>
      </c>
      <c r="V28" s="11">
        <f>handsmoothed!H28^2</f>
        <v>64</v>
      </c>
      <c r="W28" s="11">
        <f>handsmoothed!I28^2</f>
        <v>81</v>
      </c>
      <c r="X28" s="11">
        <f>handsmoothed!J28^2</f>
        <v>81</v>
      </c>
      <c r="Y28" s="11">
        <f>handsmoothed!K28^2</f>
        <v>100</v>
      </c>
      <c r="Z28" s="11">
        <f>handsmoothed!L28^2</f>
        <v>121</v>
      </c>
      <c r="AA28" s="11">
        <f>handsmoothed!M28^2</f>
        <v>121</v>
      </c>
      <c r="AB28" s="11">
        <f>handsmoothed!N28^2</f>
        <v>144</v>
      </c>
    </row>
    <row r="29" spans="1:28" x14ac:dyDescent="0.25">
      <c r="A29" s="12">
        <v>27</v>
      </c>
      <c r="B29" s="7">
        <v>1</v>
      </c>
      <c r="C29" s="7" t="s">
        <v>16</v>
      </c>
      <c r="D29" s="7" t="s">
        <v>16</v>
      </c>
      <c r="E29" s="7" t="s">
        <v>16</v>
      </c>
      <c r="F29" s="7">
        <v>1</v>
      </c>
      <c r="G29" s="7" t="s">
        <v>16</v>
      </c>
      <c r="H29" s="7">
        <v>2</v>
      </c>
      <c r="I29" s="7">
        <v>1</v>
      </c>
      <c r="J29" s="7" t="s">
        <v>16</v>
      </c>
      <c r="K29" s="7" t="s">
        <v>16</v>
      </c>
      <c r="L29" s="7" t="s">
        <v>16</v>
      </c>
      <c r="M29" s="7" t="s">
        <v>16</v>
      </c>
      <c r="N29" s="7" t="s">
        <v>16</v>
      </c>
      <c r="P29" s="11">
        <f>handsmoothed!B29^2</f>
        <v>49</v>
      </c>
      <c r="Q29" s="11">
        <f>handsmoothed!C29^2</f>
        <v>49</v>
      </c>
      <c r="R29" s="11">
        <f>handsmoothed!D29^2</f>
        <v>49</v>
      </c>
      <c r="S29" s="11">
        <f>handsmoothed!E29^2</f>
        <v>49</v>
      </c>
      <c r="T29" s="11">
        <f>handsmoothed!F29^2</f>
        <v>49</v>
      </c>
      <c r="U29" s="11">
        <f>handsmoothed!G29^2</f>
        <v>64</v>
      </c>
      <c r="V29" s="11">
        <f>handsmoothed!H29^2</f>
        <v>64</v>
      </c>
      <c r="W29" s="11">
        <f>handsmoothed!I29^2</f>
        <v>81</v>
      </c>
      <c r="X29" s="11">
        <f>handsmoothed!J29^2</f>
        <v>100</v>
      </c>
      <c r="Y29" s="11">
        <f>handsmoothed!K29^2</f>
        <v>100</v>
      </c>
      <c r="Z29" s="11">
        <f>handsmoothed!L29^2</f>
        <v>121</v>
      </c>
      <c r="AA29" s="11">
        <f>handsmoothed!M29^2</f>
        <v>144</v>
      </c>
      <c r="AB29" s="11">
        <f>handsmoothed!N29^2</f>
        <v>169</v>
      </c>
    </row>
    <row r="30" spans="1:28" x14ac:dyDescent="0.25">
      <c r="A30" s="12">
        <v>28</v>
      </c>
      <c r="B30" s="7">
        <v>9</v>
      </c>
      <c r="C30" s="7">
        <v>8</v>
      </c>
      <c r="D30" s="7">
        <v>9</v>
      </c>
      <c r="E30" s="7">
        <v>13</v>
      </c>
      <c r="F30" s="7">
        <v>11</v>
      </c>
      <c r="G30" s="7">
        <v>24</v>
      </c>
      <c r="H30" s="7">
        <v>13</v>
      </c>
      <c r="I30" s="7">
        <v>19</v>
      </c>
      <c r="J30" s="7">
        <v>16</v>
      </c>
      <c r="K30" s="7">
        <v>9</v>
      </c>
      <c r="L30" s="7">
        <v>8</v>
      </c>
      <c r="M30" s="7">
        <v>3</v>
      </c>
      <c r="N30" s="7">
        <v>6</v>
      </c>
      <c r="P30" s="11">
        <f>handsmoothed!B30^2</f>
        <v>49</v>
      </c>
      <c r="Q30" s="11">
        <f>handsmoothed!C30^2</f>
        <v>49</v>
      </c>
      <c r="R30" s="11">
        <f>handsmoothed!D30^2</f>
        <v>49</v>
      </c>
      <c r="S30" s="11">
        <f>handsmoothed!E30^2</f>
        <v>64</v>
      </c>
      <c r="T30" s="11">
        <f>handsmoothed!F30^2</f>
        <v>64</v>
      </c>
      <c r="U30" s="11">
        <f>handsmoothed!G30^2</f>
        <v>64</v>
      </c>
      <c r="V30" s="11">
        <f>handsmoothed!H30^2</f>
        <v>64</v>
      </c>
      <c r="W30" s="11">
        <f>handsmoothed!I30^2</f>
        <v>81</v>
      </c>
      <c r="X30" s="11">
        <f>handsmoothed!J30^2</f>
        <v>100</v>
      </c>
      <c r="Y30" s="11">
        <f>handsmoothed!K30^2</f>
        <v>100</v>
      </c>
      <c r="Z30" s="11">
        <f>handsmoothed!L30^2</f>
        <v>121</v>
      </c>
      <c r="AA30" s="11">
        <f>handsmoothed!M30^2</f>
        <v>144</v>
      </c>
      <c r="AB30" s="11">
        <f>handsmoothed!N30^2</f>
        <v>169</v>
      </c>
    </row>
    <row r="31" spans="1:28" x14ac:dyDescent="0.25">
      <c r="A31" s="12">
        <v>29</v>
      </c>
      <c r="B31" s="7">
        <v>8</v>
      </c>
      <c r="C31" s="7">
        <v>6</v>
      </c>
      <c r="D31" s="7">
        <v>6</v>
      </c>
      <c r="E31" s="7">
        <v>4</v>
      </c>
      <c r="F31" s="7">
        <v>10</v>
      </c>
      <c r="G31" s="7">
        <v>4</v>
      </c>
      <c r="H31" s="7">
        <v>7</v>
      </c>
      <c r="I31" s="7">
        <v>9</v>
      </c>
      <c r="J31" s="7">
        <v>9</v>
      </c>
      <c r="K31" s="7">
        <v>8</v>
      </c>
      <c r="L31" s="7">
        <v>1</v>
      </c>
      <c r="M31" s="7" t="s">
        <v>16</v>
      </c>
      <c r="N31" s="7">
        <v>7</v>
      </c>
      <c r="P31" s="11">
        <f>handsmoothed!B31^2</f>
        <v>64</v>
      </c>
      <c r="Q31" s="11">
        <f>handsmoothed!C31^2</f>
        <v>64</v>
      </c>
      <c r="R31" s="11">
        <f>handsmoothed!D31^2</f>
        <v>64</v>
      </c>
      <c r="S31" s="11">
        <f>handsmoothed!E31^2</f>
        <v>64</v>
      </c>
      <c r="T31" s="11">
        <f>handsmoothed!F31^2</f>
        <v>64</v>
      </c>
      <c r="U31" s="11">
        <f>handsmoothed!G31^2</f>
        <v>64</v>
      </c>
      <c r="V31" s="11">
        <f>handsmoothed!H31^2</f>
        <v>81</v>
      </c>
      <c r="W31" s="11">
        <f>handsmoothed!I31^2</f>
        <v>81</v>
      </c>
      <c r="X31" s="11">
        <f>handsmoothed!J31^2</f>
        <v>100</v>
      </c>
      <c r="Y31" s="11">
        <f>handsmoothed!K31^2</f>
        <v>121</v>
      </c>
      <c r="Z31" s="11">
        <f>handsmoothed!L31^2</f>
        <v>121</v>
      </c>
      <c r="AA31" s="11">
        <f>handsmoothed!M31^2</f>
        <v>144</v>
      </c>
      <c r="AB31" s="11">
        <f>handsmoothed!N31^2</f>
        <v>169</v>
      </c>
    </row>
    <row r="32" spans="1:28" x14ac:dyDescent="0.25">
      <c r="A32" s="12">
        <v>30</v>
      </c>
      <c r="B32" s="7">
        <v>5</v>
      </c>
      <c r="C32" s="7">
        <v>6</v>
      </c>
      <c r="D32" s="7">
        <v>7</v>
      </c>
      <c r="E32" s="7">
        <v>7</v>
      </c>
      <c r="F32" s="7">
        <v>6</v>
      </c>
      <c r="G32" s="7">
        <v>8</v>
      </c>
      <c r="H32" s="7">
        <v>2</v>
      </c>
      <c r="I32" s="7">
        <v>5</v>
      </c>
      <c r="J32" s="7">
        <v>5</v>
      </c>
      <c r="K32" s="7">
        <v>3</v>
      </c>
      <c r="L32" s="7">
        <v>1</v>
      </c>
      <c r="M32" s="7">
        <v>3</v>
      </c>
      <c r="N32" s="7">
        <v>2</v>
      </c>
      <c r="P32" s="11">
        <f>handsmoothed!B32^2</f>
        <v>64</v>
      </c>
      <c r="Q32" s="11">
        <f>handsmoothed!C32^2</f>
        <v>64</v>
      </c>
      <c r="R32" s="11">
        <f>handsmoothed!D32^2</f>
        <v>64</v>
      </c>
      <c r="S32" s="11">
        <f>handsmoothed!E32^2</f>
        <v>64</v>
      </c>
      <c r="T32" s="11">
        <f>handsmoothed!F32^2</f>
        <v>64</v>
      </c>
      <c r="U32" s="11">
        <f>handsmoothed!G32^2</f>
        <v>81</v>
      </c>
      <c r="V32" s="11">
        <f>handsmoothed!H32^2</f>
        <v>81</v>
      </c>
      <c r="W32" s="11">
        <f>handsmoothed!I32^2</f>
        <v>100</v>
      </c>
      <c r="X32" s="11">
        <f>handsmoothed!J32^2</f>
        <v>100</v>
      </c>
      <c r="Y32" s="11">
        <f>handsmoothed!K32^2</f>
        <v>121</v>
      </c>
      <c r="Z32" s="11">
        <f>handsmoothed!L32^2</f>
        <v>144</v>
      </c>
      <c r="AA32" s="11">
        <f>handsmoothed!M32^2</f>
        <v>169</v>
      </c>
      <c r="AB32" s="11">
        <f>handsmoothed!N32^2</f>
        <v>196</v>
      </c>
    </row>
    <row r="33" spans="1:28" x14ac:dyDescent="0.25">
      <c r="A33" s="12">
        <v>31</v>
      </c>
      <c r="B33" s="7" t="s">
        <v>16</v>
      </c>
      <c r="C33" s="7">
        <v>1</v>
      </c>
      <c r="D33" s="7" t="s">
        <v>16</v>
      </c>
      <c r="E33" s="7">
        <v>2</v>
      </c>
      <c r="F33" s="7">
        <v>3</v>
      </c>
      <c r="G33" s="7" t="s">
        <v>16</v>
      </c>
      <c r="H33" s="7">
        <v>1</v>
      </c>
      <c r="I33" s="7">
        <v>1</v>
      </c>
      <c r="J33" s="7">
        <v>1</v>
      </c>
      <c r="K33" s="7" t="s">
        <v>16</v>
      </c>
      <c r="L33" s="7" t="s">
        <v>16</v>
      </c>
      <c r="M33" s="7" t="s">
        <v>16</v>
      </c>
      <c r="N33" s="7" t="s">
        <v>16</v>
      </c>
      <c r="P33" s="11">
        <f>handsmoothed!B33^2</f>
        <v>64</v>
      </c>
      <c r="Q33" s="11">
        <f>handsmoothed!C33^2</f>
        <v>64</v>
      </c>
      <c r="R33" s="11">
        <f>handsmoothed!D33^2</f>
        <v>64</v>
      </c>
      <c r="S33" s="11">
        <f>handsmoothed!E33^2</f>
        <v>64</v>
      </c>
      <c r="T33" s="11">
        <f>handsmoothed!F33^2</f>
        <v>64</v>
      </c>
      <c r="U33" s="11">
        <f>handsmoothed!G33^2</f>
        <v>81</v>
      </c>
      <c r="V33" s="11">
        <f>handsmoothed!H33^2</f>
        <v>81</v>
      </c>
      <c r="W33" s="11">
        <f>handsmoothed!I33^2</f>
        <v>100</v>
      </c>
      <c r="X33" s="11">
        <f>handsmoothed!J33^2</f>
        <v>121</v>
      </c>
      <c r="Y33" s="11">
        <f>handsmoothed!K33^2</f>
        <v>121</v>
      </c>
      <c r="Z33" s="11">
        <f>handsmoothed!L33^2</f>
        <v>144</v>
      </c>
      <c r="AA33" s="11">
        <f>handsmoothed!M33^2</f>
        <v>169</v>
      </c>
      <c r="AB33" s="11">
        <f>handsmoothed!N33^2</f>
        <v>196</v>
      </c>
    </row>
    <row r="34" spans="1:28" x14ac:dyDescent="0.25">
      <c r="A34" s="12">
        <v>32</v>
      </c>
      <c r="B34" s="7">
        <v>5</v>
      </c>
      <c r="C34" s="7">
        <v>5</v>
      </c>
      <c r="D34" s="7">
        <v>6</v>
      </c>
      <c r="E34" s="7">
        <v>1</v>
      </c>
      <c r="F34" s="7">
        <v>5</v>
      </c>
      <c r="G34" s="7">
        <v>9</v>
      </c>
      <c r="H34" s="7">
        <v>2</v>
      </c>
      <c r="I34" s="7">
        <v>6</v>
      </c>
      <c r="J34" s="7">
        <v>8</v>
      </c>
      <c r="K34" s="7">
        <v>3</v>
      </c>
      <c r="L34" s="7">
        <v>7</v>
      </c>
      <c r="M34" s="7">
        <v>4</v>
      </c>
      <c r="N34" s="7">
        <v>3</v>
      </c>
      <c r="P34" s="11">
        <f>handsmoothed!B34^2</f>
        <v>64</v>
      </c>
      <c r="Q34" s="11">
        <f>handsmoothed!C34^2</f>
        <v>64</v>
      </c>
      <c r="R34" s="11">
        <f>handsmoothed!D34^2</f>
        <v>64</v>
      </c>
      <c r="S34" s="11">
        <f>handsmoothed!E34^2</f>
        <v>81</v>
      </c>
      <c r="T34" s="11">
        <f>handsmoothed!F34^2</f>
        <v>81</v>
      </c>
      <c r="U34" s="11">
        <f>handsmoothed!G34^2</f>
        <v>81</v>
      </c>
      <c r="V34" s="11">
        <f>handsmoothed!H34^2</f>
        <v>100</v>
      </c>
      <c r="W34" s="11">
        <f>handsmoothed!I34^2</f>
        <v>100</v>
      </c>
      <c r="X34" s="11">
        <f>handsmoothed!J34^2</f>
        <v>121</v>
      </c>
      <c r="Y34" s="11">
        <f>handsmoothed!K34^2</f>
        <v>144</v>
      </c>
      <c r="Z34" s="11">
        <f>handsmoothed!L34^2</f>
        <v>144</v>
      </c>
      <c r="AA34" s="11">
        <f>handsmoothed!M34^2</f>
        <v>169</v>
      </c>
      <c r="AB34" s="11">
        <f>handsmoothed!N34^2</f>
        <v>196</v>
      </c>
    </row>
    <row r="35" spans="1:28" x14ac:dyDescent="0.25">
      <c r="A35" s="12">
        <v>33</v>
      </c>
      <c r="B35" s="7">
        <v>4</v>
      </c>
      <c r="C35" s="7">
        <v>6</v>
      </c>
      <c r="D35" s="7">
        <v>7</v>
      </c>
      <c r="E35" s="7">
        <v>4</v>
      </c>
      <c r="F35" s="7">
        <v>7</v>
      </c>
      <c r="G35" s="7">
        <v>4</v>
      </c>
      <c r="H35" s="7">
        <v>1</v>
      </c>
      <c r="I35" s="7">
        <v>4</v>
      </c>
      <c r="J35" s="7">
        <v>5</v>
      </c>
      <c r="K35" s="7">
        <v>5</v>
      </c>
      <c r="L35" s="7">
        <v>4</v>
      </c>
      <c r="M35" s="7">
        <v>4</v>
      </c>
      <c r="N35" s="7">
        <v>2</v>
      </c>
      <c r="P35" s="11">
        <f>handsmoothed!B35^2</f>
        <v>81</v>
      </c>
      <c r="Q35" s="11">
        <f>handsmoothed!C35^2</f>
        <v>81</v>
      </c>
      <c r="R35" s="11">
        <f>handsmoothed!D35^2</f>
        <v>81</v>
      </c>
      <c r="S35" s="11">
        <f>handsmoothed!E35^2</f>
        <v>81</v>
      </c>
      <c r="T35" s="11">
        <f>handsmoothed!F35^2</f>
        <v>81</v>
      </c>
      <c r="U35" s="11">
        <f>handsmoothed!G35^2</f>
        <v>81</v>
      </c>
      <c r="V35" s="11">
        <f>handsmoothed!H35^2</f>
        <v>100</v>
      </c>
      <c r="W35" s="11">
        <f>handsmoothed!I35^2</f>
        <v>100</v>
      </c>
      <c r="X35" s="11">
        <f>handsmoothed!J35^2</f>
        <v>121</v>
      </c>
      <c r="Y35" s="11">
        <f>handsmoothed!K35^2</f>
        <v>144</v>
      </c>
      <c r="Z35" s="11">
        <f>handsmoothed!L35^2</f>
        <v>169</v>
      </c>
      <c r="AA35" s="11">
        <f>handsmoothed!M35^2</f>
        <v>196</v>
      </c>
      <c r="AB35" s="11">
        <f>handsmoothed!N35^2</f>
        <v>225</v>
      </c>
    </row>
    <row r="36" spans="1:28" x14ac:dyDescent="0.25">
      <c r="A36" s="12">
        <v>34</v>
      </c>
      <c r="B36" s="7">
        <v>4</v>
      </c>
      <c r="C36" s="7">
        <v>2</v>
      </c>
      <c r="D36" s="7">
        <v>4</v>
      </c>
      <c r="E36" s="7">
        <v>1</v>
      </c>
      <c r="F36" s="7">
        <v>7</v>
      </c>
      <c r="G36" s="7">
        <v>5</v>
      </c>
      <c r="H36" s="7">
        <v>6</v>
      </c>
      <c r="I36" s="7">
        <v>5</v>
      </c>
      <c r="J36" s="7">
        <v>9</v>
      </c>
      <c r="K36" s="7">
        <v>1</v>
      </c>
      <c r="L36" s="7">
        <v>2</v>
      </c>
      <c r="M36" s="7" t="s">
        <v>16</v>
      </c>
      <c r="N36" s="7">
        <v>3</v>
      </c>
      <c r="P36" s="11">
        <f>handsmoothed!B36^2</f>
        <v>81</v>
      </c>
      <c r="Q36" s="11">
        <f>handsmoothed!C36^2</f>
        <v>81</v>
      </c>
      <c r="R36" s="11">
        <f>handsmoothed!D36^2</f>
        <v>81</v>
      </c>
      <c r="S36" s="11">
        <f>handsmoothed!E36^2</f>
        <v>81</v>
      </c>
      <c r="T36" s="11">
        <f>handsmoothed!F36^2</f>
        <v>81</v>
      </c>
      <c r="U36" s="11">
        <f>handsmoothed!G36^2</f>
        <v>100</v>
      </c>
      <c r="V36" s="11">
        <f>handsmoothed!H36^2</f>
        <v>100</v>
      </c>
      <c r="W36" s="11">
        <f>handsmoothed!I36^2</f>
        <v>121</v>
      </c>
      <c r="X36" s="11">
        <f>handsmoothed!J36^2</f>
        <v>144</v>
      </c>
      <c r="Y36" s="11">
        <f>handsmoothed!K36^2</f>
        <v>144</v>
      </c>
      <c r="Z36" s="11">
        <f>handsmoothed!L36^2</f>
        <v>169</v>
      </c>
      <c r="AA36" s="11">
        <f>handsmoothed!M36^2</f>
        <v>196</v>
      </c>
      <c r="AB36" s="11">
        <f>handsmoothed!N36^2</f>
        <v>225</v>
      </c>
    </row>
    <row r="37" spans="1:28" x14ac:dyDescent="0.25">
      <c r="A37" s="12">
        <v>35</v>
      </c>
      <c r="B37" s="7">
        <v>3</v>
      </c>
      <c r="C37" s="7">
        <v>4</v>
      </c>
      <c r="D37" s="7">
        <v>2</v>
      </c>
      <c r="E37" s="7" t="s">
        <v>16</v>
      </c>
      <c r="F37" s="7">
        <v>3</v>
      </c>
      <c r="G37" s="7">
        <v>2</v>
      </c>
      <c r="H37" s="7">
        <v>3</v>
      </c>
      <c r="I37" s="7">
        <v>2</v>
      </c>
      <c r="J37" s="7">
        <v>2</v>
      </c>
      <c r="K37" s="7" t="s">
        <v>16</v>
      </c>
      <c r="L37" s="7">
        <v>1</v>
      </c>
      <c r="M37" s="7">
        <v>1</v>
      </c>
      <c r="N37" s="7" t="s">
        <v>16</v>
      </c>
      <c r="P37" s="11">
        <f>handsmoothed!B37^2</f>
        <v>81</v>
      </c>
      <c r="Q37" s="11">
        <f>handsmoothed!C37^2</f>
        <v>81</v>
      </c>
      <c r="R37" s="11">
        <f>handsmoothed!D37^2</f>
        <v>81</v>
      </c>
      <c r="S37" s="11">
        <f>handsmoothed!E37^2</f>
        <v>81</v>
      </c>
      <c r="T37" s="11">
        <f>handsmoothed!F37^2</f>
        <v>81</v>
      </c>
      <c r="U37" s="11">
        <f>handsmoothed!G37^2</f>
        <v>100</v>
      </c>
      <c r="V37" s="11">
        <f>handsmoothed!H37^2</f>
        <v>100</v>
      </c>
      <c r="W37" s="11">
        <f>handsmoothed!I37^2</f>
        <v>121</v>
      </c>
      <c r="X37" s="11">
        <f>handsmoothed!J37^2</f>
        <v>144</v>
      </c>
      <c r="Y37" s="11">
        <f>handsmoothed!K37^2</f>
        <v>169</v>
      </c>
      <c r="Z37" s="11">
        <f>handsmoothed!L37^2</f>
        <v>169</v>
      </c>
      <c r="AA37" s="11">
        <f>handsmoothed!M37^2</f>
        <v>196</v>
      </c>
      <c r="AB37" s="11">
        <f>handsmoothed!N37^2</f>
        <v>225</v>
      </c>
    </row>
    <row r="38" spans="1:28" x14ac:dyDescent="0.25">
      <c r="A38" s="12">
        <v>36</v>
      </c>
      <c r="B38" s="7">
        <v>4</v>
      </c>
      <c r="C38" s="7">
        <v>3</v>
      </c>
      <c r="D38" s="7">
        <v>2</v>
      </c>
      <c r="E38" s="7">
        <v>7</v>
      </c>
      <c r="F38" s="7">
        <v>6</v>
      </c>
      <c r="G38" s="7">
        <v>3</v>
      </c>
      <c r="H38" s="7">
        <v>5</v>
      </c>
      <c r="I38" s="7">
        <v>8</v>
      </c>
      <c r="J38" s="7">
        <v>4</v>
      </c>
      <c r="K38" s="7" t="s">
        <v>16</v>
      </c>
      <c r="L38" s="7">
        <v>4</v>
      </c>
      <c r="M38" s="7" t="s">
        <v>16</v>
      </c>
      <c r="N38" s="7">
        <v>3</v>
      </c>
      <c r="P38" s="11">
        <f>handsmoothed!B38^2</f>
        <v>81</v>
      </c>
      <c r="Q38" s="11">
        <f>handsmoothed!C38^2</f>
        <v>81</v>
      </c>
      <c r="R38" s="11">
        <f>handsmoothed!D38^2</f>
        <v>81</v>
      </c>
      <c r="S38" s="11">
        <f>handsmoothed!E38^2</f>
        <v>81</v>
      </c>
      <c r="T38" s="11">
        <f>handsmoothed!F38^2</f>
        <v>100</v>
      </c>
      <c r="U38" s="11">
        <f>handsmoothed!G38^2</f>
        <v>100</v>
      </c>
      <c r="V38" s="11">
        <f>handsmoothed!H38^2</f>
        <v>121</v>
      </c>
      <c r="W38" s="11">
        <f>handsmoothed!I38^2</f>
        <v>121</v>
      </c>
      <c r="X38" s="11">
        <f>handsmoothed!J38^2</f>
        <v>144</v>
      </c>
      <c r="Y38" s="11">
        <f>handsmoothed!K38^2</f>
        <v>169</v>
      </c>
      <c r="Z38" s="11">
        <f>handsmoothed!L38^2</f>
        <v>196</v>
      </c>
      <c r="AA38" s="11">
        <f>handsmoothed!M38^2</f>
        <v>225</v>
      </c>
      <c r="AB38" s="11">
        <f>handsmoothed!N38^2</f>
        <v>256</v>
      </c>
    </row>
    <row r="39" spans="1:28" x14ac:dyDescent="0.25">
      <c r="A39" s="12">
        <v>37</v>
      </c>
      <c r="B39" s="7">
        <v>5</v>
      </c>
      <c r="C39" s="7">
        <v>5</v>
      </c>
      <c r="D39" s="7">
        <v>5</v>
      </c>
      <c r="E39" s="7">
        <v>5</v>
      </c>
      <c r="F39" s="7">
        <v>5</v>
      </c>
      <c r="G39" s="7">
        <v>2</v>
      </c>
      <c r="H39" s="7">
        <v>6</v>
      </c>
      <c r="I39" s="7">
        <v>1</v>
      </c>
      <c r="J39" s="7">
        <v>4</v>
      </c>
      <c r="K39" s="7">
        <v>2</v>
      </c>
      <c r="L39" s="7" t="s">
        <v>16</v>
      </c>
      <c r="M39" s="7">
        <v>2</v>
      </c>
      <c r="N39" s="7">
        <v>1</v>
      </c>
      <c r="P39" s="11">
        <f>handsmoothed!B39^2</f>
        <v>100</v>
      </c>
      <c r="Q39" s="11">
        <f>handsmoothed!C39^2</f>
        <v>100</v>
      </c>
      <c r="R39" s="11">
        <f>handsmoothed!D39^2</f>
        <v>100</v>
      </c>
      <c r="S39" s="11">
        <f>handsmoothed!E39^2</f>
        <v>100</v>
      </c>
      <c r="T39" s="11">
        <f>handsmoothed!F39^2</f>
        <v>100</v>
      </c>
      <c r="U39" s="11">
        <f>handsmoothed!G39^2</f>
        <v>100</v>
      </c>
      <c r="V39" s="11">
        <f>handsmoothed!H39^2</f>
        <v>121</v>
      </c>
      <c r="W39" s="11">
        <f>handsmoothed!I39^2</f>
        <v>144</v>
      </c>
      <c r="X39" s="11">
        <f>handsmoothed!J39^2</f>
        <v>144</v>
      </c>
      <c r="Y39" s="11">
        <f>handsmoothed!K39^2</f>
        <v>169</v>
      </c>
      <c r="Z39" s="11">
        <f>handsmoothed!L39^2</f>
        <v>196</v>
      </c>
      <c r="AA39" s="11">
        <f>handsmoothed!M39^2</f>
        <v>225</v>
      </c>
      <c r="AB39" s="11">
        <f>handsmoothed!N39^2</f>
        <v>256</v>
      </c>
    </row>
    <row r="40" spans="1:28" x14ac:dyDescent="0.25">
      <c r="A40" s="12">
        <v>38</v>
      </c>
      <c r="B40" s="7">
        <v>6</v>
      </c>
      <c r="C40" s="7">
        <v>2</v>
      </c>
      <c r="D40" s="7">
        <v>4</v>
      </c>
      <c r="E40" s="7">
        <v>6</v>
      </c>
      <c r="F40" s="7">
        <v>10</v>
      </c>
      <c r="G40" s="7">
        <v>6</v>
      </c>
      <c r="H40" s="7">
        <v>8</v>
      </c>
      <c r="I40" s="7">
        <v>6</v>
      </c>
      <c r="J40" s="7">
        <v>1</v>
      </c>
      <c r="K40" s="7">
        <v>2</v>
      </c>
      <c r="L40" s="7">
        <v>2</v>
      </c>
      <c r="M40" s="7">
        <v>1</v>
      </c>
      <c r="N40" s="7" t="s">
        <v>16</v>
      </c>
      <c r="P40" s="11">
        <f>handsmoothed!B40^2</f>
        <v>100</v>
      </c>
      <c r="Q40" s="11">
        <f>handsmoothed!C40^2</f>
        <v>100</v>
      </c>
      <c r="R40" s="11">
        <f>handsmoothed!D40^2</f>
        <v>100</v>
      </c>
      <c r="S40" s="11">
        <f>handsmoothed!E40^2</f>
        <v>100</v>
      </c>
      <c r="T40" s="11">
        <f>handsmoothed!F40^2</f>
        <v>100</v>
      </c>
      <c r="U40" s="11">
        <f>handsmoothed!G40^2</f>
        <v>121</v>
      </c>
      <c r="V40" s="11">
        <f>handsmoothed!H40^2</f>
        <v>121</v>
      </c>
      <c r="W40" s="11">
        <f>handsmoothed!I40^2</f>
        <v>144</v>
      </c>
      <c r="X40" s="11">
        <f>handsmoothed!J40^2</f>
        <v>169</v>
      </c>
      <c r="Y40" s="11">
        <f>handsmoothed!K40^2</f>
        <v>169</v>
      </c>
      <c r="Z40" s="11">
        <f>handsmoothed!L40^2</f>
        <v>196</v>
      </c>
      <c r="AA40" s="11">
        <f>handsmoothed!M40^2</f>
        <v>225</v>
      </c>
      <c r="AB40" s="11">
        <f>handsmoothed!N40^2</f>
        <v>256</v>
      </c>
    </row>
    <row r="41" spans="1:28" x14ac:dyDescent="0.25">
      <c r="A41" s="12">
        <v>39</v>
      </c>
      <c r="B41" s="7">
        <v>2</v>
      </c>
      <c r="C41" s="7">
        <v>5</v>
      </c>
      <c r="D41" s="7">
        <v>6</v>
      </c>
      <c r="E41" s="7">
        <v>2</v>
      </c>
      <c r="F41" s="7">
        <v>3</v>
      </c>
      <c r="G41" s="7">
        <v>5</v>
      </c>
      <c r="H41" s="7">
        <v>7</v>
      </c>
      <c r="I41" s="7">
        <v>4</v>
      </c>
      <c r="J41" s="7">
        <v>5</v>
      </c>
      <c r="K41" s="7">
        <v>2</v>
      </c>
      <c r="L41" s="7">
        <v>2</v>
      </c>
      <c r="M41" s="7" t="s">
        <v>16</v>
      </c>
      <c r="N41" s="7" t="s">
        <v>16</v>
      </c>
      <c r="P41" s="11">
        <f>handsmoothed!B41^2</f>
        <v>100</v>
      </c>
      <c r="Q41" s="11">
        <f>handsmoothed!C41^2</f>
        <v>100</v>
      </c>
      <c r="R41" s="11">
        <f>handsmoothed!D41^2</f>
        <v>100</v>
      </c>
      <c r="S41" s="11">
        <f>handsmoothed!E41^2</f>
        <v>100</v>
      </c>
      <c r="T41" s="11">
        <f>handsmoothed!F41^2</f>
        <v>100</v>
      </c>
      <c r="U41" s="11">
        <f>handsmoothed!G41^2</f>
        <v>121</v>
      </c>
      <c r="V41" s="11">
        <f>handsmoothed!H41^2</f>
        <v>121</v>
      </c>
      <c r="W41" s="11">
        <f>handsmoothed!I41^2</f>
        <v>144</v>
      </c>
      <c r="X41" s="11">
        <f>handsmoothed!J41^2</f>
        <v>169</v>
      </c>
      <c r="Y41" s="11">
        <f>handsmoothed!K41^2</f>
        <v>196</v>
      </c>
      <c r="Z41" s="11">
        <f>handsmoothed!L41^2</f>
        <v>225</v>
      </c>
      <c r="AA41" s="11">
        <f>handsmoothed!M41^2</f>
        <v>225</v>
      </c>
      <c r="AB41" s="11">
        <f>handsmoothed!N41^2</f>
        <v>256</v>
      </c>
    </row>
    <row r="42" spans="1:28" x14ac:dyDescent="0.25">
      <c r="A42" s="12">
        <v>40</v>
      </c>
      <c r="B42" s="7">
        <v>2</v>
      </c>
      <c r="C42" s="7">
        <v>5</v>
      </c>
      <c r="D42" s="7">
        <v>6</v>
      </c>
      <c r="E42" s="7">
        <v>3</v>
      </c>
      <c r="F42" s="7">
        <v>3</v>
      </c>
      <c r="G42" s="7">
        <v>2</v>
      </c>
      <c r="H42" s="7">
        <v>2</v>
      </c>
      <c r="I42" s="7" t="s">
        <v>16</v>
      </c>
      <c r="J42" s="7">
        <v>5</v>
      </c>
      <c r="K42" s="7" t="s">
        <v>16</v>
      </c>
      <c r="L42" s="7">
        <v>1</v>
      </c>
      <c r="M42" s="7">
        <v>1</v>
      </c>
      <c r="N42" s="7">
        <v>1</v>
      </c>
      <c r="P42" s="11">
        <f>handsmoothed!B42^2</f>
        <v>100</v>
      </c>
      <c r="Q42" s="11">
        <f>handsmoothed!C42^2</f>
        <v>100</v>
      </c>
      <c r="R42" s="11">
        <f>handsmoothed!D42^2</f>
        <v>100</v>
      </c>
      <c r="S42" s="11">
        <f>handsmoothed!E42^2</f>
        <v>100</v>
      </c>
      <c r="T42" s="11">
        <f>handsmoothed!F42^2</f>
        <v>121</v>
      </c>
      <c r="U42" s="11">
        <f>handsmoothed!G42^2</f>
        <v>121</v>
      </c>
      <c r="V42" s="11">
        <f>handsmoothed!H42^2</f>
        <v>144</v>
      </c>
      <c r="W42" s="11">
        <f>handsmoothed!I42^2</f>
        <v>144</v>
      </c>
      <c r="X42" s="11">
        <f>handsmoothed!J42^2</f>
        <v>169</v>
      </c>
      <c r="Y42" s="11">
        <f>handsmoothed!K42^2</f>
        <v>196</v>
      </c>
      <c r="Z42" s="11">
        <f>handsmoothed!L42^2</f>
        <v>225</v>
      </c>
      <c r="AA42" s="11">
        <f>handsmoothed!M42^2</f>
        <v>256</v>
      </c>
      <c r="AB42" s="11">
        <f>handsmoothed!N42^2</f>
        <v>289</v>
      </c>
    </row>
    <row r="43" spans="1:28" x14ac:dyDescent="0.25">
      <c r="A43" s="12">
        <v>41</v>
      </c>
      <c r="B43" s="7">
        <v>6</v>
      </c>
      <c r="C43" s="7">
        <v>5</v>
      </c>
      <c r="D43" s="7">
        <v>2</v>
      </c>
      <c r="E43" s="7">
        <v>1</v>
      </c>
      <c r="F43" s="7">
        <v>5</v>
      </c>
      <c r="G43" s="7">
        <v>2</v>
      </c>
      <c r="H43" s="7">
        <v>4</v>
      </c>
      <c r="I43" s="7">
        <v>7</v>
      </c>
      <c r="J43" s="7">
        <v>3</v>
      </c>
      <c r="K43" s="7">
        <v>2</v>
      </c>
      <c r="L43" s="7">
        <v>1</v>
      </c>
      <c r="M43" s="7" t="s">
        <v>16</v>
      </c>
      <c r="N43" s="7" t="s">
        <v>16</v>
      </c>
      <c r="P43" s="11">
        <f>handsmoothed!B43^2</f>
        <v>100</v>
      </c>
      <c r="Q43" s="11">
        <f>handsmoothed!C43^2</f>
        <v>100</v>
      </c>
      <c r="R43" s="11">
        <f>handsmoothed!D43^2</f>
        <v>121</v>
      </c>
      <c r="S43" s="11">
        <f>handsmoothed!E43^2</f>
        <v>121</v>
      </c>
      <c r="T43" s="11">
        <f>handsmoothed!F43^2</f>
        <v>121</v>
      </c>
      <c r="U43" s="11">
        <f>handsmoothed!G43^2</f>
        <v>121</v>
      </c>
      <c r="V43" s="11">
        <f>handsmoothed!H43^2</f>
        <v>144</v>
      </c>
      <c r="W43" s="11">
        <f>handsmoothed!I43^2</f>
        <v>169</v>
      </c>
      <c r="X43" s="11">
        <f>handsmoothed!J43^2</f>
        <v>196</v>
      </c>
      <c r="Y43" s="11">
        <f>handsmoothed!K43^2</f>
        <v>196</v>
      </c>
      <c r="Z43" s="11">
        <f>handsmoothed!L43^2</f>
        <v>225</v>
      </c>
      <c r="AA43" s="11">
        <f>handsmoothed!M43^2</f>
        <v>256</v>
      </c>
      <c r="AB43" s="11">
        <f>handsmoothed!N43^2</f>
        <v>289</v>
      </c>
    </row>
    <row r="44" spans="1:28" x14ac:dyDescent="0.25">
      <c r="A44" s="12">
        <v>42</v>
      </c>
      <c r="B44" s="7">
        <v>5</v>
      </c>
      <c r="C44" s="7">
        <v>7</v>
      </c>
      <c r="D44" s="7">
        <v>7</v>
      </c>
      <c r="E44" s="7">
        <v>5</v>
      </c>
      <c r="F44" s="7">
        <v>5</v>
      </c>
      <c r="G44" s="7">
        <v>6</v>
      </c>
      <c r="H44" s="7">
        <v>7</v>
      </c>
      <c r="I44" s="7">
        <v>3</v>
      </c>
      <c r="J44" s="7">
        <v>4</v>
      </c>
      <c r="K44" s="7">
        <v>2</v>
      </c>
      <c r="L44" s="7">
        <v>1</v>
      </c>
      <c r="M44" s="7">
        <v>1</v>
      </c>
      <c r="N44" s="7" t="s">
        <v>16</v>
      </c>
      <c r="P44" s="11">
        <f>handsmoothed!B44^2</f>
        <v>121</v>
      </c>
      <c r="Q44" s="11">
        <f>handsmoothed!C44^2</f>
        <v>121</v>
      </c>
      <c r="R44" s="11">
        <f>handsmoothed!D44^2</f>
        <v>121</v>
      </c>
      <c r="S44" s="11">
        <f>handsmoothed!E44^2</f>
        <v>121</v>
      </c>
      <c r="T44" s="11">
        <f>handsmoothed!F44^2</f>
        <v>121</v>
      </c>
      <c r="U44" s="11">
        <f>handsmoothed!G44^2</f>
        <v>144</v>
      </c>
      <c r="V44" s="11">
        <f>handsmoothed!H44^2</f>
        <v>144</v>
      </c>
      <c r="W44" s="11">
        <f>handsmoothed!I44^2</f>
        <v>169</v>
      </c>
      <c r="X44" s="11">
        <f>handsmoothed!J44^2</f>
        <v>196</v>
      </c>
      <c r="Y44" s="11">
        <f>handsmoothed!K44^2</f>
        <v>225</v>
      </c>
      <c r="Z44" s="11">
        <f>handsmoothed!L44^2</f>
        <v>225</v>
      </c>
      <c r="AA44" s="11">
        <f>handsmoothed!M44^2</f>
        <v>256</v>
      </c>
      <c r="AB44" s="11">
        <f>handsmoothed!N44^2</f>
        <v>289</v>
      </c>
    </row>
    <row r="45" spans="1:28" x14ac:dyDescent="0.25">
      <c r="A45" s="12">
        <v>43</v>
      </c>
      <c r="B45" s="7">
        <v>5</v>
      </c>
      <c r="C45" s="7">
        <v>4</v>
      </c>
      <c r="D45" s="7">
        <v>4</v>
      </c>
      <c r="E45" s="7">
        <v>4</v>
      </c>
      <c r="F45" s="7">
        <v>5</v>
      </c>
      <c r="G45" s="7">
        <v>4</v>
      </c>
      <c r="H45" s="7">
        <v>3</v>
      </c>
      <c r="I45" s="7">
        <v>2</v>
      </c>
      <c r="J45" s="7">
        <v>1</v>
      </c>
      <c r="K45" s="7">
        <v>1</v>
      </c>
      <c r="L45" s="7" t="s">
        <v>16</v>
      </c>
      <c r="M45" s="7" t="s">
        <v>16</v>
      </c>
      <c r="N45" s="7" t="s">
        <v>16</v>
      </c>
      <c r="P45" s="11">
        <f>handsmoothed!B45^2</f>
        <v>121</v>
      </c>
      <c r="Q45" s="11">
        <f>handsmoothed!C45^2</f>
        <v>121</v>
      </c>
      <c r="R45" s="11">
        <f>handsmoothed!D45^2</f>
        <v>121</v>
      </c>
      <c r="S45" s="11">
        <f>handsmoothed!E45^2</f>
        <v>121</v>
      </c>
      <c r="T45" s="11">
        <f>handsmoothed!F45^2</f>
        <v>121</v>
      </c>
      <c r="U45" s="11">
        <f>handsmoothed!G45^2</f>
        <v>144</v>
      </c>
      <c r="V45" s="11">
        <f>handsmoothed!H45^2</f>
        <v>144</v>
      </c>
      <c r="W45" s="11">
        <f>handsmoothed!I45^2</f>
        <v>169</v>
      </c>
      <c r="X45" s="11">
        <f>handsmoothed!J45^2</f>
        <v>196</v>
      </c>
      <c r="Y45" s="11">
        <f>handsmoothed!K45^2</f>
        <v>225</v>
      </c>
      <c r="Z45" s="11">
        <f>handsmoothed!L45^2</f>
        <v>256</v>
      </c>
      <c r="AA45" s="11">
        <f>handsmoothed!M45^2</f>
        <v>289</v>
      </c>
      <c r="AB45" s="11">
        <f>handsmoothed!N45^2</f>
        <v>324</v>
      </c>
    </row>
    <row r="46" spans="1:28" x14ac:dyDescent="0.25">
      <c r="A46" s="12">
        <v>44</v>
      </c>
      <c r="B46" s="7">
        <v>3</v>
      </c>
      <c r="C46" s="7">
        <v>6</v>
      </c>
      <c r="D46" s="7">
        <v>6</v>
      </c>
      <c r="E46" s="7">
        <v>5</v>
      </c>
      <c r="F46" s="7">
        <v>6</v>
      </c>
      <c r="G46" s="7">
        <v>5</v>
      </c>
      <c r="H46" s="7">
        <v>6</v>
      </c>
      <c r="I46" s="7">
        <v>3</v>
      </c>
      <c r="J46" s="7">
        <v>3</v>
      </c>
      <c r="K46" s="7">
        <v>2</v>
      </c>
      <c r="L46" s="7" t="s">
        <v>16</v>
      </c>
      <c r="M46" s="7" t="s">
        <v>16</v>
      </c>
      <c r="N46" s="7" t="s">
        <v>16</v>
      </c>
      <c r="P46" s="11">
        <f>handsmoothed!B46^2</f>
        <v>121</v>
      </c>
      <c r="Q46" s="11">
        <f>handsmoothed!C46^2</f>
        <v>121</v>
      </c>
      <c r="R46" s="11">
        <f>handsmoothed!D46^2</f>
        <v>121</v>
      </c>
      <c r="S46" s="11">
        <f>handsmoothed!E46^2</f>
        <v>121</v>
      </c>
      <c r="T46" s="11">
        <f>handsmoothed!F46^2</f>
        <v>144</v>
      </c>
      <c r="U46" s="11">
        <f>handsmoothed!G46^2</f>
        <v>144</v>
      </c>
      <c r="V46" s="11">
        <f>handsmoothed!H46^2</f>
        <v>144</v>
      </c>
      <c r="W46" s="11">
        <f>handsmoothed!I46^2</f>
        <v>169</v>
      </c>
      <c r="X46" s="11">
        <f>handsmoothed!J46^2</f>
        <v>196</v>
      </c>
      <c r="Y46" s="11">
        <f>handsmoothed!K46^2</f>
        <v>225</v>
      </c>
      <c r="Z46" s="11">
        <f>handsmoothed!L46^2</f>
        <v>256</v>
      </c>
      <c r="AA46" s="11">
        <f>handsmoothed!M46^2</f>
        <v>289</v>
      </c>
      <c r="AB46" s="11">
        <f>handsmoothed!N46^2</f>
        <v>324</v>
      </c>
    </row>
    <row r="47" spans="1:28" x14ac:dyDescent="0.25">
      <c r="A47" s="12">
        <v>45</v>
      </c>
      <c r="B47" s="7">
        <v>6</v>
      </c>
      <c r="C47" s="7">
        <v>7</v>
      </c>
      <c r="D47" s="7">
        <v>5</v>
      </c>
      <c r="E47" s="7">
        <v>8</v>
      </c>
      <c r="F47" s="7">
        <v>4</v>
      </c>
      <c r="G47" s="7">
        <v>4</v>
      </c>
      <c r="H47" s="7">
        <v>5</v>
      </c>
      <c r="I47" s="7">
        <v>5</v>
      </c>
      <c r="J47" s="7">
        <v>3</v>
      </c>
      <c r="K47" s="7">
        <v>1</v>
      </c>
      <c r="L47" s="7" t="s">
        <v>16</v>
      </c>
      <c r="M47" s="7" t="s">
        <v>16</v>
      </c>
      <c r="N47" s="7" t="s">
        <v>16</v>
      </c>
      <c r="P47" s="11">
        <f>handsmoothed!B47^2</f>
        <v>121</v>
      </c>
      <c r="Q47" s="11">
        <f>handsmoothed!C47^2</f>
        <v>121</v>
      </c>
      <c r="R47" s="11">
        <f>handsmoothed!D47^2</f>
        <v>144</v>
      </c>
      <c r="S47" s="11">
        <f>handsmoothed!E47^2</f>
        <v>144</v>
      </c>
      <c r="T47" s="11">
        <f>handsmoothed!F47^2</f>
        <v>144</v>
      </c>
      <c r="U47" s="11">
        <f>handsmoothed!G47^2</f>
        <v>144</v>
      </c>
      <c r="V47" s="11">
        <f>handsmoothed!H47^2</f>
        <v>169</v>
      </c>
      <c r="W47" s="11">
        <f>handsmoothed!I47^2</f>
        <v>196</v>
      </c>
      <c r="X47" s="11">
        <f>handsmoothed!J47^2</f>
        <v>225</v>
      </c>
      <c r="Y47" s="11">
        <f>handsmoothed!K47^2</f>
        <v>225</v>
      </c>
      <c r="Z47" s="11">
        <f>handsmoothed!L47^2</f>
        <v>256</v>
      </c>
      <c r="AA47" s="11">
        <f>handsmoothed!M47^2</f>
        <v>289</v>
      </c>
      <c r="AB47" s="11">
        <f>handsmoothed!N47^2</f>
        <v>324</v>
      </c>
    </row>
    <row r="48" spans="1:28" x14ac:dyDescent="0.25">
      <c r="A48" s="12">
        <v>46</v>
      </c>
      <c r="B48" s="7">
        <v>5</v>
      </c>
      <c r="C48" s="7">
        <v>8</v>
      </c>
      <c r="D48" s="7">
        <v>7</v>
      </c>
      <c r="E48" s="7">
        <v>5</v>
      </c>
      <c r="F48" s="7">
        <v>4</v>
      </c>
      <c r="G48" s="7">
        <v>3</v>
      </c>
      <c r="H48" s="7">
        <v>4</v>
      </c>
      <c r="I48" s="7">
        <v>4</v>
      </c>
      <c r="J48" s="7" t="s">
        <v>16</v>
      </c>
      <c r="K48" s="7" t="s">
        <v>16</v>
      </c>
      <c r="L48" s="7" t="s">
        <v>16</v>
      </c>
      <c r="M48" s="7" t="s">
        <v>16</v>
      </c>
      <c r="N48" s="7" t="s">
        <v>16</v>
      </c>
      <c r="P48" s="11">
        <f>handsmoothed!B48^2</f>
        <v>144</v>
      </c>
      <c r="Q48" s="11">
        <f>handsmoothed!C48^2</f>
        <v>144</v>
      </c>
      <c r="R48" s="11">
        <f>handsmoothed!D48^2</f>
        <v>144</v>
      </c>
      <c r="S48" s="11">
        <f>handsmoothed!E48^2</f>
        <v>144</v>
      </c>
      <c r="T48" s="11">
        <f>handsmoothed!F48^2</f>
        <v>144</v>
      </c>
      <c r="U48" s="11">
        <f>handsmoothed!G48^2</f>
        <v>169</v>
      </c>
      <c r="V48" s="11">
        <f>handsmoothed!H48^2</f>
        <v>169</v>
      </c>
      <c r="W48" s="11">
        <f>handsmoothed!I48^2</f>
        <v>196</v>
      </c>
      <c r="X48" s="11">
        <f>handsmoothed!J48^2</f>
        <v>225</v>
      </c>
      <c r="Y48" s="11">
        <f>handsmoothed!K48^2</f>
        <v>256</v>
      </c>
      <c r="Z48" s="11">
        <f>handsmoothed!L48^2</f>
        <v>289</v>
      </c>
      <c r="AA48" s="11">
        <f>handsmoothed!M48^2</f>
        <v>324</v>
      </c>
      <c r="AB48" s="11">
        <f>handsmoothed!N48^2</f>
        <v>361</v>
      </c>
    </row>
    <row r="49" spans="1:28" x14ac:dyDescent="0.25">
      <c r="A49" s="12">
        <v>47</v>
      </c>
      <c r="B49" s="7">
        <v>1</v>
      </c>
      <c r="C49" s="7">
        <v>2</v>
      </c>
      <c r="D49" s="7">
        <v>3</v>
      </c>
      <c r="E49" s="7">
        <v>4</v>
      </c>
      <c r="F49" s="7">
        <v>7</v>
      </c>
      <c r="G49" s="7">
        <v>5</v>
      </c>
      <c r="H49" s="7">
        <v>5</v>
      </c>
      <c r="I49" s="7">
        <v>5</v>
      </c>
      <c r="J49" s="7">
        <v>2</v>
      </c>
      <c r="K49" s="7" t="s">
        <v>16</v>
      </c>
      <c r="L49" s="7">
        <v>1</v>
      </c>
      <c r="M49" s="7" t="s">
        <v>16</v>
      </c>
      <c r="N49" s="7" t="s">
        <v>16</v>
      </c>
      <c r="P49" s="11">
        <f>handsmoothed!B49^2</f>
        <v>144</v>
      </c>
      <c r="Q49" s="11">
        <f>handsmoothed!C49^2</f>
        <v>144</v>
      </c>
      <c r="R49" s="11">
        <f>handsmoothed!D49^2</f>
        <v>144</v>
      </c>
      <c r="S49" s="11">
        <f>handsmoothed!E49^2</f>
        <v>144</v>
      </c>
      <c r="T49" s="11">
        <f>handsmoothed!F49^2</f>
        <v>144</v>
      </c>
      <c r="U49" s="11">
        <f>handsmoothed!G49^2</f>
        <v>169</v>
      </c>
      <c r="V49" s="11">
        <f>handsmoothed!H49^2</f>
        <v>169</v>
      </c>
      <c r="W49" s="11">
        <f>handsmoothed!I49^2</f>
        <v>196</v>
      </c>
      <c r="X49" s="11">
        <f>handsmoothed!J49^2</f>
        <v>225</v>
      </c>
      <c r="Y49" s="11">
        <f>handsmoothed!K49^2</f>
        <v>256</v>
      </c>
      <c r="Z49" s="11">
        <f>handsmoothed!L49^2</f>
        <v>289</v>
      </c>
      <c r="AA49" s="11">
        <f>handsmoothed!M49^2</f>
        <v>324</v>
      </c>
      <c r="AB49" s="11">
        <f>handsmoothed!N49^2</f>
        <v>361</v>
      </c>
    </row>
    <row r="50" spans="1:28" x14ac:dyDescent="0.25">
      <c r="A50" s="12">
        <v>48</v>
      </c>
      <c r="B50" s="7">
        <v>5</v>
      </c>
      <c r="C50" s="7">
        <v>6</v>
      </c>
      <c r="D50" s="7">
        <v>4</v>
      </c>
      <c r="E50" s="7">
        <v>11</v>
      </c>
      <c r="F50" s="7">
        <v>3</v>
      </c>
      <c r="G50" s="7">
        <v>4</v>
      </c>
      <c r="H50" s="7">
        <v>5</v>
      </c>
      <c r="I50" s="7">
        <v>2</v>
      </c>
      <c r="J50" s="7">
        <v>2</v>
      </c>
      <c r="K50" s="7" t="s">
        <v>16</v>
      </c>
      <c r="L50" s="7">
        <v>1</v>
      </c>
      <c r="M50" s="7" t="s">
        <v>16</v>
      </c>
      <c r="N50" s="7" t="s">
        <v>16</v>
      </c>
      <c r="P50" s="11">
        <f>handsmoothed!B50^2</f>
        <v>144</v>
      </c>
      <c r="Q50" s="11">
        <f>handsmoothed!C50^2</f>
        <v>144</v>
      </c>
      <c r="R50" s="11">
        <f>handsmoothed!D50^2</f>
        <v>144</v>
      </c>
      <c r="S50" s="11">
        <f>handsmoothed!E50^2</f>
        <v>144</v>
      </c>
      <c r="T50" s="11">
        <f>handsmoothed!F50^2</f>
        <v>169</v>
      </c>
      <c r="U50" s="11">
        <f>handsmoothed!G50^2</f>
        <v>169</v>
      </c>
      <c r="V50" s="11">
        <f>handsmoothed!H50^2</f>
        <v>169</v>
      </c>
      <c r="W50" s="11">
        <f>handsmoothed!I50^2</f>
        <v>196</v>
      </c>
      <c r="X50" s="11">
        <f>handsmoothed!J50^2</f>
        <v>225</v>
      </c>
      <c r="Y50" s="11">
        <f>handsmoothed!K50^2</f>
        <v>256</v>
      </c>
      <c r="Z50" s="11">
        <f>handsmoothed!L50^2</f>
        <v>289</v>
      </c>
      <c r="AA50" s="11">
        <f>handsmoothed!M50^2</f>
        <v>324</v>
      </c>
      <c r="AB50" s="11">
        <f>handsmoothed!N50^2</f>
        <v>361</v>
      </c>
    </row>
    <row r="51" spans="1:28" x14ac:dyDescent="0.25">
      <c r="A51" s="12">
        <v>49</v>
      </c>
      <c r="B51" s="7">
        <v>7</v>
      </c>
      <c r="C51" s="7">
        <v>3</v>
      </c>
      <c r="D51" s="7">
        <v>5</v>
      </c>
      <c r="E51" s="7">
        <v>10</v>
      </c>
      <c r="F51" s="7">
        <v>2</v>
      </c>
      <c r="G51" s="7">
        <v>1</v>
      </c>
      <c r="H51" s="7">
        <v>3</v>
      </c>
      <c r="I51" s="7" t="s">
        <v>16</v>
      </c>
      <c r="J51" s="7" t="s">
        <v>16</v>
      </c>
      <c r="K51" s="7" t="s">
        <v>16</v>
      </c>
      <c r="L51" s="7" t="s">
        <v>16</v>
      </c>
      <c r="M51" s="7" t="s">
        <v>16</v>
      </c>
      <c r="N51" s="7" t="s">
        <v>16</v>
      </c>
      <c r="P51" s="11">
        <f>handsmoothed!B51^2</f>
        <v>144</v>
      </c>
      <c r="Q51" s="11">
        <f>handsmoothed!C51^2</f>
        <v>144</v>
      </c>
      <c r="R51" s="11">
        <f>handsmoothed!D51^2</f>
        <v>144</v>
      </c>
      <c r="S51" s="11">
        <f>handsmoothed!E51^2</f>
        <v>169</v>
      </c>
      <c r="T51" s="11">
        <f>handsmoothed!F51^2</f>
        <v>169</v>
      </c>
      <c r="U51" s="11">
        <f>handsmoothed!G51^2</f>
        <v>169</v>
      </c>
      <c r="V51" s="11">
        <f>handsmoothed!H51^2</f>
        <v>196</v>
      </c>
      <c r="W51" s="11">
        <f>handsmoothed!I51^2</f>
        <v>225</v>
      </c>
      <c r="X51" s="11">
        <f>handsmoothed!J51^2</f>
        <v>256</v>
      </c>
      <c r="Y51" s="11">
        <f>handsmoothed!K51^2</f>
        <v>289</v>
      </c>
      <c r="Z51" s="11">
        <f>handsmoothed!L51^2</f>
        <v>289</v>
      </c>
      <c r="AA51" s="11">
        <f>handsmoothed!M51^2</f>
        <v>324</v>
      </c>
      <c r="AB51" s="11">
        <f>handsmoothed!N51^2</f>
        <v>361</v>
      </c>
    </row>
    <row r="52" spans="1:28" x14ac:dyDescent="0.25">
      <c r="A52" s="12">
        <v>50</v>
      </c>
      <c r="B52" s="7">
        <v>3</v>
      </c>
      <c r="C52" s="7">
        <v>3</v>
      </c>
      <c r="D52" s="7">
        <v>3</v>
      </c>
      <c r="E52" s="7">
        <v>7</v>
      </c>
      <c r="F52" s="7">
        <v>6</v>
      </c>
      <c r="G52" s="7">
        <v>4</v>
      </c>
      <c r="H52" s="7">
        <v>8</v>
      </c>
      <c r="I52" s="7">
        <v>2</v>
      </c>
      <c r="J52" s="7">
        <v>1</v>
      </c>
      <c r="K52" s="7">
        <v>1</v>
      </c>
      <c r="L52" s="7" t="s">
        <v>16</v>
      </c>
      <c r="M52" s="7">
        <v>1</v>
      </c>
      <c r="N52" s="7" t="s">
        <v>16</v>
      </c>
      <c r="P52" s="11">
        <f>handsmoothed!B52^2</f>
        <v>169</v>
      </c>
      <c r="Q52" s="11">
        <f>handsmoothed!C52^2</f>
        <v>169</v>
      </c>
      <c r="R52" s="11">
        <f>handsmoothed!D52^2</f>
        <v>169</v>
      </c>
      <c r="S52" s="11">
        <f>handsmoothed!E52^2</f>
        <v>169</v>
      </c>
      <c r="T52" s="11">
        <f>handsmoothed!F52^2</f>
        <v>169</v>
      </c>
      <c r="U52" s="11">
        <f>handsmoothed!G52^2</f>
        <v>196</v>
      </c>
      <c r="V52" s="11">
        <f>handsmoothed!H52^2</f>
        <v>196</v>
      </c>
      <c r="W52" s="11">
        <f>handsmoothed!I52^2</f>
        <v>225</v>
      </c>
      <c r="X52" s="11">
        <f>handsmoothed!J52^2</f>
        <v>256</v>
      </c>
      <c r="Y52" s="11">
        <f>handsmoothed!K52^2</f>
        <v>289</v>
      </c>
      <c r="Z52" s="11">
        <f>handsmoothed!L52^2</f>
        <v>324</v>
      </c>
      <c r="AA52" s="11">
        <f>handsmoothed!M52^2</f>
        <v>361</v>
      </c>
      <c r="AB52" s="11">
        <f>handsmoothed!N52^2</f>
        <v>361</v>
      </c>
    </row>
    <row r="53" spans="1:28" x14ac:dyDescent="0.25">
      <c r="A53" s="12">
        <v>51</v>
      </c>
      <c r="B53" s="7">
        <v>2</v>
      </c>
      <c r="C53" s="7">
        <v>3</v>
      </c>
      <c r="D53" s="7">
        <v>4</v>
      </c>
      <c r="E53" s="7">
        <v>5</v>
      </c>
      <c r="F53" s="7">
        <v>1</v>
      </c>
      <c r="G53" s="7">
        <v>2</v>
      </c>
      <c r="H53" s="7">
        <v>6</v>
      </c>
      <c r="I53" s="7" t="s">
        <v>16</v>
      </c>
      <c r="J53" s="7">
        <v>1</v>
      </c>
      <c r="K53" s="7">
        <v>1</v>
      </c>
      <c r="L53" s="7" t="s">
        <v>16</v>
      </c>
      <c r="M53" s="7" t="s">
        <v>16</v>
      </c>
      <c r="N53" s="7" t="s">
        <v>16</v>
      </c>
      <c r="P53" s="11">
        <f>handsmoothed!B53^2</f>
        <v>169</v>
      </c>
      <c r="Q53" s="11">
        <f>handsmoothed!C53^2</f>
        <v>169</v>
      </c>
      <c r="R53" s="11">
        <f>handsmoothed!D53^2</f>
        <v>169</v>
      </c>
      <c r="S53" s="11">
        <f>handsmoothed!E53^2</f>
        <v>169</v>
      </c>
      <c r="T53" s="11">
        <f>handsmoothed!F53^2</f>
        <v>169</v>
      </c>
      <c r="U53" s="11">
        <f>handsmoothed!G53^2</f>
        <v>196</v>
      </c>
      <c r="V53" s="11">
        <f>handsmoothed!H53^2</f>
        <v>196</v>
      </c>
      <c r="W53" s="11">
        <f>handsmoothed!I53^2</f>
        <v>225</v>
      </c>
      <c r="X53" s="11">
        <f>handsmoothed!J53^2</f>
        <v>256</v>
      </c>
      <c r="Y53" s="11">
        <f>handsmoothed!K53^2</f>
        <v>289</v>
      </c>
      <c r="Z53" s="11">
        <f>handsmoothed!L53^2</f>
        <v>324</v>
      </c>
      <c r="AA53" s="11">
        <f>handsmoothed!M53^2</f>
        <v>361</v>
      </c>
      <c r="AB53" s="11">
        <f>handsmoothed!N53^2</f>
        <v>361</v>
      </c>
    </row>
    <row r="54" spans="1:28" x14ac:dyDescent="0.25">
      <c r="A54" s="12">
        <v>52</v>
      </c>
      <c r="B54" s="7">
        <v>3</v>
      </c>
      <c r="C54" s="7">
        <v>5</v>
      </c>
      <c r="D54" s="7">
        <v>8</v>
      </c>
      <c r="E54" s="7">
        <v>3</v>
      </c>
      <c r="F54" s="7">
        <v>6</v>
      </c>
      <c r="G54" s="7">
        <v>2</v>
      </c>
      <c r="H54" s="7">
        <v>3</v>
      </c>
      <c r="I54" s="7" t="s">
        <v>16</v>
      </c>
      <c r="J54" s="7">
        <v>2</v>
      </c>
      <c r="K54" s="7" t="s">
        <v>16</v>
      </c>
      <c r="L54" s="7" t="s">
        <v>16</v>
      </c>
      <c r="M54" s="7" t="s">
        <v>16</v>
      </c>
      <c r="N54" s="7" t="s">
        <v>16</v>
      </c>
      <c r="P54" s="11">
        <f>handsmoothed!B54^2</f>
        <v>169</v>
      </c>
      <c r="Q54" s="11">
        <f>handsmoothed!C54^2</f>
        <v>169</v>
      </c>
      <c r="R54" s="11">
        <f>handsmoothed!D54^2</f>
        <v>169</v>
      </c>
      <c r="S54" s="11">
        <f>handsmoothed!E54^2</f>
        <v>169</v>
      </c>
      <c r="T54" s="11">
        <f>handsmoothed!F54^2</f>
        <v>196</v>
      </c>
      <c r="U54" s="11">
        <f>handsmoothed!G54^2</f>
        <v>196</v>
      </c>
      <c r="V54" s="11">
        <f>handsmoothed!H54^2</f>
        <v>196</v>
      </c>
      <c r="W54" s="11">
        <f>handsmoothed!I54^2</f>
        <v>225</v>
      </c>
      <c r="X54" s="11">
        <f>handsmoothed!J54^2</f>
        <v>256</v>
      </c>
      <c r="Y54" s="11">
        <f>handsmoothed!K54^2</f>
        <v>289</v>
      </c>
      <c r="Z54" s="11">
        <f>handsmoothed!L54^2</f>
        <v>324</v>
      </c>
      <c r="AA54" s="11">
        <f>handsmoothed!M54^2</f>
        <v>361</v>
      </c>
      <c r="AB54" s="11">
        <f>handsmoothed!N54^2</f>
        <v>361</v>
      </c>
    </row>
    <row r="55" spans="1:28" x14ac:dyDescent="0.25">
      <c r="A55" s="12">
        <v>53</v>
      </c>
      <c r="B55" s="7">
        <v>5</v>
      </c>
      <c r="C55" s="7">
        <v>4</v>
      </c>
      <c r="D55" s="7">
        <v>1</v>
      </c>
      <c r="E55" s="7">
        <v>4</v>
      </c>
      <c r="F55" s="7">
        <v>4</v>
      </c>
      <c r="G55" s="7">
        <v>3</v>
      </c>
      <c r="H55" s="7">
        <v>4</v>
      </c>
      <c r="I55" s="7">
        <v>1</v>
      </c>
      <c r="J55" s="7" t="s">
        <v>16</v>
      </c>
      <c r="K55" s="7" t="s">
        <v>16</v>
      </c>
      <c r="L55" s="7" t="s">
        <v>16</v>
      </c>
      <c r="M55" s="7">
        <v>1</v>
      </c>
      <c r="N55" s="7" t="s">
        <v>16</v>
      </c>
      <c r="P55" s="11">
        <f>handsmoothed!B55^2</f>
        <v>169</v>
      </c>
      <c r="Q55" s="11">
        <f>handsmoothed!C55^2</f>
        <v>169</v>
      </c>
      <c r="R55" s="11">
        <f>handsmoothed!D55^2</f>
        <v>169</v>
      </c>
      <c r="S55" s="11">
        <f>handsmoothed!E55^2</f>
        <v>196</v>
      </c>
      <c r="T55" s="11">
        <f>handsmoothed!F55^2</f>
        <v>196</v>
      </c>
      <c r="U55" s="11">
        <f>handsmoothed!G55^2</f>
        <v>196</v>
      </c>
      <c r="V55" s="11">
        <f>handsmoothed!H55^2</f>
        <v>225</v>
      </c>
      <c r="W55" s="11">
        <f>handsmoothed!I55^2</f>
        <v>256</v>
      </c>
      <c r="X55" s="11">
        <f>handsmoothed!J55^2</f>
        <v>289</v>
      </c>
      <c r="Y55" s="11">
        <f>handsmoothed!K55^2</f>
        <v>324</v>
      </c>
      <c r="Z55" s="11">
        <f>handsmoothed!L55^2</f>
        <v>324</v>
      </c>
      <c r="AA55" s="11">
        <f>handsmoothed!M55^2</f>
        <v>361</v>
      </c>
      <c r="AB55" s="11">
        <f>handsmoothed!N55^2</f>
        <v>361</v>
      </c>
    </row>
    <row r="56" spans="1:28" x14ac:dyDescent="0.25">
      <c r="A56" s="12">
        <v>54</v>
      </c>
      <c r="B56" s="7">
        <v>3</v>
      </c>
      <c r="C56" s="7">
        <v>4</v>
      </c>
      <c r="D56" s="7">
        <v>6</v>
      </c>
      <c r="E56" s="7">
        <v>3</v>
      </c>
      <c r="F56" s="7" t="s">
        <v>16</v>
      </c>
      <c r="G56" s="7">
        <v>2</v>
      </c>
      <c r="H56" s="7">
        <v>2</v>
      </c>
      <c r="I56" s="7" t="s">
        <v>16</v>
      </c>
      <c r="J56" s="7" t="s">
        <v>16</v>
      </c>
      <c r="K56" s="7" t="s">
        <v>16</v>
      </c>
      <c r="L56" s="7" t="s">
        <v>16</v>
      </c>
      <c r="M56" s="7" t="s">
        <v>16</v>
      </c>
      <c r="N56" s="7" t="s">
        <v>16</v>
      </c>
      <c r="P56" s="11">
        <f>handsmoothed!B56^2</f>
        <v>196</v>
      </c>
      <c r="Q56" s="11">
        <f>handsmoothed!C56^2</f>
        <v>196</v>
      </c>
      <c r="R56" s="11">
        <f>handsmoothed!D56^2</f>
        <v>196</v>
      </c>
      <c r="S56" s="11">
        <f>handsmoothed!E56^2</f>
        <v>196</v>
      </c>
      <c r="T56" s="11">
        <f>handsmoothed!F56^2</f>
        <v>196</v>
      </c>
      <c r="U56" s="11">
        <f>handsmoothed!G56^2</f>
        <v>225</v>
      </c>
      <c r="V56" s="11">
        <f>handsmoothed!H56^2</f>
        <v>225</v>
      </c>
      <c r="W56" s="11">
        <f>handsmoothed!I56^2</f>
        <v>256</v>
      </c>
      <c r="X56" s="11">
        <f>handsmoothed!J56^2</f>
        <v>289</v>
      </c>
      <c r="Y56" s="11">
        <f>handsmoothed!K56^2</f>
        <v>324</v>
      </c>
      <c r="Z56" s="11">
        <f>handsmoothed!L56^2</f>
        <v>361</v>
      </c>
      <c r="AA56" s="11">
        <f>handsmoothed!M56^2</f>
        <v>361</v>
      </c>
      <c r="AB56" s="11">
        <f>handsmoothed!N56^2</f>
        <v>361</v>
      </c>
    </row>
    <row r="57" spans="1:28" x14ac:dyDescent="0.25">
      <c r="A57" s="12">
        <v>55</v>
      </c>
      <c r="B57" s="7">
        <v>7</v>
      </c>
      <c r="C57" s="7">
        <v>2</v>
      </c>
      <c r="D57" s="7">
        <v>3</v>
      </c>
      <c r="E57" s="7">
        <v>2</v>
      </c>
      <c r="F57" s="7">
        <v>1</v>
      </c>
      <c r="G57" s="7">
        <v>5</v>
      </c>
      <c r="H57" s="7">
        <v>1</v>
      </c>
      <c r="I57" s="7" t="s">
        <v>16</v>
      </c>
      <c r="J57" s="7">
        <v>1</v>
      </c>
      <c r="K57" s="7" t="s">
        <v>16</v>
      </c>
      <c r="L57" s="7" t="s">
        <v>16</v>
      </c>
      <c r="M57" s="7" t="s">
        <v>16</v>
      </c>
      <c r="N57" s="7" t="s">
        <v>16</v>
      </c>
      <c r="P57" s="11">
        <f>handsmoothed!B57^2</f>
        <v>196</v>
      </c>
      <c r="Q57" s="11">
        <f>handsmoothed!C57^2</f>
        <v>196</v>
      </c>
      <c r="R57" s="11">
        <f>handsmoothed!D57^2</f>
        <v>196</v>
      </c>
      <c r="S57" s="11">
        <f>handsmoothed!E57^2</f>
        <v>196</v>
      </c>
      <c r="T57" s="11">
        <f>handsmoothed!F57^2</f>
        <v>196</v>
      </c>
      <c r="U57" s="11">
        <f>handsmoothed!G57^2</f>
        <v>225</v>
      </c>
      <c r="V57" s="11">
        <f>handsmoothed!H57^2</f>
        <v>225</v>
      </c>
      <c r="W57" s="11">
        <f>handsmoothed!I57^2</f>
        <v>256</v>
      </c>
      <c r="X57" s="11">
        <f>handsmoothed!J57^2</f>
        <v>289</v>
      </c>
      <c r="Y57" s="11">
        <f>handsmoothed!K57^2</f>
        <v>324</v>
      </c>
      <c r="Z57" s="11">
        <f>handsmoothed!L57^2</f>
        <v>361</v>
      </c>
      <c r="AA57" s="11">
        <f>handsmoothed!M57^2</f>
        <v>361</v>
      </c>
      <c r="AB57" s="11">
        <f>handsmoothed!N57^2</f>
        <v>361</v>
      </c>
    </row>
    <row r="58" spans="1:28" x14ac:dyDescent="0.25">
      <c r="A58" s="12">
        <v>56</v>
      </c>
      <c r="B58" s="7">
        <v>4</v>
      </c>
      <c r="C58" s="7" t="s">
        <v>16</v>
      </c>
      <c r="D58" s="7">
        <v>3</v>
      </c>
      <c r="E58" s="7">
        <v>1</v>
      </c>
      <c r="F58" s="7">
        <v>5</v>
      </c>
      <c r="G58" s="7">
        <v>3</v>
      </c>
      <c r="H58" s="7">
        <v>1</v>
      </c>
      <c r="I58" s="7">
        <v>1</v>
      </c>
      <c r="J58" s="7" t="s">
        <v>16</v>
      </c>
      <c r="K58" s="7" t="s">
        <v>16</v>
      </c>
      <c r="L58" s="7" t="s">
        <v>16</v>
      </c>
      <c r="M58" s="7" t="s">
        <v>16</v>
      </c>
      <c r="N58" s="7" t="s">
        <v>16</v>
      </c>
      <c r="P58" s="11">
        <f>handsmoothed!B58^2</f>
        <v>196</v>
      </c>
      <c r="Q58" s="11">
        <f>handsmoothed!C58^2</f>
        <v>196</v>
      </c>
      <c r="R58" s="11">
        <f>handsmoothed!D58^2</f>
        <v>196</v>
      </c>
      <c r="S58" s="11">
        <f>handsmoothed!E58^2</f>
        <v>196</v>
      </c>
      <c r="T58" s="11">
        <f>handsmoothed!F58^2</f>
        <v>225</v>
      </c>
      <c r="U58" s="11">
        <f>handsmoothed!G58^2</f>
        <v>225</v>
      </c>
      <c r="V58" s="11">
        <f>handsmoothed!H58^2</f>
        <v>256</v>
      </c>
      <c r="W58" s="11">
        <f>handsmoothed!I58^2</f>
        <v>289</v>
      </c>
      <c r="X58" s="11">
        <f>handsmoothed!J58^2</f>
        <v>324</v>
      </c>
      <c r="Y58" s="11">
        <f>handsmoothed!K58^2</f>
        <v>324</v>
      </c>
      <c r="Z58" s="11">
        <f>handsmoothed!L58^2</f>
        <v>361</v>
      </c>
      <c r="AA58" s="11">
        <f>handsmoothed!M58^2</f>
        <v>361</v>
      </c>
      <c r="AB58" s="11">
        <f>handsmoothed!N58^2</f>
        <v>361</v>
      </c>
    </row>
    <row r="59" spans="1:28" x14ac:dyDescent="0.25">
      <c r="A59" s="12">
        <v>57</v>
      </c>
      <c r="B59" s="7">
        <v>5</v>
      </c>
      <c r="C59" s="7">
        <v>3</v>
      </c>
      <c r="D59" s="7">
        <v>4</v>
      </c>
      <c r="E59" s="7">
        <v>2</v>
      </c>
      <c r="F59" s="7" t="s">
        <v>16</v>
      </c>
      <c r="G59" s="7">
        <v>2</v>
      </c>
      <c r="H59" s="7">
        <v>1</v>
      </c>
      <c r="I59" s="7" t="s">
        <v>16</v>
      </c>
      <c r="J59" s="7" t="s">
        <v>16</v>
      </c>
      <c r="K59" s="7" t="s">
        <v>16</v>
      </c>
      <c r="L59" s="7" t="s">
        <v>16</v>
      </c>
      <c r="M59" s="7" t="s">
        <v>16</v>
      </c>
      <c r="N59" s="7" t="s">
        <v>16</v>
      </c>
      <c r="P59" s="11">
        <f>handsmoothed!B59^2</f>
        <v>225</v>
      </c>
      <c r="Q59" s="11">
        <f>handsmoothed!C59^2</f>
        <v>225</v>
      </c>
      <c r="R59" s="11">
        <f>handsmoothed!D59^2</f>
        <v>225</v>
      </c>
      <c r="S59" s="11">
        <f>handsmoothed!E59^2</f>
        <v>225</v>
      </c>
      <c r="T59" s="11">
        <f>handsmoothed!F59^2</f>
        <v>225</v>
      </c>
      <c r="U59" s="11">
        <f>handsmoothed!G59^2</f>
        <v>225</v>
      </c>
      <c r="V59" s="11">
        <f>handsmoothed!H59^2</f>
        <v>256</v>
      </c>
      <c r="W59" s="11">
        <f>handsmoothed!I59^2</f>
        <v>289</v>
      </c>
      <c r="X59" s="11">
        <f>handsmoothed!J59^2</f>
        <v>324</v>
      </c>
      <c r="Y59" s="11">
        <f>handsmoothed!K59^2</f>
        <v>361</v>
      </c>
      <c r="Z59" s="11">
        <f>handsmoothed!L59^2</f>
        <v>361</v>
      </c>
      <c r="AA59" s="11">
        <f>handsmoothed!M59^2</f>
        <v>361</v>
      </c>
      <c r="AB59" s="11">
        <f>handsmoothed!N59^2</f>
        <v>361</v>
      </c>
    </row>
    <row r="60" spans="1:28" x14ac:dyDescent="0.25">
      <c r="A60" s="12">
        <v>58</v>
      </c>
      <c r="B60" s="7">
        <v>1</v>
      </c>
      <c r="C60" s="7">
        <v>2</v>
      </c>
      <c r="D60" s="7">
        <v>3</v>
      </c>
      <c r="E60" s="7">
        <v>1</v>
      </c>
      <c r="F60" s="7">
        <v>2</v>
      </c>
      <c r="G60" s="7">
        <v>1</v>
      </c>
      <c r="H60" s="7" t="s">
        <v>16</v>
      </c>
      <c r="I60" s="7">
        <v>1</v>
      </c>
      <c r="J60" s="7" t="s">
        <v>16</v>
      </c>
      <c r="K60" s="7" t="s">
        <v>16</v>
      </c>
      <c r="L60" s="7" t="s">
        <v>16</v>
      </c>
      <c r="M60" s="7" t="s">
        <v>16</v>
      </c>
      <c r="N60" s="7" t="s">
        <v>16</v>
      </c>
      <c r="P60" s="11">
        <f>handsmoothed!B60^2</f>
        <v>225</v>
      </c>
      <c r="Q60" s="11">
        <f>handsmoothed!C60^2</f>
        <v>225</v>
      </c>
      <c r="R60" s="11">
        <f>handsmoothed!D60^2</f>
        <v>225</v>
      </c>
      <c r="S60" s="11">
        <f>handsmoothed!E60^2</f>
        <v>225</v>
      </c>
      <c r="T60" s="11">
        <f>handsmoothed!F60^2</f>
        <v>225</v>
      </c>
      <c r="U60" s="11">
        <f>handsmoothed!G60^2</f>
        <v>256</v>
      </c>
      <c r="V60" s="11">
        <f>handsmoothed!H60^2</f>
        <v>256</v>
      </c>
      <c r="W60" s="11">
        <f>handsmoothed!I60^2</f>
        <v>289</v>
      </c>
      <c r="X60" s="11">
        <f>handsmoothed!J60^2</f>
        <v>324</v>
      </c>
      <c r="Y60" s="11">
        <f>handsmoothed!K60^2</f>
        <v>361</v>
      </c>
      <c r="Z60" s="11">
        <f>handsmoothed!L60^2</f>
        <v>361</v>
      </c>
      <c r="AA60" s="11">
        <f>handsmoothed!M60^2</f>
        <v>361</v>
      </c>
      <c r="AB60" s="11">
        <f>handsmoothed!N60^2</f>
        <v>361</v>
      </c>
    </row>
    <row r="61" spans="1:28" x14ac:dyDescent="0.25">
      <c r="A61" s="12">
        <v>59</v>
      </c>
      <c r="B61" s="7" t="s">
        <v>16</v>
      </c>
      <c r="C61" s="7">
        <v>3</v>
      </c>
      <c r="D61" s="7">
        <v>3</v>
      </c>
      <c r="E61" s="7">
        <v>1</v>
      </c>
      <c r="F61" s="7">
        <v>2</v>
      </c>
      <c r="G61" s="7">
        <v>2</v>
      </c>
      <c r="H61" s="7" t="s">
        <v>16</v>
      </c>
      <c r="I61" s="7" t="s">
        <v>16</v>
      </c>
      <c r="J61" s="7" t="s">
        <v>16</v>
      </c>
      <c r="K61" s="7" t="s">
        <v>16</v>
      </c>
      <c r="L61" s="7" t="s">
        <v>16</v>
      </c>
      <c r="M61" s="7" t="s">
        <v>16</v>
      </c>
      <c r="N61" s="7" t="s">
        <v>16</v>
      </c>
      <c r="P61" s="11">
        <f>handsmoothed!B61^2</f>
        <v>225</v>
      </c>
      <c r="Q61" s="11">
        <f>handsmoothed!C61^2</f>
        <v>225</v>
      </c>
      <c r="R61" s="11">
        <f>handsmoothed!D61^2</f>
        <v>225</v>
      </c>
      <c r="S61" s="11">
        <f>handsmoothed!E61^2</f>
        <v>225</v>
      </c>
      <c r="T61" s="11">
        <f>handsmoothed!F61^2</f>
        <v>225</v>
      </c>
      <c r="U61" s="11">
        <f>handsmoothed!G61^2</f>
        <v>256</v>
      </c>
      <c r="V61" s="11">
        <f>handsmoothed!H61^2</f>
        <v>256</v>
      </c>
      <c r="W61" s="11">
        <f>handsmoothed!I61^2</f>
        <v>289</v>
      </c>
      <c r="X61" s="11">
        <f>handsmoothed!J61^2</f>
        <v>324</v>
      </c>
      <c r="Y61" s="11">
        <f>handsmoothed!K61^2</f>
        <v>361</v>
      </c>
      <c r="Z61" s="11">
        <f>handsmoothed!L61^2</f>
        <v>361</v>
      </c>
      <c r="AA61" s="11">
        <f>handsmoothed!M61^2</f>
        <v>361</v>
      </c>
      <c r="AB61" s="11">
        <f>handsmoothed!N61^2</f>
        <v>361</v>
      </c>
    </row>
    <row r="62" spans="1:28" x14ac:dyDescent="0.25">
      <c r="A62" s="12">
        <v>60</v>
      </c>
      <c r="B62" s="7">
        <v>1</v>
      </c>
      <c r="C62" s="7">
        <v>2</v>
      </c>
      <c r="D62" s="7">
        <v>4</v>
      </c>
      <c r="E62" s="7">
        <v>3</v>
      </c>
      <c r="F62" s="7">
        <v>3</v>
      </c>
      <c r="G62" s="7">
        <v>2</v>
      </c>
      <c r="H62" s="7" t="s">
        <v>16</v>
      </c>
      <c r="I62" s="7" t="s">
        <v>16</v>
      </c>
      <c r="J62" s="7" t="s">
        <v>16</v>
      </c>
      <c r="K62" s="7" t="s">
        <v>16</v>
      </c>
      <c r="L62" s="7" t="s">
        <v>16</v>
      </c>
      <c r="M62" s="7" t="s">
        <v>16</v>
      </c>
      <c r="N62" s="7" t="s">
        <v>16</v>
      </c>
      <c r="P62" s="11">
        <f>handsmoothed!B62^2</f>
        <v>256</v>
      </c>
      <c r="Q62" s="11">
        <f>handsmoothed!C62^2</f>
        <v>256</v>
      </c>
      <c r="R62" s="11">
        <f>handsmoothed!D62^2</f>
        <v>256</v>
      </c>
      <c r="S62" s="11">
        <f>handsmoothed!E62^2</f>
        <v>256</v>
      </c>
      <c r="T62" s="11">
        <f>handsmoothed!F62^2</f>
        <v>256</v>
      </c>
      <c r="U62" s="11">
        <f>handsmoothed!G62^2</f>
        <v>256</v>
      </c>
      <c r="V62" s="11">
        <f>handsmoothed!H62^2</f>
        <v>289</v>
      </c>
      <c r="W62" s="11">
        <f>handsmoothed!I62^2</f>
        <v>324</v>
      </c>
      <c r="X62" s="11">
        <f>handsmoothed!J62^2</f>
        <v>361</v>
      </c>
      <c r="Y62" s="11">
        <f>handsmoothed!K62^2</f>
        <v>361</v>
      </c>
      <c r="Z62" s="11">
        <f>handsmoothed!L62^2</f>
        <v>361</v>
      </c>
      <c r="AA62" s="11">
        <f>handsmoothed!M62^2</f>
        <v>361</v>
      </c>
      <c r="AB62" s="11">
        <f>handsmoothed!N62^2</f>
        <v>361</v>
      </c>
    </row>
    <row r="63" spans="1:28" x14ac:dyDescent="0.25">
      <c r="A63" s="12">
        <v>61</v>
      </c>
      <c r="B63" s="7">
        <v>1</v>
      </c>
      <c r="C63" s="7">
        <v>3</v>
      </c>
      <c r="D63" s="7">
        <v>1</v>
      </c>
      <c r="E63" s="7">
        <v>1</v>
      </c>
      <c r="F63" s="7">
        <v>1</v>
      </c>
      <c r="G63" s="7">
        <v>1</v>
      </c>
      <c r="H63" s="7" t="s">
        <v>16</v>
      </c>
      <c r="I63" s="7" t="s">
        <v>16</v>
      </c>
      <c r="J63" s="7" t="s">
        <v>16</v>
      </c>
      <c r="K63" s="7" t="s">
        <v>16</v>
      </c>
      <c r="L63" s="7" t="s">
        <v>16</v>
      </c>
      <c r="M63" s="7" t="s">
        <v>16</v>
      </c>
      <c r="N63" s="7" t="s">
        <v>16</v>
      </c>
      <c r="P63" s="11">
        <f>handsmoothed!B63^2</f>
        <v>256</v>
      </c>
      <c r="Q63" s="11">
        <f>handsmoothed!C63^2</f>
        <v>256</v>
      </c>
      <c r="R63" s="11">
        <f>handsmoothed!D63^2</f>
        <v>256</v>
      </c>
      <c r="S63" s="11">
        <f>handsmoothed!E63^2</f>
        <v>256</v>
      </c>
      <c r="T63" s="11">
        <f>handsmoothed!F63^2</f>
        <v>256</v>
      </c>
      <c r="U63" s="11">
        <f>handsmoothed!G63^2</f>
        <v>289</v>
      </c>
      <c r="V63" s="11">
        <f>handsmoothed!H63^2</f>
        <v>289</v>
      </c>
      <c r="W63" s="11">
        <f>handsmoothed!I63^2</f>
        <v>324</v>
      </c>
      <c r="X63" s="11">
        <f>handsmoothed!J63^2</f>
        <v>361</v>
      </c>
      <c r="Y63" s="11">
        <f>handsmoothed!K63^2</f>
        <v>361</v>
      </c>
      <c r="Z63" s="11">
        <f>handsmoothed!L63^2</f>
        <v>361</v>
      </c>
      <c r="AA63" s="11">
        <f>handsmoothed!M63^2</f>
        <v>361</v>
      </c>
      <c r="AB63" s="11">
        <f>handsmoothed!N63^2</f>
        <v>361</v>
      </c>
    </row>
    <row r="64" spans="1:28" x14ac:dyDescent="0.25">
      <c r="A64" s="12">
        <v>62</v>
      </c>
      <c r="B64" s="7" t="s">
        <v>16</v>
      </c>
      <c r="C64" s="7" t="s">
        <v>16</v>
      </c>
      <c r="D64" s="7">
        <v>2</v>
      </c>
      <c r="E64" s="7">
        <v>3</v>
      </c>
      <c r="F64" s="7">
        <v>1</v>
      </c>
      <c r="G64" s="7" t="s">
        <v>16</v>
      </c>
      <c r="H64" s="7">
        <v>1</v>
      </c>
      <c r="I64" s="7" t="s">
        <v>16</v>
      </c>
      <c r="J64" s="7" t="s">
        <v>16</v>
      </c>
      <c r="K64" s="7" t="s">
        <v>16</v>
      </c>
      <c r="L64" s="7" t="s">
        <v>16</v>
      </c>
      <c r="M64" s="7" t="s">
        <v>16</v>
      </c>
      <c r="N64" s="7" t="s">
        <v>16</v>
      </c>
      <c r="P64" s="11">
        <f>handsmoothed!B64^2</f>
        <v>256</v>
      </c>
      <c r="Q64" s="11">
        <f>handsmoothed!C64^2</f>
        <v>256</v>
      </c>
      <c r="R64" s="11">
        <f>handsmoothed!D64^2</f>
        <v>256</v>
      </c>
      <c r="S64" s="11">
        <f>handsmoothed!E64^2</f>
        <v>256</v>
      </c>
      <c r="T64" s="11">
        <f>handsmoothed!F64^2</f>
        <v>256</v>
      </c>
      <c r="U64" s="11">
        <f>handsmoothed!G64^2</f>
        <v>289</v>
      </c>
      <c r="V64" s="11">
        <f>handsmoothed!H64^2</f>
        <v>289</v>
      </c>
      <c r="W64" s="11">
        <f>handsmoothed!I64^2</f>
        <v>324</v>
      </c>
      <c r="X64" s="11">
        <f>handsmoothed!J64^2</f>
        <v>361</v>
      </c>
      <c r="Y64" s="11">
        <f>handsmoothed!K64^2</f>
        <v>361</v>
      </c>
      <c r="Z64" s="11">
        <f>handsmoothed!L64^2</f>
        <v>361</v>
      </c>
      <c r="AA64" s="11">
        <f>handsmoothed!M64^2</f>
        <v>361</v>
      </c>
      <c r="AB64" s="11">
        <f>handsmoothed!N64^2</f>
        <v>361</v>
      </c>
    </row>
    <row r="65" spans="1:28" x14ac:dyDescent="0.25">
      <c r="A65" s="12">
        <v>63</v>
      </c>
      <c r="B65" s="7" t="s">
        <v>16</v>
      </c>
      <c r="C65" s="7" t="s">
        <v>16</v>
      </c>
      <c r="D65" s="7">
        <v>1</v>
      </c>
      <c r="E65" s="7">
        <v>1</v>
      </c>
      <c r="F65" s="7" t="s">
        <v>16</v>
      </c>
      <c r="G65" s="7" t="s">
        <v>16</v>
      </c>
      <c r="H65" s="7" t="s">
        <v>16</v>
      </c>
      <c r="I65" s="7" t="s">
        <v>16</v>
      </c>
      <c r="J65" s="7" t="s">
        <v>16</v>
      </c>
      <c r="K65" s="7" t="s">
        <v>16</v>
      </c>
      <c r="L65" s="7" t="s">
        <v>16</v>
      </c>
      <c r="M65" s="7" t="s">
        <v>16</v>
      </c>
      <c r="N65" s="7" t="s">
        <v>16</v>
      </c>
      <c r="P65" s="11">
        <f>handsmoothed!B65^2</f>
        <v>289</v>
      </c>
      <c r="Q65" s="11">
        <f>handsmoothed!C65^2</f>
        <v>289</v>
      </c>
      <c r="R65" s="11">
        <f>handsmoothed!D65^2</f>
        <v>289</v>
      </c>
      <c r="S65" s="11">
        <f>handsmoothed!E65^2</f>
        <v>289</v>
      </c>
      <c r="T65" s="11">
        <f>handsmoothed!F65^2</f>
        <v>289</v>
      </c>
      <c r="U65" s="11">
        <f>handsmoothed!G65^2</f>
        <v>324</v>
      </c>
      <c r="V65" s="11">
        <f>handsmoothed!H65^2</f>
        <v>324</v>
      </c>
      <c r="W65" s="11">
        <f>handsmoothed!I65^2</f>
        <v>361</v>
      </c>
      <c r="X65" s="11">
        <f>handsmoothed!J65^2</f>
        <v>361</v>
      </c>
      <c r="Y65" s="11">
        <f>handsmoothed!K65^2</f>
        <v>361</v>
      </c>
      <c r="Z65" s="11">
        <f>handsmoothed!L65^2</f>
        <v>361</v>
      </c>
      <c r="AA65" s="11">
        <f>handsmoothed!M65^2</f>
        <v>361</v>
      </c>
      <c r="AB65" s="11">
        <f>handsmoothed!N65^2</f>
        <v>361</v>
      </c>
    </row>
    <row r="66" spans="1:28" x14ac:dyDescent="0.25">
      <c r="A66" s="12">
        <v>64</v>
      </c>
      <c r="B66" s="7" t="s">
        <v>16</v>
      </c>
      <c r="C66" s="7" t="s">
        <v>16</v>
      </c>
      <c r="D66" s="7" t="s">
        <v>16</v>
      </c>
      <c r="E66" s="7" t="s">
        <v>16</v>
      </c>
      <c r="F66" s="7">
        <v>1</v>
      </c>
      <c r="G66" s="7" t="s">
        <v>16</v>
      </c>
      <c r="H66" s="7" t="s">
        <v>16</v>
      </c>
      <c r="I66" s="7" t="s">
        <v>16</v>
      </c>
      <c r="J66" s="7" t="s">
        <v>16</v>
      </c>
      <c r="K66" s="7" t="s">
        <v>16</v>
      </c>
      <c r="L66" s="7" t="s">
        <v>16</v>
      </c>
      <c r="M66" s="7" t="s">
        <v>16</v>
      </c>
      <c r="N66" s="7" t="s">
        <v>16</v>
      </c>
      <c r="P66" s="11">
        <f>handsmoothed!B66^2</f>
        <v>289</v>
      </c>
      <c r="Q66" s="11">
        <f>handsmoothed!C66^2</f>
        <v>289</v>
      </c>
      <c r="R66" s="11">
        <f>handsmoothed!D66^2</f>
        <v>289</v>
      </c>
      <c r="S66" s="11">
        <f>handsmoothed!E66^2</f>
        <v>289</v>
      </c>
      <c r="T66" s="11">
        <f>handsmoothed!F66^2</f>
        <v>289</v>
      </c>
      <c r="U66" s="11">
        <f>handsmoothed!G66^2</f>
        <v>324</v>
      </c>
      <c r="V66" s="11">
        <f>handsmoothed!H66^2</f>
        <v>324</v>
      </c>
      <c r="W66" s="11">
        <f>handsmoothed!I66^2</f>
        <v>361</v>
      </c>
      <c r="X66" s="11">
        <f>handsmoothed!J66^2</f>
        <v>361</v>
      </c>
      <c r="Y66" s="11">
        <f>handsmoothed!K66^2</f>
        <v>361</v>
      </c>
      <c r="Z66" s="11">
        <f>handsmoothed!L66^2</f>
        <v>361</v>
      </c>
      <c r="AA66" s="11">
        <f>handsmoothed!M66^2</f>
        <v>361</v>
      </c>
      <c r="AB66" s="11">
        <f>handsmoothed!N66^2</f>
        <v>361</v>
      </c>
    </row>
    <row r="67" spans="1:28" x14ac:dyDescent="0.25">
      <c r="A67" s="12">
        <v>65</v>
      </c>
      <c r="B67" s="7" t="s">
        <v>16</v>
      </c>
      <c r="C67" s="7">
        <v>1</v>
      </c>
      <c r="D67" s="7" t="s">
        <v>16</v>
      </c>
      <c r="E67" s="7" t="s">
        <v>16</v>
      </c>
      <c r="F67" s="7" t="s">
        <v>16</v>
      </c>
      <c r="G67" s="7" t="s">
        <v>16</v>
      </c>
      <c r="H67" s="7" t="s">
        <v>16</v>
      </c>
      <c r="I67" s="7">
        <v>1</v>
      </c>
      <c r="J67" s="7" t="s">
        <v>16</v>
      </c>
      <c r="K67" s="7" t="s">
        <v>16</v>
      </c>
      <c r="L67" s="7" t="s">
        <v>16</v>
      </c>
      <c r="M67" s="7" t="s">
        <v>16</v>
      </c>
      <c r="N67" s="7" t="s">
        <v>16</v>
      </c>
      <c r="P67" s="11">
        <f>handsmoothed!B67^2</f>
        <v>324</v>
      </c>
      <c r="Q67" s="11">
        <f>handsmoothed!C67^2</f>
        <v>324</v>
      </c>
      <c r="R67" s="11">
        <f>handsmoothed!D67^2</f>
        <v>324</v>
      </c>
      <c r="S67" s="11">
        <f>handsmoothed!E67^2</f>
        <v>324</v>
      </c>
      <c r="T67" s="11">
        <f>handsmoothed!F67^2</f>
        <v>324</v>
      </c>
      <c r="U67" s="11">
        <f>handsmoothed!G67^2</f>
        <v>361</v>
      </c>
      <c r="V67" s="11">
        <f>handsmoothed!H67^2</f>
        <v>361</v>
      </c>
      <c r="W67" s="11">
        <f>handsmoothed!I67^2</f>
        <v>361</v>
      </c>
      <c r="X67" s="11">
        <f>handsmoothed!J67^2</f>
        <v>361</v>
      </c>
      <c r="Y67" s="11">
        <f>handsmoothed!K67^2</f>
        <v>361</v>
      </c>
      <c r="Z67" s="11">
        <f>handsmoothed!L67^2</f>
        <v>361</v>
      </c>
      <c r="AA67" s="11">
        <f>handsmoothed!M67^2</f>
        <v>361</v>
      </c>
      <c r="AB67" s="11">
        <f>handsmoothed!N67^2</f>
        <v>361</v>
      </c>
    </row>
    <row r="68" spans="1:28" x14ac:dyDescent="0.25">
      <c r="A68" s="13">
        <v>66</v>
      </c>
      <c r="B68" s="7" t="s">
        <v>16</v>
      </c>
      <c r="C68" s="7" t="s">
        <v>16</v>
      </c>
      <c r="D68" s="7" t="s">
        <v>16</v>
      </c>
      <c r="E68" s="7" t="s">
        <v>16</v>
      </c>
      <c r="F68" s="7" t="s">
        <v>16</v>
      </c>
      <c r="G68" s="7" t="s">
        <v>16</v>
      </c>
      <c r="H68" s="7" t="s">
        <v>16</v>
      </c>
      <c r="I68" s="7" t="s">
        <v>16</v>
      </c>
      <c r="J68" s="7" t="s">
        <v>16</v>
      </c>
      <c r="K68" s="7" t="s">
        <v>16</v>
      </c>
      <c r="L68" s="7" t="s">
        <v>16</v>
      </c>
      <c r="M68" s="7" t="s">
        <v>16</v>
      </c>
      <c r="N68" s="7" t="s">
        <v>16</v>
      </c>
      <c r="P68" s="11">
        <f>handsmoothed!B68^2</f>
        <v>361</v>
      </c>
      <c r="Q68" s="11">
        <f>handsmoothed!C68^2</f>
        <v>361</v>
      </c>
      <c r="R68" s="11">
        <f>handsmoothed!D68^2</f>
        <v>361</v>
      </c>
      <c r="S68" s="11">
        <f>handsmoothed!E68^2</f>
        <v>361</v>
      </c>
      <c r="T68" s="11">
        <f>handsmoothed!F68^2</f>
        <v>361</v>
      </c>
      <c r="U68" s="11">
        <f>handsmoothed!G68^2</f>
        <v>361</v>
      </c>
      <c r="V68" s="11">
        <f>handsmoothed!H68^2</f>
        <v>361</v>
      </c>
      <c r="W68" s="11">
        <f>handsmoothed!I68^2</f>
        <v>361</v>
      </c>
      <c r="X68" s="11">
        <f>handsmoothed!J68^2</f>
        <v>361</v>
      </c>
      <c r="Y68" s="11">
        <f>handsmoothed!K68^2</f>
        <v>361</v>
      </c>
      <c r="Z68" s="11">
        <f>handsmoothed!L68^2</f>
        <v>361</v>
      </c>
      <c r="AA68" s="11">
        <f>handsmoothed!M68^2</f>
        <v>361</v>
      </c>
      <c r="AB68" s="11">
        <f>handsmoothed!N68^2</f>
        <v>361</v>
      </c>
    </row>
    <row r="69" spans="1:28" x14ac:dyDescent="0.25">
      <c r="B69" s="11">
        <f>SUMPRODUCT(B2:B68,handsmoothed!B2:B68)</f>
        <v>1744</v>
      </c>
      <c r="C69" s="11">
        <f>SUMPRODUCT(C2:C68,handsmoothed!C2:C68)</f>
        <v>1778</v>
      </c>
      <c r="D69" s="11">
        <f>SUMPRODUCT(D2:D68,handsmoothed!D2:D68)</f>
        <v>1878</v>
      </c>
      <c r="E69" s="11">
        <f>SUMPRODUCT(E2:E68,handsmoothed!E2:E68)</f>
        <v>1846</v>
      </c>
      <c r="F69" s="11">
        <f>SUMPRODUCT(F2:F68,handsmoothed!F2:F68)</f>
        <v>1830</v>
      </c>
      <c r="G69" s="11">
        <f>SUMPRODUCT(G2:G68,handsmoothed!G2:G68)</f>
        <v>1789</v>
      </c>
      <c r="H69" s="11">
        <f>SUMPRODUCT(H2:H68,handsmoothed!H2:H68)</f>
        <v>1844</v>
      </c>
      <c r="I69" s="11">
        <f>SUMPRODUCT(I2:I68,handsmoothed!I2:I68)</f>
        <v>1724</v>
      </c>
      <c r="J69" s="11">
        <f>SUMPRODUCT(J2:J68,handsmoothed!J2:J68)</f>
        <v>1762</v>
      </c>
      <c r="K69" s="11">
        <f>SUMPRODUCT(K2:K68,handsmoothed!K2:K68)</f>
        <v>987</v>
      </c>
      <c r="L69" s="11">
        <f>SUMPRODUCT(L2:L68,handsmoothed!L2:L68)</f>
        <v>1004</v>
      </c>
      <c r="M69" s="11">
        <f>SUMPRODUCT(M2:M68,handsmoothed!M2:M68)</f>
        <v>977</v>
      </c>
      <c r="N69" s="11">
        <f>SUMPRODUCT(N2:N68,handsmoothed!N2:N68)</f>
        <v>1038</v>
      </c>
      <c r="O69" s="11">
        <f>SUM(B69:N69)</f>
        <v>20201</v>
      </c>
    </row>
    <row r="70" spans="1:28" x14ac:dyDescent="0.25">
      <c r="B70" s="11">
        <f>SUMPRODUCT(B2:B68,P2:P68)</f>
        <v>18416</v>
      </c>
      <c r="C70" s="11">
        <f t="shared" ref="C70:N70" si="0">SUMPRODUCT(C2:C68,Q2:Q68)</f>
        <v>19182</v>
      </c>
      <c r="D70" s="11">
        <f t="shared" si="0"/>
        <v>21178</v>
      </c>
      <c r="E70" s="11">
        <f t="shared" si="0"/>
        <v>20620</v>
      </c>
      <c r="F70" s="11">
        <f t="shared" si="0"/>
        <v>20080</v>
      </c>
      <c r="G70" s="11">
        <f t="shared" si="0"/>
        <v>19543</v>
      </c>
      <c r="H70" s="11">
        <f t="shared" si="0"/>
        <v>20600</v>
      </c>
      <c r="I70" s="11">
        <f t="shared" si="0"/>
        <v>18182</v>
      </c>
      <c r="J70" s="11">
        <f t="shared" si="0"/>
        <v>18850</v>
      </c>
      <c r="K70" s="11">
        <f t="shared" si="0"/>
        <v>10499</v>
      </c>
      <c r="L70" s="11">
        <f t="shared" si="0"/>
        <v>10886</v>
      </c>
      <c r="M70" s="11">
        <f t="shared" si="0"/>
        <v>10477</v>
      </c>
      <c r="N70" s="11">
        <f t="shared" si="0"/>
        <v>11868</v>
      </c>
      <c r="O70" s="11">
        <f>SUM(B70:N70)</f>
        <v>220381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C552-677B-4FA5-9343-69E1215D1AA0}">
  <dimension ref="A1:AR20"/>
  <sheetViews>
    <sheetView workbookViewId="0">
      <selection activeCell="W12" sqref="W12"/>
    </sheetView>
  </sheetViews>
  <sheetFormatPr defaultRowHeight="15" x14ac:dyDescent="0.25"/>
  <cols>
    <col min="1" max="1" width="8.7109375" style="8"/>
    <col min="2" max="14" width="4.7109375" style="8" customWidth="1"/>
    <col min="17" max="29" width="4.5703125" customWidth="1"/>
    <col min="32" max="44" width="4.85546875" customWidth="1"/>
  </cols>
  <sheetData>
    <row r="1" spans="1:44" x14ac:dyDescent="0.25"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0" t="s">
        <v>28</v>
      </c>
      <c r="J1" s="10" t="s">
        <v>29</v>
      </c>
      <c r="K1" s="10" t="s">
        <v>30</v>
      </c>
      <c r="L1" s="10" t="s">
        <v>31</v>
      </c>
      <c r="M1" s="10" t="s">
        <v>32</v>
      </c>
      <c r="N1" s="10" t="s">
        <v>33</v>
      </c>
      <c r="P1" s="8"/>
      <c r="Q1" s="10" t="s">
        <v>21</v>
      </c>
      <c r="R1" s="10" t="s">
        <v>22</v>
      </c>
      <c r="S1" s="10" t="s">
        <v>23</v>
      </c>
      <c r="T1" s="10" t="s">
        <v>24</v>
      </c>
      <c r="U1" s="10" t="s">
        <v>25</v>
      </c>
      <c r="V1" s="10" t="s">
        <v>26</v>
      </c>
      <c r="W1" s="10" t="s">
        <v>27</v>
      </c>
      <c r="X1" s="10" t="s">
        <v>28</v>
      </c>
      <c r="Y1" s="10" t="s">
        <v>29</v>
      </c>
      <c r="Z1" s="10" t="s">
        <v>30</v>
      </c>
      <c r="AA1" s="10" t="s">
        <v>31</v>
      </c>
      <c r="AB1" s="10" t="s">
        <v>32</v>
      </c>
      <c r="AC1" s="10"/>
      <c r="AE1" s="8"/>
      <c r="AF1" s="10" t="s">
        <v>21</v>
      </c>
      <c r="AG1" s="10" t="s">
        <v>22</v>
      </c>
      <c r="AH1" s="10" t="s">
        <v>23</v>
      </c>
      <c r="AI1" s="10" t="s">
        <v>24</v>
      </c>
      <c r="AJ1" s="10" t="s">
        <v>25</v>
      </c>
      <c r="AK1" s="10" t="s">
        <v>26</v>
      </c>
      <c r="AL1" s="10" t="s">
        <v>27</v>
      </c>
      <c r="AM1" s="10" t="s">
        <v>28</v>
      </c>
      <c r="AN1" s="10" t="s">
        <v>29</v>
      </c>
      <c r="AO1" s="10" t="s">
        <v>30</v>
      </c>
      <c r="AP1" s="10" t="s">
        <v>31</v>
      </c>
      <c r="AQ1" s="10" t="s">
        <v>32</v>
      </c>
      <c r="AR1" s="10" t="s">
        <v>33</v>
      </c>
    </row>
    <row r="2" spans="1:44" x14ac:dyDescent="0.25">
      <c r="A2" s="8">
        <v>1</v>
      </c>
      <c r="B2" s="8">
        <f>COUNTIF(handsmoothed!B$2:B$68,$A2)</f>
        <v>4</v>
      </c>
      <c r="C2" s="8">
        <f>COUNTIF(handsmoothed!C$2:C$68,$A2)</f>
        <v>4</v>
      </c>
      <c r="D2" s="8">
        <f>COUNTIF(handsmoothed!D$2:D$68,$A2)</f>
        <v>4</v>
      </c>
      <c r="E2" s="8">
        <f>COUNTIF(handsmoothed!E$2:E$68,$A2)</f>
        <v>4</v>
      </c>
      <c r="F2" s="8">
        <f>COUNTIF(handsmoothed!F$2:F$68,$A2)</f>
        <v>3</v>
      </c>
      <c r="G2" s="8">
        <f>COUNTIF(handsmoothed!G$2:G$68,$A2)</f>
        <v>3</v>
      </c>
      <c r="H2" s="8">
        <f>COUNTIF(handsmoothed!H$2:H$68,$A2)</f>
        <v>3</v>
      </c>
      <c r="I2" s="8">
        <f>COUNTIF(handsmoothed!I$2:I$68,$A2)</f>
        <v>3</v>
      </c>
      <c r="J2" s="8">
        <f>COUNTIF(handsmoothed!J$2:J$68,$A2)</f>
        <v>3</v>
      </c>
      <c r="K2" s="8">
        <f>COUNTIF(handsmoothed!K$2:K$68,$A2)</f>
        <v>3</v>
      </c>
      <c r="L2" s="8">
        <f>COUNTIF(handsmoothed!L$2:L$68,$A2)</f>
        <v>3</v>
      </c>
      <c r="M2" s="8">
        <f>COUNTIF(handsmoothed!M$2:M$68,$A2)</f>
        <v>3</v>
      </c>
      <c r="N2" s="8">
        <f>COUNTIF(handsmoothed!N$2:N$68,$A2)</f>
        <v>2</v>
      </c>
      <c r="P2" s="8">
        <v>1</v>
      </c>
      <c r="Q2" s="8">
        <f>B2-C2</f>
        <v>0</v>
      </c>
      <c r="R2" s="8">
        <f t="shared" ref="R2:AB2" si="0">C2-D2</f>
        <v>0</v>
      </c>
      <c r="S2" s="8">
        <f t="shared" si="0"/>
        <v>0</v>
      </c>
      <c r="T2" s="8">
        <f t="shared" si="0"/>
        <v>1</v>
      </c>
      <c r="U2" s="8">
        <f t="shared" si="0"/>
        <v>0</v>
      </c>
      <c r="V2" s="8">
        <f t="shared" si="0"/>
        <v>0</v>
      </c>
      <c r="W2" s="8">
        <f t="shared" si="0"/>
        <v>0</v>
      </c>
      <c r="X2" s="8">
        <f t="shared" si="0"/>
        <v>0</v>
      </c>
      <c r="Y2" s="8">
        <f t="shared" si="0"/>
        <v>0</v>
      </c>
      <c r="Z2" s="8">
        <f t="shared" si="0"/>
        <v>0</v>
      </c>
      <c r="AA2" s="8">
        <f t="shared" si="0"/>
        <v>0</v>
      </c>
      <c r="AB2" s="8">
        <f t="shared" si="0"/>
        <v>1</v>
      </c>
      <c r="AC2" s="8"/>
      <c r="AE2" s="8">
        <v>1</v>
      </c>
      <c r="AF2" s="8">
        <f>B3-B2</f>
        <v>0</v>
      </c>
      <c r="AG2" s="8">
        <f t="shared" ref="AG2:AR2" si="1">C3-C2</f>
        <v>0</v>
      </c>
      <c r="AH2" s="8">
        <f t="shared" si="1"/>
        <v>0</v>
      </c>
      <c r="AI2" s="8">
        <f t="shared" si="1"/>
        <v>0</v>
      </c>
      <c r="AJ2" s="8">
        <f t="shared" si="1"/>
        <v>1</v>
      </c>
      <c r="AK2" s="8">
        <f t="shared" si="1"/>
        <v>1</v>
      </c>
      <c r="AL2" s="8">
        <f t="shared" si="1"/>
        <v>1</v>
      </c>
      <c r="AM2" s="8">
        <f t="shared" si="1"/>
        <v>0</v>
      </c>
      <c r="AN2" s="8">
        <f t="shared" si="1"/>
        <v>0</v>
      </c>
      <c r="AO2" s="8">
        <f t="shared" si="1"/>
        <v>0</v>
      </c>
      <c r="AP2" s="8">
        <f t="shared" si="1"/>
        <v>0</v>
      </c>
      <c r="AQ2" s="8">
        <f t="shared" si="1"/>
        <v>-1</v>
      </c>
      <c r="AR2" s="8">
        <f t="shared" si="1"/>
        <v>0</v>
      </c>
    </row>
    <row r="3" spans="1:44" x14ac:dyDescent="0.25">
      <c r="A3" s="8">
        <v>2</v>
      </c>
      <c r="B3" s="8">
        <f>COUNTIF(handsmoothed!B$2:B$68,$A3)</f>
        <v>4</v>
      </c>
      <c r="C3" s="8">
        <f>COUNTIF(handsmoothed!C$2:C$68,$A3)</f>
        <v>4</v>
      </c>
      <c r="D3" s="8">
        <f>COUNTIF(handsmoothed!D$2:D$68,$A3)</f>
        <v>4</v>
      </c>
      <c r="E3" s="8">
        <f>COUNTIF(handsmoothed!E$2:E$68,$A3)</f>
        <v>4</v>
      </c>
      <c r="F3" s="8">
        <f>COUNTIF(handsmoothed!F$2:F$68,$A3)</f>
        <v>4</v>
      </c>
      <c r="G3" s="8">
        <f>COUNTIF(handsmoothed!G$2:G$68,$A3)</f>
        <v>4</v>
      </c>
      <c r="H3" s="8">
        <f>COUNTIF(handsmoothed!H$2:H$68,$A3)</f>
        <v>4</v>
      </c>
      <c r="I3" s="8">
        <f>COUNTIF(handsmoothed!I$2:I$68,$A3)</f>
        <v>3</v>
      </c>
      <c r="J3" s="8">
        <f>COUNTIF(handsmoothed!J$2:J$68,$A3)</f>
        <v>3</v>
      </c>
      <c r="K3" s="8">
        <f>COUNTIF(handsmoothed!K$2:K$68,$A3)</f>
        <v>3</v>
      </c>
      <c r="L3" s="8">
        <f>COUNTIF(handsmoothed!L$2:L$68,$A3)</f>
        <v>3</v>
      </c>
      <c r="M3" s="8">
        <f>COUNTIF(handsmoothed!M$2:M$68,$A3)</f>
        <v>2</v>
      </c>
      <c r="N3" s="8">
        <f>COUNTIF(handsmoothed!N$2:N$68,$A3)</f>
        <v>2</v>
      </c>
      <c r="P3" s="8">
        <v>2</v>
      </c>
      <c r="Q3" s="8">
        <f t="shared" ref="Q3:Q20" si="2">B3-C3</f>
        <v>0</v>
      </c>
      <c r="R3" s="8">
        <f t="shared" ref="R3:R20" si="3">C3-D3</f>
        <v>0</v>
      </c>
      <c r="S3" s="8">
        <f t="shared" ref="S3:S20" si="4">D3-E3</f>
        <v>0</v>
      </c>
      <c r="T3" s="8">
        <f t="shared" ref="T3:T20" si="5">E3-F3</f>
        <v>0</v>
      </c>
      <c r="U3" s="8">
        <f t="shared" ref="U3:U20" si="6">F3-G3</f>
        <v>0</v>
      </c>
      <c r="V3" s="8">
        <f t="shared" ref="V3:V20" si="7">G3-H3</f>
        <v>0</v>
      </c>
      <c r="W3" s="8">
        <f t="shared" ref="W3:W20" si="8">H3-I3</f>
        <v>1</v>
      </c>
      <c r="X3" s="8">
        <f t="shared" ref="X3:X20" si="9">I3-J3</f>
        <v>0</v>
      </c>
      <c r="Y3" s="8">
        <f t="shared" ref="Y3:Y20" si="10">J3-K3</f>
        <v>0</v>
      </c>
      <c r="Z3" s="8">
        <f t="shared" ref="Z3:Z20" si="11">K3-L3</f>
        <v>0</v>
      </c>
      <c r="AA3" s="8">
        <f t="shared" ref="AA3:AA20" si="12">L3-M3</f>
        <v>1</v>
      </c>
      <c r="AB3" s="8">
        <f t="shared" ref="AB3:AB20" si="13">M3-N3</f>
        <v>0</v>
      </c>
      <c r="AC3" s="8"/>
      <c r="AE3" s="8">
        <v>2</v>
      </c>
      <c r="AF3" s="8">
        <f t="shared" ref="AF3:AF19" si="14">B4-B3</f>
        <v>0</v>
      </c>
      <c r="AG3" s="8">
        <f t="shared" ref="AG3:AG19" si="15">C4-C3</f>
        <v>0</v>
      </c>
      <c r="AH3" s="8">
        <f t="shared" ref="AH3:AH19" si="16">D4-D3</f>
        <v>0</v>
      </c>
      <c r="AI3" s="8">
        <f t="shared" ref="AI3:AI19" si="17">E4-E3</f>
        <v>-1</v>
      </c>
      <c r="AJ3" s="8">
        <f t="shared" ref="AJ3:AJ19" si="18">F4-F3</f>
        <v>0</v>
      </c>
      <c r="AK3" s="8">
        <f t="shared" ref="AK3:AK19" si="19">G4-G3</f>
        <v>0</v>
      </c>
      <c r="AL3" s="8">
        <f>H4-H3</f>
        <v>0</v>
      </c>
      <c r="AM3" s="8">
        <f t="shared" ref="AM3:AM19" si="20">I4-I3</f>
        <v>1</v>
      </c>
      <c r="AN3" s="8">
        <f>J4-J3</f>
        <v>0</v>
      </c>
      <c r="AO3" s="8">
        <f t="shared" ref="AO3:AO19" si="21">K4-K3</f>
        <v>0</v>
      </c>
      <c r="AP3" s="8">
        <f t="shared" ref="AP3:AP19" si="22">L4-L3</f>
        <v>-1</v>
      </c>
      <c r="AQ3" s="8">
        <f t="shared" ref="AQ3:AQ19" si="23">M4-M3</f>
        <v>0</v>
      </c>
      <c r="AR3" s="8">
        <f t="shared" ref="AR3:AR19" si="24">N4-N3</f>
        <v>0</v>
      </c>
    </row>
    <row r="4" spans="1:44" x14ac:dyDescent="0.25">
      <c r="A4" s="8">
        <v>3</v>
      </c>
      <c r="B4" s="8">
        <f>COUNTIF(handsmoothed!B$2:B$68,$A4)</f>
        <v>4</v>
      </c>
      <c r="C4" s="8">
        <f>COUNTIF(handsmoothed!C$2:C$68,$A4)</f>
        <v>4</v>
      </c>
      <c r="D4" s="8">
        <f>COUNTIF(handsmoothed!D$2:D$68,$A4)</f>
        <v>4</v>
      </c>
      <c r="E4" s="8">
        <f>COUNTIF(handsmoothed!E$2:E$68,$A4)</f>
        <v>3</v>
      </c>
      <c r="F4" s="8">
        <f>COUNTIF(handsmoothed!F$2:F$68,$A4)</f>
        <v>4</v>
      </c>
      <c r="G4" s="8">
        <f>COUNTIF(handsmoothed!G$2:G$68,$A4)</f>
        <v>4</v>
      </c>
      <c r="H4" s="8">
        <f>COUNTIF(handsmoothed!H$2:H$68,$A4)</f>
        <v>4</v>
      </c>
      <c r="I4" s="8">
        <f>COUNTIF(handsmoothed!I$2:I$68,$A4)</f>
        <v>4</v>
      </c>
      <c r="J4" s="8">
        <f>COUNTIF(handsmoothed!J$2:J$68,$A4)</f>
        <v>3</v>
      </c>
      <c r="K4" s="8">
        <f>COUNTIF(handsmoothed!K$2:K$68,$A4)</f>
        <v>3</v>
      </c>
      <c r="L4" s="8">
        <f>COUNTIF(handsmoothed!L$2:L$68,$A4)</f>
        <v>2</v>
      </c>
      <c r="M4" s="8">
        <f>COUNTIF(handsmoothed!M$2:M$68,$A4)</f>
        <v>2</v>
      </c>
      <c r="N4" s="8">
        <f>COUNTIF(handsmoothed!N$2:N$68,$A4)</f>
        <v>2</v>
      </c>
      <c r="P4" s="8">
        <v>3</v>
      </c>
      <c r="Q4" s="8">
        <f t="shared" si="2"/>
        <v>0</v>
      </c>
      <c r="R4" s="8">
        <f t="shared" si="3"/>
        <v>0</v>
      </c>
      <c r="S4" s="8">
        <f t="shared" si="4"/>
        <v>1</v>
      </c>
      <c r="T4" s="8">
        <f t="shared" si="5"/>
        <v>-1</v>
      </c>
      <c r="U4" s="8">
        <f t="shared" si="6"/>
        <v>0</v>
      </c>
      <c r="V4" s="8">
        <f t="shared" si="7"/>
        <v>0</v>
      </c>
      <c r="W4" s="8">
        <f t="shared" si="8"/>
        <v>0</v>
      </c>
      <c r="X4" s="8">
        <f t="shared" si="9"/>
        <v>1</v>
      </c>
      <c r="Y4" s="8">
        <f t="shared" si="10"/>
        <v>0</v>
      </c>
      <c r="Z4" s="8">
        <f t="shared" si="11"/>
        <v>1</v>
      </c>
      <c r="AA4" s="8">
        <f t="shared" si="12"/>
        <v>0</v>
      </c>
      <c r="AB4" s="8">
        <f t="shared" si="13"/>
        <v>0</v>
      </c>
      <c r="AC4" s="8"/>
      <c r="AE4" s="8">
        <v>3</v>
      </c>
      <c r="AF4" s="8">
        <f t="shared" si="14"/>
        <v>-1</v>
      </c>
      <c r="AG4" s="8">
        <f t="shared" si="15"/>
        <v>-1</v>
      </c>
      <c r="AH4" s="8">
        <f t="shared" si="16"/>
        <v>-1</v>
      </c>
      <c r="AI4" s="8">
        <f t="shared" si="17"/>
        <v>1</v>
      </c>
      <c r="AJ4" s="8">
        <f t="shared" si="18"/>
        <v>0</v>
      </c>
      <c r="AK4" s="8">
        <f t="shared" si="19"/>
        <v>-1</v>
      </c>
      <c r="AL4" s="8">
        <f t="shared" ref="AL4:AL18" si="25">H5-H4</f>
        <v>-1</v>
      </c>
      <c r="AM4" s="8">
        <f t="shared" si="20"/>
        <v>-1</v>
      </c>
      <c r="AN4" s="8">
        <f t="shared" ref="AN4:AN19" si="26">J5-J4</f>
        <v>0</v>
      </c>
      <c r="AO4" s="8">
        <f t="shared" si="21"/>
        <v>-1</v>
      </c>
      <c r="AP4" s="8">
        <f t="shared" si="22"/>
        <v>0</v>
      </c>
      <c r="AQ4" s="8">
        <f t="shared" si="23"/>
        <v>0</v>
      </c>
      <c r="AR4" s="8">
        <f t="shared" si="24"/>
        <v>0</v>
      </c>
    </row>
    <row r="5" spans="1:44" x14ac:dyDescent="0.25">
      <c r="A5" s="8">
        <v>4</v>
      </c>
      <c r="B5" s="8">
        <f>COUNTIF(handsmoothed!B$2:B$68,$A5)</f>
        <v>3</v>
      </c>
      <c r="C5" s="8">
        <f>COUNTIF(handsmoothed!C$2:C$68,$A5)</f>
        <v>3</v>
      </c>
      <c r="D5" s="8">
        <f>COUNTIF(handsmoothed!D$2:D$68,$A5)</f>
        <v>3</v>
      </c>
      <c r="E5" s="8">
        <f>COUNTIF(handsmoothed!E$2:E$68,$A5)</f>
        <v>4</v>
      </c>
      <c r="F5" s="8">
        <f>COUNTIF(handsmoothed!F$2:F$68,$A5)</f>
        <v>4</v>
      </c>
      <c r="G5" s="8">
        <f>COUNTIF(handsmoothed!G$2:G$68,$A5)</f>
        <v>3</v>
      </c>
      <c r="H5" s="8">
        <f>COUNTIF(handsmoothed!H$2:H$68,$A5)</f>
        <v>3</v>
      </c>
      <c r="I5" s="8">
        <f>COUNTIF(handsmoothed!I$2:I$68,$A5)</f>
        <v>3</v>
      </c>
      <c r="J5" s="8">
        <f>COUNTIF(handsmoothed!J$2:J$68,$A5)</f>
        <v>3</v>
      </c>
      <c r="K5" s="8">
        <f>COUNTIF(handsmoothed!K$2:K$68,$A5)</f>
        <v>2</v>
      </c>
      <c r="L5" s="8">
        <f>COUNTIF(handsmoothed!L$2:L$68,$A5)</f>
        <v>2</v>
      </c>
      <c r="M5" s="8">
        <f>COUNTIF(handsmoothed!M$2:M$68,$A5)</f>
        <v>2</v>
      </c>
      <c r="N5" s="8">
        <f>COUNTIF(handsmoothed!N$2:N$68,$A5)</f>
        <v>2</v>
      </c>
      <c r="P5" s="8">
        <v>4</v>
      </c>
      <c r="Q5" s="8">
        <f t="shared" si="2"/>
        <v>0</v>
      </c>
      <c r="R5" s="8">
        <f t="shared" si="3"/>
        <v>0</v>
      </c>
      <c r="S5" s="8">
        <f t="shared" si="4"/>
        <v>-1</v>
      </c>
      <c r="T5" s="8">
        <f t="shared" si="5"/>
        <v>0</v>
      </c>
      <c r="U5" s="8">
        <f t="shared" si="6"/>
        <v>1</v>
      </c>
      <c r="V5" s="8">
        <f t="shared" si="7"/>
        <v>0</v>
      </c>
      <c r="W5" s="8">
        <f t="shared" si="8"/>
        <v>0</v>
      </c>
      <c r="X5" s="8">
        <f t="shared" si="9"/>
        <v>0</v>
      </c>
      <c r="Y5" s="8">
        <f t="shared" si="10"/>
        <v>1</v>
      </c>
      <c r="Z5" s="8">
        <f t="shared" si="11"/>
        <v>0</v>
      </c>
      <c r="AA5" s="8">
        <f t="shared" si="12"/>
        <v>0</v>
      </c>
      <c r="AB5" s="8">
        <f t="shared" si="13"/>
        <v>0</v>
      </c>
      <c r="AC5" s="8"/>
      <c r="AE5" s="8">
        <v>4</v>
      </c>
      <c r="AF5" s="8">
        <f t="shared" si="14"/>
        <v>1</v>
      </c>
      <c r="AG5" s="8">
        <f t="shared" si="15"/>
        <v>1</v>
      </c>
      <c r="AH5" s="8">
        <f t="shared" si="16"/>
        <v>1</v>
      </c>
      <c r="AI5" s="8">
        <f t="shared" si="17"/>
        <v>0</v>
      </c>
      <c r="AJ5" s="8">
        <f t="shared" si="18"/>
        <v>0</v>
      </c>
      <c r="AK5" s="8">
        <f t="shared" si="19"/>
        <v>1</v>
      </c>
      <c r="AL5" s="8">
        <f t="shared" si="25"/>
        <v>1</v>
      </c>
      <c r="AM5" s="8">
        <f t="shared" si="20"/>
        <v>0</v>
      </c>
      <c r="AN5" s="8">
        <f t="shared" si="26"/>
        <v>0</v>
      </c>
      <c r="AO5" s="8">
        <f t="shared" si="21"/>
        <v>1</v>
      </c>
      <c r="AP5" s="8">
        <f t="shared" si="22"/>
        <v>1</v>
      </c>
      <c r="AQ5" s="8">
        <f t="shared" si="23"/>
        <v>0</v>
      </c>
      <c r="AR5" s="8">
        <f t="shared" si="24"/>
        <v>0</v>
      </c>
    </row>
    <row r="6" spans="1:44" x14ac:dyDescent="0.25">
      <c r="A6" s="8">
        <v>5</v>
      </c>
      <c r="B6" s="8">
        <f>COUNTIF(handsmoothed!B$2:B$68,$A6)</f>
        <v>4</v>
      </c>
      <c r="C6" s="8">
        <f>COUNTIF(handsmoothed!C$2:C$68,$A6)</f>
        <v>4</v>
      </c>
      <c r="D6" s="8">
        <f>COUNTIF(handsmoothed!D$2:D$68,$A6)</f>
        <v>4</v>
      </c>
      <c r="E6" s="8">
        <f>COUNTIF(handsmoothed!E$2:E$68,$A6)</f>
        <v>4</v>
      </c>
      <c r="F6" s="8">
        <f>COUNTIF(handsmoothed!F$2:F$68,$A6)</f>
        <v>4</v>
      </c>
      <c r="G6" s="8">
        <f>COUNTIF(handsmoothed!G$2:G$68,$A6)</f>
        <v>4</v>
      </c>
      <c r="H6" s="8">
        <f>COUNTIF(handsmoothed!H$2:H$68,$A6)</f>
        <v>4</v>
      </c>
      <c r="I6" s="8">
        <f>COUNTIF(handsmoothed!I$2:I$68,$A6)</f>
        <v>3</v>
      </c>
      <c r="J6" s="8">
        <f>COUNTIF(handsmoothed!J$2:J$68,$A6)</f>
        <v>3</v>
      </c>
      <c r="K6" s="8">
        <f>COUNTIF(handsmoothed!K$2:K$68,$A6)</f>
        <v>3</v>
      </c>
      <c r="L6" s="8">
        <f>COUNTIF(handsmoothed!L$2:L$68,$A6)</f>
        <v>3</v>
      </c>
      <c r="M6" s="8">
        <f>COUNTIF(handsmoothed!M$2:M$68,$A6)</f>
        <v>2</v>
      </c>
      <c r="N6" s="8">
        <f>COUNTIF(handsmoothed!N$2:N$68,$A6)</f>
        <v>2</v>
      </c>
      <c r="P6" s="8">
        <v>5</v>
      </c>
      <c r="Q6" s="8">
        <f t="shared" si="2"/>
        <v>0</v>
      </c>
      <c r="R6" s="8">
        <f t="shared" si="3"/>
        <v>0</v>
      </c>
      <c r="S6" s="8">
        <f t="shared" si="4"/>
        <v>0</v>
      </c>
      <c r="T6" s="8">
        <f t="shared" si="5"/>
        <v>0</v>
      </c>
      <c r="U6" s="8">
        <f t="shared" si="6"/>
        <v>0</v>
      </c>
      <c r="V6" s="8">
        <f t="shared" si="7"/>
        <v>0</v>
      </c>
      <c r="W6" s="8">
        <f t="shared" si="8"/>
        <v>1</v>
      </c>
      <c r="X6" s="8">
        <f t="shared" si="9"/>
        <v>0</v>
      </c>
      <c r="Y6" s="8">
        <f t="shared" si="10"/>
        <v>0</v>
      </c>
      <c r="Z6" s="8">
        <f t="shared" si="11"/>
        <v>0</v>
      </c>
      <c r="AA6" s="8">
        <f t="shared" si="12"/>
        <v>1</v>
      </c>
      <c r="AB6" s="8">
        <f t="shared" si="13"/>
        <v>0</v>
      </c>
      <c r="AC6" s="8"/>
      <c r="AE6" s="8">
        <v>5</v>
      </c>
      <c r="AF6" s="8">
        <f t="shared" si="14"/>
        <v>1</v>
      </c>
      <c r="AG6" s="8">
        <f t="shared" si="15"/>
        <v>1</v>
      </c>
      <c r="AH6" s="8">
        <f t="shared" si="16"/>
        <v>1</v>
      </c>
      <c r="AI6" s="8">
        <f t="shared" si="17"/>
        <v>1</v>
      </c>
      <c r="AJ6" s="8">
        <f t="shared" si="18"/>
        <v>0</v>
      </c>
      <c r="AK6" s="8">
        <f t="shared" si="19"/>
        <v>0</v>
      </c>
      <c r="AL6" s="8">
        <f t="shared" si="25"/>
        <v>-1</v>
      </c>
      <c r="AM6" s="8">
        <f t="shared" si="20"/>
        <v>0</v>
      </c>
      <c r="AN6" s="8">
        <f t="shared" si="26"/>
        <v>0</v>
      </c>
      <c r="AO6" s="8">
        <f t="shared" si="21"/>
        <v>0</v>
      </c>
      <c r="AP6" s="8">
        <f t="shared" si="22"/>
        <v>0</v>
      </c>
      <c r="AQ6" s="8">
        <f t="shared" si="23"/>
        <v>1</v>
      </c>
      <c r="AR6" s="8">
        <f t="shared" si="24"/>
        <v>0</v>
      </c>
    </row>
    <row r="7" spans="1:44" x14ac:dyDescent="0.25">
      <c r="A7" s="8">
        <v>6</v>
      </c>
      <c r="B7" s="8">
        <f>COUNTIF(handsmoothed!B$2:B$68,$A7)</f>
        <v>5</v>
      </c>
      <c r="C7" s="8">
        <f>COUNTIF(handsmoothed!C$2:C$68,$A7)</f>
        <v>5</v>
      </c>
      <c r="D7" s="8">
        <f>COUNTIF(handsmoothed!D$2:D$68,$A7)</f>
        <v>5</v>
      </c>
      <c r="E7" s="8">
        <f>COUNTIF(handsmoothed!E$2:E$68,$A7)</f>
        <v>5</v>
      </c>
      <c r="F7" s="8">
        <f>COUNTIF(handsmoothed!F$2:F$68,$A7)</f>
        <v>4</v>
      </c>
      <c r="G7" s="8">
        <f>COUNTIF(handsmoothed!G$2:G$68,$A7)</f>
        <v>4</v>
      </c>
      <c r="H7" s="8">
        <f>COUNTIF(handsmoothed!H$2:H$68,$A7)</f>
        <v>3</v>
      </c>
      <c r="I7" s="8">
        <f>COUNTIF(handsmoothed!I$2:I$68,$A7)</f>
        <v>3</v>
      </c>
      <c r="J7" s="8">
        <f>COUNTIF(handsmoothed!J$2:J$68,$A7)</f>
        <v>3</v>
      </c>
      <c r="K7" s="8">
        <f>COUNTIF(handsmoothed!K$2:K$68,$A7)</f>
        <v>3</v>
      </c>
      <c r="L7" s="8">
        <f>COUNTIF(handsmoothed!L$2:L$68,$A7)</f>
        <v>3</v>
      </c>
      <c r="M7" s="8">
        <f>COUNTIF(handsmoothed!M$2:M$68,$A7)</f>
        <v>3</v>
      </c>
      <c r="N7" s="8">
        <f>COUNTIF(handsmoothed!N$2:N$68,$A7)</f>
        <v>2</v>
      </c>
      <c r="P7" s="8">
        <v>6</v>
      </c>
      <c r="Q7" s="8">
        <f t="shared" si="2"/>
        <v>0</v>
      </c>
      <c r="R7" s="8">
        <f t="shared" si="3"/>
        <v>0</v>
      </c>
      <c r="S7" s="8">
        <f t="shared" si="4"/>
        <v>0</v>
      </c>
      <c r="T7" s="8">
        <f t="shared" si="5"/>
        <v>1</v>
      </c>
      <c r="U7" s="8">
        <f t="shared" si="6"/>
        <v>0</v>
      </c>
      <c r="V7" s="8">
        <f t="shared" si="7"/>
        <v>1</v>
      </c>
      <c r="W7" s="8">
        <f t="shared" si="8"/>
        <v>0</v>
      </c>
      <c r="X7" s="8">
        <f t="shared" si="9"/>
        <v>0</v>
      </c>
      <c r="Y7" s="8">
        <f t="shared" si="10"/>
        <v>0</v>
      </c>
      <c r="Z7" s="8">
        <f t="shared" si="11"/>
        <v>0</v>
      </c>
      <c r="AA7" s="8">
        <f t="shared" si="12"/>
        <v>0</v>
      </c>
      <c r="AB7" s="8">
        <f t="shared" si="13"/>
        <v>1</v>
      </c>
      <c r="AC7" s="8"/>
      <c r="AE7" s="8">
        <v>6</v>
      </c>
      <c r="AF7" s="8">
        <f t="shared" si="14"/>
        <v>0</v>
      </c>
      <c r="AG7" s="8">
        <f t="shared" si="15"/>
        <v>0</v>
      </c>
      <c r="AH7" s="8">
        <f t="shared" si="16"/>
        <v>0</v>
      </c>
      <c r="AI7" s="8">
        <f t="shared" si="17"/>
        <v>-1</v>
      </c>
      <c r="AJ7" s="8">
        <f t="shared" si="18"/>
        <v>1</v>
      </c>
      <c r="AK7" s="8">
        <f t="shared" si="19"/>
        <v>0</v>
      </c>
      <c r="AL7" s="8">
        <f t="shared" si="25"/>
        <v>1</v>
      </c>
      <c r="AM7" s="8">
        <f t="shared" si="20"/>
        <v>1</v>
      </c>
      <c r="AN7" s="8">
        <f t="shared" si="26"/>
        <v>0</v>
      </c>
      <c r="AO7" s="8">
        <f>K8-K7</f>
        <v>0</v>
      </c>
      <c r="AP7" s="8">
        <f t="shared" si="22"/>
        <v>0</v>
      </c>
      <c r="AQ7" s="8">
        <f t="shared" si="23"/>
        <v>0</v>
      </c>
      <c r="AR7" s="8">
        <f t="shared" si="24"/>
        <v>0</v>
      </c>
    </row>
    <row r="8" spans="1:44" x14ac:dyDescent="0.25">
      <c r="A8" s="8">
        <v>7</v>
      </c>
      <c r="B8" s="8">
        <f>COUNTIF(handsmoothed!B$2:B$68,$A8)</f>
        <v>5</v>
      </c>
      <c r="C8" s="8">
        <f>COUNTIF(handsmoothed!C$2:C$68,$A8)</f>
        <v>5</v>
      </c>
      <c r="D8" s="8">
        <f>COUNTIF(handsmoothed!D$2:D$68,$A8)</f>
        <v>5</v>
      </c>
      <c r="E8" s="8">
        <f>COUNTIF(handsmoothed!E$2:E$68,$A8)</f>
        <v>4</v>
      </c>
      <c r="F8" s="8">
        <f>COUNTIF(handsmoothed!F$2:F$68,$A8)</f>
        <v>5</v>
      </c>
      <c r="G8" s="8">
        <f>COUNTIF(handsmoothed!G$2:G$68,$A8)</f>
        <v>4</v>
      </c>
      <c r="H8" s="8">
        <f>COUNTIF(handsmoothed!H$2:H$68,$A8)</f>
        <v>4</v>
      </c>
      <c r="I8" s="8">
        <f>COUNTIF(handsmoothed!I$2:I$68,$A8)</f>
        <v>4</v>
      </c>
      <c r="J8" s="8">
        <f>COUNTIF(handsmoothed!J$2:J$68,$A8)</f>
        <v>3</v>
      </c>
      <c r="K8" s="8">
        <f>COUNTIF(handsmoothed!K$2:K$68,$A8)</f>
        <v>3</v>
      </c>
      <c r="L8" s="8">
        <f>COUNTIF(handsmoothed!L$2:L$68,$A8)</f>
        <v>3</v>
      </c>
      <c r="M8" s="8">
        <f>COUNTIF(handsmoothed!M$2:M$68,$A8)</f>
        <v>3</v>
      </c>
      <c r="N8" s="8">
        <f>COUNTIF(handsmoothed!N$2:N$68,$A8)</f>
        <v>2</v>
      </c>
      <c r="P8" s="8">
        <v>7</v>
      </c>
      <c r="Q8" s="8">
        <f t="shared" si="2"/>
        <v>0</v>
      </c>
      <c r="R8" s="8">
        <f t="shared" si="3"/>
        <v>0</v>
      </c>
      <c r="S8" s="8">
        <f t="shared" si="4"/>
        <v>1</v>
      </c>
      <c r="T8" s="8">
        <f t="shared" si="5"/>
        <v>-1</v>
      </c>
      <c r="U8" s="8">
        <f t="shared" si="6"/>
        <v>1</v>
      </c>
      <c r="V8" s="8">
        <f t="shared" si="7"/>
        <v>0</v>
      </c>
      <c r="W8" s="8">
        <f t="shared" si="8"/>
        <v>0</v>
      </c>
      <c r="X8" s="8">
        <f t="shared" si="9"/>
        <v>1</v>
      </c>
      <c r="Y8" s="8">
        <f t="shared" si="10"/>
        <v>0</v>
      </c>
      <c r="Z8" s="8">
        <f t="shared" si="11"/>
        <v>0</v>
      </c>
      <c r="AA8" s="8">
        <f t="shared" si="12"/>
        <v>0</v>
      </c>
      <c r="AB8" s="8">
        <f t="shared" si="13"/>
        <v>1</v>
      </c>
      <c r="AC8" s="8"/>
      <c r="AE8" s="8">
        <v>7</v>
      </c>
      <c r="AF8" s="8">
        <f t="shared" si="14"/>
        <v>-1</v>
      </c>
      <c r="AG8" s="8">
        <f t="shared" si="15"/>
        <v>-1</v>
      </c>
      <c r="AH8" s="8">
        <f t="shared" si="16"/>
        <v>-1</v>
      </c>
      <c r="AI8" s="8">
        <f t="shared" si="17"/>
        <v>0</v>
      </c>
      <c r="AJ8" s="8">
        <f t="shared" si="18"/>
        <v>-1</v>
      </c>
      <c r="AK8" s="8">
        <f t="shared" si="19"/>
        <v>0</v>
      </c>
      <c r="AL8" s="8">
        <f t="shared" si="25"/>
        <v>0</v>
      </c>
      <c r="AM8" s="8">
        <f t="shared" si="20"/>
        <v>-1</v>
      </c>
      <c r="AN8" s="8">
        <f t="shared" si="26"/>
        <v>0</v>
      </c>
      <c r="AO8" s="8">
        <f t="shared" si="21"/>
        <v>-1</v>
      </c>
      <c r="AP8" s="8">
        <f t="shared" si="22"/>
        <v>-1</v>
      </c>
      <c r="AQ8" s="8">
        <f t="shared" si="23"/>
        <v>-1</v>
      </c>
      <c r="AR8" s="8">
        <f t="shared" si="24"/>
        <v>1</v>
      </c>
    </row>
    <row r="9" spans="1:44" x14ac:dyDescent="0.25">
      <c r="A9" s="8">
        <v>8</v>
      </c>
      <c r="B9" s="8">
        <f>COUNTIF(handsmoothed!B$2:B$68,$A9)</f>
        <v>4</v>
      </c>
      <c r="C9" s="8">
        <f>COUNTIF(handsmoothed!C$2:C$68,$A9)</f>
        <v>4</v>
      </c>
      <c r="D9" s="8">
        <f>COUNTIF(handsmoothed!D$2:D$68,$A9)</f>
        <v>4</v>
      </c>
      <c r="E9" s="8">
        <f>COUNTIF(handsmoothed!E$2:E$68,$A9)</f>
        <v>4</v>
      </c>
      <c r="F9" s="8">
        <f>COUNTIF(handsmoothed!F$2:F$68,$A9)</f>
        <v>4</v>
      </c>
      <c r="G9" s="8">
        <f>COUNTIF(handsmoothed!G$2:G$68,$A9)</f>
        <v>4</v>
      </c>
      <c r="H9" s="8">
        <f>COUNTIF(handsmoothed!H$2:H$68,$A9)</f>
        <v>4</v>
      </c>
      <c r="I9" s="8">
        <f>COUNTIF(handsmoothed!I$2:I$68,$A9)</f>
        <v>3</v>
      </c>
      <c r="J9" s="8">
        <f>COUNTIF(handsmoothed!J$2:J$68,$A9)</f>
        <v>3</v>
      </c>
      <c r="K9" s="8">
        <f>COUNTIF(handsmoothed!K$2:K$68,$A9)</f>
        <v>2</v>
      </c>
      <c r="L9" s="8">
        <f>COUNTIF(handsmoothed!L$2:L$68,$A9)</f>
        <v>2</v>
      </c>
      <c r="M9" s="8">
        <f>COUNTIF(handsmoothed!M$2:M$68,$A9)</f>
        <v>2</v>
      </c>
      <c r="N9" s="8">
        <f>COUNTIF(handsmoothed!N$2:N$68,$A9)</f>
        <v>3</v>
      </c>
      <c r="P9" s="8">
        <v>8</v>
      </c>
      <c r="Q9" s="8">
        <f t="shared" si="2"/>
        <v>0</v>
      </c>
      <c r="R9" s="8">
        <f t="shared" si="3"/>
        <v>0</v>
      </c>
      <c r="S9" s="8">
        <f t="shared" si="4"/>
        <v>0</v>
      </c>
      <c r="T9" s="8">
        <f t="shared" si="5"/>
        <v>0</v>
      </c>
      <c r="U9" s="8">
        <f t="shared" si="6"/>
        <v>0</v>
      </c>
      <c r="V9" s="8">
        <f t="shared" si="7"/>
        <v>0</v>
      </c>
      <c r="W9" s="8">
        <f t="shared" si="8"/>
        <v>1</v>
      </c>
      <c r="X9" s="8">
        <f t="shared" si="9"/>
        <v>0</v>
      </c>
      <c r="Y9" s="8">
        <f t="shared" si="10"/>
        <v>1</v>
      </c>
      <c r="Z9" s="8">
        <f t="shared" si="11"/>
        <v>0</v>
      </c>
      <c r="AA9" s="8">
        <f t="shared" si="12"/>
        <v>0</v>
      </c>
      <c r="AB9" s="8">
        <f t="shared" si="13"/>
        <v>-1</v>
      </c>
      <c r="AC9" s="8"/>
      <c r="AE9" s="8">
        <v>8</v>
      </c>
      <c r="AF9" s="8">
        <f t="shared" si="14"/>
        <v>0</v>
      </c>
      <c r="AG9" s="8">
        <f t="shared" si="15"/>
        <v>0</v>
      </c>
      <c r="AH9" s="8">
        <f t="shared" si="16"/>
        <v>0</v>
      </c>
      <c r="AI9" s="8">
        <f t="shared" si="17"/>
        <v>1</v>
      </c>
      <c r="AJ9" s="8">
        <f t="shared" si="18"/>
        <v>0</v>
      </c>
      <c r="AK9" s="8">
        <f t="shared" si="19"/>
        <v>0</v>
      </c>
      <c r="AL9" s="8">
        <f t="shared" si="25"/>
        <v>-1</v>
      </c>
      <c r="AM9" s="8">
        <f t="shared" si="20"/>
        <v>1</v>
      </c>
      <c r="AN9" s="8">
        <f t="shared" si="26"/>
        <v>0</v>
      </c>
      <c r="AO9" s="8">
        <f t="shared" si="21"/>
        <v>1</v>
      </c>
      <c r="AP9" s="8">
        <f t="shared" si="22"/>
        <v>0</v>
      </c>
      <c r="AQ9" s="8">
        <f t="shared" si="23"/>
        <v>0</v>
      </c>
      <c r="AR9" s="8">
        <f t="shared" si="24"/>
        <v>-1</v>
      </c>
    </row>
    <row r="10" spans="1:44" x14ac:dyDescent="0.25">
      <c r="A10" s="8">
        <v>9</v>
      </c>
      <c r="B10" s="8">
        <f>COUNTIF(handsmoothed!B$2:B$68,$A10)</f>
        <v>4</v>
      </c>
      <c r="C10" s="8">
        <f>COUNTIF(handsmoothed!C$2:C$68,$A10)</f>
        <v>4</v>
      </c>
      <c r="D10" s="8">
        <f>COUNTIF(handsmoothed!D$2:D$68,$A10)</f>
        <v>4</v>
      </c>
      <c r="E10" s="8">
        <f>COUNTIF(handsmoothed!E$2:E$68,$A10)</f>
        <v>5</v>
      </c>
      <c r="F10" s="8">
        <f>COUNTIF(handsmoothed!F$2:F$68,$A10)</f>
        <v>4</v>
      </c>
      <c r="G10" s="8">
        <f>COUNTIF(handsmoothed!G$2:G$68,$A10)</f>
        <v>4</v>
      </c>
      <c r="H10" s="8">
        <f>COUNTIF(handsmoothed!H$2:H$68,$A10)</f>
        <v>3</v>
      </c>
      <c r="I10" s="8">
        <f>COUNTIF(handsmoothed!I$2:I$68,$A10)</f>
        <v>4</v>
      </c>
      <c r="J10" s="8">
        <f>COUNTIF(handsmoothed!J$2:J$68,$A10)</f>
        <v>3</v>
      </c>
      <c r="K10" s="8">
        <f>COUNTIF(handsmoothed!K$2:K$68,$A10)</f>
        <v>3</v>
      </c>
      <c r="L10" s="8">
        <f>COUNTIF(handsmoothed!L$2:L$68,$A10)</f>
        <v>2</v>
      </c>
      <c r="M10" s="8">
        <f>COUNTIF(handsmoothed!M$2:M$68,$A10)</f>
        <v>2</v>
      </c>
      <c r="N10" s="8">
        <f>COUNTIF(handsmoothed!N$2:N$68,$A10)</f>
        <v>2</v>
      </c>
      <c r="P10" s="8">
        <v>9</v>
      </c>
      <c r="Q10" s="8">
        <f t="shared" si="2"/>
        <v>0</v>
      </c>
      <c r="R10" s="8">
        <f t="shared" si="3"/>
        <v>0</v>
      </c>
      <c r="S10" s="8">
        <f t="shared" si="4"/>
        <v>-1</v>
      </c>
      <c r="T10" s="8">
        <f t="shared" si="5"/>
        <v>1</v>
      </c>
      <c r="U10" s="8">
        <f t="shared" si="6"/>
        <v>0</v>
      </c>
      <c r="V10" s="8">
        <f t="shared" si="7"/>
        <v>1</v>
      </c>
      <c r="W10" s="8">
        <f>H10-I10</f>
        <v>-1</v>
      </c>
      <c r="X10" s="8">
        <f t="shared" si="9"/>
        <v>1</v>
      </c>
      <c r="Y10" s="8">
        <f t="shared" si="10"/>
        <v>0</v>
      </c>
      <c r="Z10" s="8">
        <f t="shared" si="11"/>
        <v>1</v>
      </c>
      <c r="AA10" s="8">
        <f t="shared" si="12"/>
        <v>0</v>
      </c>
      <c r="AB10" s="8">
        <f t="shared" si="13"/>
        <v>0</v>
      </c>
      <c r="AC10" s="8"/>
      <c r="AE10" s="8">
        <v>9</v>
      </c>
      <c r="AF10" s="8">
        <f t="shared" si="14"/>
        <v>1</v>
      </c>
      <c r="AG10" s="8">
        <f t="shared" si="15"/>
        <v>1</v>
      </c>
      <c r="AH10" s="8">
        <f t="shared" si="16"/>
        <v>0</v>
      </c>
      <c r="AI10" s="8">
        <f t="shared" si="17"/>
        <v>-1</v>
      </c>
      <c r="AJ10" s="8">
        <f t="shared" si="18"/>
        <v>0</v>
      </c>
      <c r="AK10" s="8">
        <f t="shared" si="19"/>
        <v>0</v>
      </c>
      <c r="AL10" s="8">
        <f>H11-H10</f>
        <v>1</v>
      </c>
      <c r="AM10" s="8">
        <f t="shared" si="20"/>
        <v>0</v>
      </c>
      <c r="AN10" s="8">
        <f t="shared" si="26"/>
        <v>1</v>
      </c>
      <c r="AO10" s="8">
        <f t="shared" si="21"/>
        <v>1</v>
      </c>
      <c r="AP10" s="8">
        <f t="shared" si="22"/>
        <v>1</v>
      </c>
      <c r="AQ10" s="8">
        <f t="shared" si="23"/>
        <v>1</v>
      </c>
      <c r="AR10" s="8">
        <f t="shared" si="24"/>
        <v>0</v>
      </c>
    </row>
    <row r="11" spans="1:44" x14ac:dyDescent="0.25">
      <c r="A11" s="8">
        <v>10</v>
      </c>
      <c r="B11" s="8">
        <f>COUNTIF(handsmoothed!B$2:B$68,$A11)</f>
        <v>5</v>
      </c>
      <c r="C11" s="8">
        <f>COUNTIF(handsmoothed!C$2:C$68,$A11)</f>
        <v>5</v>
      </c>
      <c r="D11" s="8">
        <f>COUNTIF(handsmoothed!D$2:D$68,$A11)</f>
        <v>4</v>
      </c>
      <c r="E11" s="8">
        <f>COUNTIF(handsmoothed!E$2:E$68,$A11)</f>
        <v>4</v>
      </c>
      <c r="F11" s="8">
        <f>COUNTIF(handsmoothed!F$2:F$68,$A11)</f>
        <v>4</v>
      </c>
      <c r="G11" s="8">
        <f>COUNTIF(handsmoothed!G$2:G$68,$A11)</f>
        <v>4</v>
      </c>
      <c r="H11" s="8">
        <f>COUNTIF(handsmoothed!H$2:H$68,$A11)</f>
        <v>4</v>
      </c>
      <c r="I11" s="8">
        <f>COUNTIF(handsmoothed!I$2:I$68,$A11)</f>
        <v>4</v>
      </c>
      <c r="J11" s="8">
        <f>COUNTIF(handsmoothed!J$2:J$68,$A11)</f>
        <v>4</v>
      </c>
      <c r="K11" s="8">
        <f>COUNTIF(handsmoothed!K$2:K$68,$A11)</f>
        <v>4</v>
      </c>
      <c r="L11" s="8">
        <f>COUNTIF(handsmoothed!L$2:L$68,$A11)</f>
        <v>3</v>
      </c>
      <c r="M11" s="8">
        <f>COUNTIF(handsmoothed!M$2:M$68,$A11)</f>
        <v>3</v>
      </c>
      <c r="N11" s="8">
        <f>COUNTIF(handsmoothed!N$2:N$68,$A11)</f>
        <v>2</v>
      </c>
      <c r="P11" s="8">
        <v>10</v>
      </c>
      <c r="Q11" s="8">
        <f t="shared" si="2"/>
        <v>0</v>
      </c>
      <c r="R11" s="8">
        <f t="shared" si="3"/>
        <v>1</v>
      </c>
      <c r="S11" s="8">
        <f t="shared" si="4"/>
        <v>0</v>
      </c>
      <c r="T11" s="8">
        <f t="shared" si="5"/>
        <v>0</v>
      </c>
      <c r="U11" s="8">
        <f t="shared" si="6"/>
        <v>0</v>
      </c>
      <c r="V11" s="8">
        <f t="shared" si="7"/>
        <v>0</v>
      </c>
      <c r="W11" s="8">
        <f t="shared" si="8"/>
        <v>0</v>
      </c>
      <c r="X11" s="8">
        <f t="shared" si="9"/>
        <v>0</v>
      </c>
      <c r="Y11" s="8">
        <f t="shared" si="10"/>
        <v>0</v>
      </c>
      <c r="Z11" s="8">
        <f t="shared" si="11"/>
        <v>1</v>
      </c>
      <c r="AA11" s="8">
        <f t="shared" si="12"/>
        <v>0</v>
      </c>
      <c r="AB11" s="8">
        <f t="shared" si="13"/>
        <v>1</v>
      </c>
      <c r="AC11" s="8"/>
      <c r="AE11" s="8">
        <v>10</v>
      </c>
      <c r="AF11" s="8">
        <f t="shared" si="14"/>
        <v>-1</v>
      </c>
      <c r="AG11" s="8">
        <f t="shared" si="15"/>
        <v>-1</v>
      </c>
      <c r="AH11" s="8">
        <f t="shared" si="16"/>
        <v>0</v>
      </c>
      <c r="AI11" s="8">
        <f t="shared" si="17"/>
        <v>0</v>
      </c>
      <c r="AJ11" s="8">
        <f t="shared" si="18"/>
        <v>0</v>
      </c>
      <c r="AK11" s="8">
        <f t="shared" si="19"/>
        <v>0</v>
      </c>
      <c r="AL11" s="8">
        <f t="shared" si="25"/>
        <v>0</v>
      </c>
      <c r="AM11" s="8">
        <f t="shared" si="20"/>
        <v>-1</v>
      </c>
      <c r="AN11" s="8">
        <f t="shared" si="26"/>
        <v>-1</v>
      </c>
      <c r="AO11" s="8">
        <f t="shared" si="21"/>
        <v>-1</v>
      </c>
      <c r="AP11" s="8">
        <f t="shared" si="22"/>
        <v>1</v>
      </c>
      <c r="AQ11" s="8">
        <f t="shared" si="23"/>
        <v>0</v>
      </c>
      <c r="AR11" s="8">
        <f t="shared" si="24"/>
        <v>1</v>
      </c>
    </row>
    <row r="12" spans="1:44" x14ac:dyDescent="0.25">
      <c r="A12" s="8">
        <v>11</v>
      </c>
      <c r="B12" s="8">
        <f>COUNTIF(handsmoothed!B$2:B$68,$A12)</f>
        <v>4</v>
      </c>
      <c r="C12" s="8">
        <f>COUNTIF(handsmoothed!C$2:C$68,$A12)</f>
        <v>4</v>
      </c>
      <c r="D12" s="8">
        <f>COUNTIF(handsmoothed!D$2:D$68,$A12)</f>
        <v>4</v>
      </c>
      <c r="E12" s="8">
        <f>COUNTIF(handsmoothed!E$2:E$68,$A12)</f>
        <v>4</v>
      </c>
      <c r="F12" s="8">
        <f>COUNTIF(handsmoothed!F$2:F$68,$A12)</f>
        <v>4</v>
      </c>
      <c r="G12" s="8">
        <f>COUNTIF(handsmoothed!G$2:G$68,$A12)</f>
        <v>4</v>
      </c>
      <c r="H12" s="8">
        <f>COUNTIF(handsmoothed!H$2:H$68,$A12)</f>
        <v>4</v>
      </c>
      <c r="I12" s="8">
        <f>COUNTIF(handsmoothed!I$2:I$68,$A12)</f>
        <v>3</v>
      </c>
      <c r="J12" s="8">
        <f>COUNTIF(handsmoothed!J$2:J$68,$A12)</f>
        <v>3</v>
      </c>
      <c r="K12" s="8">
        <f>COUNTIF(handsmoothed!K$2:K$68,$A12)</f>
        <v>3</v>
      </c>
      <c r="L12" s="8">
        <f>COUNTIF(handsmoothed!L$2:L$68,$A12)</f>
        <v>4</v>
      </c>
      <c r="M12" s="8">
        <f>COUNTIF(handsmoothed!M$2:M$68,$A12)</f>
        <v>3</v>
      </c>
      <c r="N12" s="8">
        <f>COUNTIF(handsmoothed!N$2:N$68,$A12)</f>
        <v>3</v>
      </c>
      <c r="P12" s="8">
        <v>11</v>
      </c>
      <c r="Q12" s="8">
        <f t="shared" si="2"/>
        <v>0</v>
      </c>
      <c r="R12" s="8">
        <f t="shared" si="3"/>
        <v>0</v>
      </c>
      <c r="S12" s="8">
        <f t="shared" si="4"/>
        <v>0</v>
      </c>
      <c r="T12" s="8">
        <f t="shared" si="5"/>
        <v>0</v>
      </c>
      <c r="U12" s="8">
        <f t="shared" si="6"/>
        <v>0</v>
      </c>
      <c r="V12" s="8">
        <f t="shared" si="7"/>
        <v>0</v>
      </c>
      <c r="W12" s="8">
        <f>H12-I12</f>
        <v>1</v>
      </c>
      <c r="X12" s="8">
        <f t="shared" si="9"/>
        <v>0</v>
      </c>
      <c r="Y12" s="8">
        <f t="shared" si="10"/>
        <v>0</v>
      </c>
      <c r="Z12" s="8">
        <f t="shared" si="11"/>
        <v>-1</v>
      </c>
      <c r="AA12" s="8">
        <f t="shared" si="12"/>
        <v>1</v>
      </c>
      <c r="AB12" s="8">
        <f t="shared" si="13"/>
        <v>0</v>
      </c>
      <c r="AC12" s="8"/>
      <c r="AE12" s="8">
        <v>11</v>
      </c>
      <c r="AF12" s="8">
        <f t="shared" si="14"/>
        <v>0</v>
      </c>
      <c r="AG12" s="8">
        <f t="shared" si="15"/>
        <v>0</v>
      </c>
      <c r="AH12" s="8">
        <f t="shared" si="16"/>
        <v>1</v>
      </c>
      <c r="AI12" s="8">
        <f t="shared" si="17"/>
        <v>0</v>
      </c>
      <c r="AJ12" s="8">
        <f t="shared" si="18"/>
        <v>0</v>
      </c>
      <c r="AK12" s="8">
        <f t="shared" si="19"/>
        <v>0</v>
      </c>
      <c r="AL12" s="8">
        <f t="shared" si="25"/>
        <v>1</v>
      </c>
      <c r="AM12" s="8">
        <f t="shared" si="20"/>
        <v>1</v>
      </c>
      <c r="AN12" s="8">
        <f t="shared" si="26"/>
        <v>1</v>
      </c>
      <c r="AO12" s="8">
        <f t="shared" si="21"/>
        <v>0</v>
      </c>
      <c r="AP12" s="8">
        <f t="shared" si="22"/>
        <v>-1</v>
      </c>
      <c r="AQ12" s="8">
        <f t="shared" si="23"/>
        <v>0</v>
      </c>
      <c r="AR12" s="8">
        <f t="shared" si="24"/>
        <v>0</v>
      </c>
    </row>
    <row r="13" spans="1:44" x14ac:dyDescent="0.25">
      <c r="A13" s="8">
        <v>12</v>
      </c>
      <c r="B13" s="8">
        <f>COUNTIF(handsmoothed!B$2:B$68,$A13)</f>
        <v>4</v>
      </c>
      <c r="C13" s="8">
        <f>COUNTIF(handsmoothed!C$2:C$68,$A13)</f>
        <v>4</v>
      </c>
      <c r="D13" s="8">
        <f>COUNTIF(handsmoothed!D$2:D$68,$A13)</f>
        <v>5</v>
      </c>
      <c r="E13" s="8">
        <f>COUNTIF(handsmoothed!E$2:E$68,$A13)</f>
        <v>4</v>
      </c>
      <c r="F13" s="8">
        <f>COUNTIF(handsmoothed!F$2:F$68,$A13)</f>
        <v>4</v>
      </c>
      <c r="G13" s="8">
        <f>COUNTIF(handsmoothed!G$2:G$68,$A13)</f>
        <v>4</v>
      </c>
      <c r="H13" s="8">
        <f>COUNTIF(handsmoothed!H$2:H$68,$A13)</f>
        <v>5</v>
      </c>
      <c r="I13" s="8">
        <f>COUNTIF(handsmoothed!I$2:I$68,$A13)</f>
        <v>4</v>
      </c>
      <c r="J13" s="8">
        <f>COUNTIF(handsmoothed!J$2:J$68,$A13)</f>
        <v>4</v>
      </c>
      <c r="K13" s="8">
        <f>COUNTIF(handsmoothed!K$2:K$68,$A13)</f>
        <v>3</v>
      </c>
      <c r="L13" s="8">
        <f>COUNTIF(handsmoothed!L$2:L$68,$A13)</f>
        <v>3</v>
      </c>
      <c r="M13" s="8">
        <f>COUNTIF(handsmoothed!M$2:M$68,$A13)</f>
        <v>3</v>
      </c>
      <c r="N13" s="8">
        <f>COUNTIF(handsmoothed!N$2:N$68,$A13)</f>
        <v>3</v>
      </c>
      <c r="P13" s="8">
        <v>12</v>
      </c>
      <c r="Q13" s="8">
        <f t="shared" si="2"/>
        <v>0</v>
      </c>
      <c r="R13" s="8">
        <f t="shared" si="3"/>
        <v>-1</v>
      </c>
      <c r="S13" s="8">
        <f t="shared" si="4"/>
        <v>1</v>
      </c>
      <c r="T13" s="8">
        <f t="shared" si="5"/>
        <v>0</v>
      </c>
      <c r="U13" s="8">
        <f t="shared" si="6"/>
        <v>0</v>
      </c>
      <c r="V13" s="8">
        <f t="shared" si="7"/>
        <v>-1</v>
      </c>
      <c r="W13" s="8">
        <f t="shared" si="8"/>
        <v>1</v>
      </c>
      <c r="X13" s="8">
        <f t="shared" si="9"/>
        <v>0</v>
      </c>
      <c r="Y13" s="8">
        <f t="shared" si="10"/>
        <v>1</v>
      </c>
      <c r="Z13" s="8">
        <f t="shared" si="11"/>
        <v>0</v>
      </c>
      <c r="AA13" s="8">
        <f t="shared" si="12"/>
        <v>0</v>
      </c>
      <c r="AB13" s="8">
        <f t="shared" si="13"/>
        <v>0</v>
      </c>
      <c r="AC13" s="8"/>
      <c r="AE13" s="8">
        <v>12</v>
      </c>
      <c r="AF13" s="8">
        <f t="shared" si="14"/>
        <v>0</v>
      </c>
      <c r="AG13" s="8">
        <f t="shared" si="15"/>
        <v>0</v>
      </c>
      <c r="AH13" s="8">
        <f t="shared" si="16"/>
        <v>-1</v>
      </c>
      <c r="AI13" s="8">
        <f t="shared" si="17"/>
        <v>0</v>
      </c>
      <c r="AJ13" s="8">
        <f t="shared" si="18"/>
        <v>0</v>
      </c>
      <c r="AK13" s="8">
        <f t="shared" si="19"/>
        <v>0</v>
      </c>
      <c r="AL13" s="8">
        <f t="shared" si="25"/>
        <v>-1</v>
      </c>
      <c r="AM13" s="8">
        <f t="shared" si="20"/>
        <v>0</v>
      </c>
      <c r="AN13" s="8">
        <f t="shared" si="26"/>
        <v>-1</v>
      </c>
      <c r="AO13" s="8">
        <f t="shared" si="21"/>
        <v>1</v>
      </c>
      <c r="AP13" s="8">
        <f t="shared" si="22"/>
        <v>0</v>
      </c>
      <c r="AQ13" s="8">
        <f t="shared" si="23"/>
        <v>0</v>
      </c>
      <c r="AR13" s="8">
        <f t="shared" si="24"/>
        <v>0</v>
      </c>
    </row>
    <row r="14" spans="1:44" x14ac:dyDescent="0.25">
      <c r="A14" s="8">
        <v>13</v>
      </c>
      <c r="B14" s="8">
        <f>COUNTIF(handsmoothed!B$2:B$68,$A14)</f>
        <v>4</v>
      </c>
      <c r="C14" s="8">
        <f>COUNTIF(handsmoothed!C$2:C$68,$A14)</f>
        <v>4</v>
      </c>
      <c r="D14" s="8">
        <f>COUNTIF(handsmoothed!D$2:D$68,$A14)</f>
        <v>4</v>
      </c>
      <c r="E14" s="8">
        <f>COUNTIF(handsmoothed!E$2:E$68,$A14)</f>
        <v>4</v>
      </c>
      <c r="F14" s="8">
        <f>COUNTIF(handsmoothed!F$2:F$68,$A14)</f>
        <v>4</v>
      </c>
      <c r="G14" s="8">
        <f>COUNTIF(handsmoothed!G$2:G$68,$A14)</f>
        <v>4</v>
      </c>
      <c r="H14" s="8">
        <f>COUNTIF(handsmoothed!H$2:H$68,$A14)</f>
        <v>4</v>
      </c>
      <c r="I14" s="8">
        <f>COUNTIF(handsmoothed!I$2:I$68,$A14)</f>
        <v>4</v>
      </c>
      <c r="J14" s="8">
        <f>COUNTIF(handsmoothed!J$2:J$68,$A14)</f>
        <v>3</v>
      </c>
      <c r="K14" s="8">
        <f>COUNTIF(handsmoothed!K$2:K$68,$A14)</f>
        <v>4</v>
      </c>
      <c r="L14" s="8">
        <f>COUNTIF(handsmoothed!L$2:L$68,$A14)</f>
        <v>3</v>
      </c>
      <c r="M14" s="8">
        <f>COUNTIF(handsmoothed!M$2:M$68,$A14)</f>
        <v>3</v>
      </c>
      <c r="N14" s="8">
        <f>COUNTIF(handsmoothed!N$2:N$68,$A14)</f>
        <v>3</v>
      </c>
      <c r="P14" s="8">
        <v>13</v>
      </c>
      <c r="Q14" s="8">
        <f t="shared" si="2"/>
        <v>0</v>
      </c>
      <c r="R14" s="8">
        <f t="shared" si="3"/>
        <v>0</v>
      </c>
      <c r="S14" s="8">
        <f t="shared" si="4"/>
        <v>0</v>
      </c>
      <c r="T14" s="8">
        <f t="shared" si="5"/>
        <v>0</v>
      </c>
      <c r="U14" s="8">
        <f t="shared" si="6"/>
        <v>0</v>
      </c>
      <c r="V14" s="8">
        <f t="shared" si="7"/>
        <v>0</v>
      </c>
      <c r="W14" s="8">
        <f t="shared" si="8"/>
        <v>0</v>
      </c>
      <c r="X14" s="8">
        <f t="shared" si="9"/>
        <v>1</v>
      </c>
      <c r="Y14" s="8">
        <f t="shared" si="10"/>
        <v>-1</v>
      </c>
      <c r="Z14" s="8">
        <f t="shared" si="11"/>
        <v>1</v>
      </c>
      <c r="AA14" s="8">
        <f t="shared" si="12"/>
        <v>0</v>
      </c>
      <c r="AB14" s="8">
        <f t="shared" si="13"/>
        <v>0</v>
      </c>
      <c r="AC14" s="8"/>
      <c r="AE14" s="8">
        <v>13</v>
      </c>
      <c r="AF14" s="8">
        <f t="shared" si="14"/>
        <v>-1</v>
      </c>
      <c r="AG14" s="8">
        <f t="shared" si="15"/>
        <v>-1</v>
      </c>
      <c r="AH14" s="8">
        <f t="shared" si="16"/>
        <v>-1</v>
      </c>
      <c r="AI14" s="8">
        <f t="shared" si="17"/>
        <v>0</v>
      </c>
      <c r="AJ14" s="8">
        <f t="shared" si="18"/>
        <v>0</v>
      </c>
      <c r="AK14" s="8">
        <f t="shared" si="19"/>
        <v>0</v>
      </c>
      <c r="AL14" s="8">
        <f t="shared" si="25"/>
        <v>0</v>
      </c>
      <c r="AM14" s="8">
        <f t="shared" si="20"/>
        <v>0</v>
      </c>
      <c r="AN14" s="8">
        <f t="shared" si="26"/>
        <v>1</v>
      </c>
      <c r="AO14" s="8">
        <f t="shared" si="21"/>
        <v>-1</v>
      </c>
      <c r="AP14" s="8">
        <f t="shared" si="22"/>
        <v>0</v>
      </c>
      <c r="AQ14" s="8">
        <f t="shared" si="23"/>
        <v>0</v>
      </c>
      <c r="AR14" s="8">
        <f t="shared" si="24"/>
        <v>0</v>
      </c>
    </row>
    <row r="15" spans="1:44" x14ac:dyDescent="0.25">
      <c r="A15" s="8">
        <v>14</v>
      </c>
      <c r="B15" s="8">
        <f>COUNTIF(handsmoothed!B$2:B$68,$A15)</f>
        <v>3</v>
      </c>
      <c r="C15" s="8">
        <f>COUNTIF(handsmoothed!C$2:C$68,$A15)</f>
        <v>3</v>
      </c>
      <c r="D15" s="8">
        <f>COUNTIF(handsmoothed!D$2:D$68,$A15)</f>
        <v>3</v>
      </c>
      <c r="E15" s="8">
        <f>COUNTIF(handsmoothed!E$2:E$68,$A15)</f>
        <v>4</v>
      </c>
      <c r="F15" s="8">
        <f>COUNTIF(handsmoothed!F$2:F$68,$A15)</f>
        <v>4</v>
      </c>
      <c r="G15" s="8">
        <f>COUNTIF(handsmoothed!G$2:G$68,$A15)</f>
        <v>4</v>
      </c>
      <c r="H15" s="8">
        <f>COUNTIF(handsmoothed!H$2:H$68,$A15)</f>
        <v>4</v>
      </c>
      <c r="I15" s="8">
        <f>COUNTIF(handsmoothed!I$2:I$68,$A15)</f>
        <v>4</v>
      </c>
      <c r="J15" s="8">
        <f>COUNTIF(handsmoothed!J$2:J$68,$A15)</f>
        <v>4</v>
      </c>
      <c r="K15" s="8">
        <f>COUNTIF(handsmoothed!K$2:K$68,$A15)</f>
        <v>3</v>
      </c>
      <c r="L15" s="8">
        <f>COUNTIF(handsmoothed!L$2:L$68,$A15)</f>
        <v>3</v>
      </c>
      <c r="M15" s="8">
        <f>COUNTIF(handsmoothed!M$2:M$68,$A15)</f>
        <v>3</v>
      </c>
      <c r="N15" s="8">
        <f>COUNTIF(handsmoothed!N$2:N$68,$A15)</f>
        <v>3</v>
      </c>
      <c r="P15" s="8">
        <v>14</v>
      </c>
      <c r="Q15" s="8">
        <f t="shared" si="2"/>
        <v>0</v>
      </c>
      <c r="R15" s="8">
        <f t="shared" si="3"/>
        <v>0</v>
      </c>
      <c r="S15" s="8">
        <f t="shared" si="4"/>
        <v>-1</v>
      </c>
      <c r="T15" s="8">
        <f t="shared" si="5"/>
        <v>0</v>
      </c>
      <c r="U15" s="8">
        <f t="shared" si="6"/>
        <v>0</v>
      </c>
      <c r="V15" s="8">
        <f t="shared" si="7"/>
        <v>0</v>
      </c>
      <c r="W15" s="8">
        <f t="shared" si="8"/>
        <v>0</v>
      </c>
      <c r="X15" s="8">
        <f t="shared" si="9"/>
        <v>0</v>
      </c>
      <c r="Y15" s="8">
        <f t="shared" si="10"/>
        <v>1</v>
      </c>
      <c r="Z15" s="8">
        <f t="shared" si="11"/>
        <v>0</v>
      </c>
      <c r="AA15" s="8">
        <f t="shared" si="12"/>
        <v>0</v>
      </c>
      <c r="AB15" s="8">
        <f t="shared" si="13"/>
        <v>0</v>
      </c>
      <c r="AC15" s="8"/>
      <c r="AE15" s="8">
        <v>14</v>
      </c>
      <c r="AF15" s="8">
        <f t="shared" si="14"/>
        <v>0</v>
      </c>
      <c r="AG15" s="8">
        <f t="shared" si="15"/>
        <v>0</v>
      </c>
      <c r="AH15" s="8">
        <f t="shared" si="16"/>
        <v>0</v>
      </c>
      <c r="AI15" s="8">
        <f t="shared" si="17"/>
        <v>-1</v>
      </c>
      <c r="AJ15" s="8">
        <f t="shared" si="18"/>
        <v>0</v>
      </c>
      <c r="AK15" s="8">
        <f t="shared" si="19"/>
        <v>0</v>
      </c>
      <c r="AL15" s="8">
        <f t="shared" si="25"/>
        <v>-1</v>
      </c>
      <c r="AM15" s="8">
        <f t="shared" si="20"/>
        <v>0</v>
      </c>
      <c r="AN15" s="8">
        <f t="shared" si="26"/>
        <v>0</v>
      </c>
      <c r="AO15" s="8">
        <f t="shared" si="21"/>
        <v>1</v>
      </c>
      <c r="AP15" s="8">
        <f t="shared" si="22"/>
        <v>1</v>
      </c>
      <c r="AQ15" s="8">
        <f t="shared" si="23"/>
        <v>1</v>
      </c>
      <c r="AR15" s="8">
        <f t="shared" si="24"/>
        <v>0</v>
      </c>
    </row>
    <row r="16" spans="1:44" x14ac:dyDescent="0.25">
      <c r="A16" s="8">
        <v>15</v>
      </c>
      <c r="B16" s="8">
        <f>COUNTIF(handsmoothed!B$2:B$68,$A16)</f>
        <v>3</v>
      </c>
      <c r="C16" s="8">
        <f>COUNTIF(handsmoothed!C$2:C$68,$A16)</f>
        <v>3</v>
      </c>
      <c r="D16" s="8">
        <f>COUNTIF(handsmoothed!D$2:D$68,$A16)</f>
        <v>3</v>
      </c>
      <c r="E16" s="8">
        <f>COUNTIF(handsmoothed!E$2:E$68,$A16)</f>
        <v>3</v>
      </c>
      <c r="F16" s="8">
        <f>COUNTIF(handsmoothed!F$2:F$68,$A16)</f>
        <v>4</v>
      </c>
      <c r="G16" s="8">
        <f>COUNTIF(handsmoothed!G$2:G$68,$A16)</f>
        <v>4</v>
      </c>
      <c r="H16" s="8">
        <f>COUNTIF(handsmoothed!H$2:H$68,$A16)</f>
        <v>3</v>
      </c>
      <c r="I16" s="8">
        <f>COUNTIF(handsmoothed!I$2:I$68,$A16)</f>
        <v>4</v>
      </c>
      <c r="J16" s="8">
        <f>COUNTIF(handsmoothed!J$2:J$68,$A16)</f>
        <v>4</v>
      </c>
      <c r="K16" s="8">
        <f>COUNTIF(handsmoothed!K$2:K$68,$A16)</f>
        <v>4</v>
      </c>
      <c r="L16" s="8">
        <f>COUNTIF(handsmoothed!L$2:L$68,$A16)</f>
        <v>4</v>
      </c>
      <c r="M16" s="8">
        <f>COUNTIF(handsmoothed!M$2:M$68,$A16)</f>
        <v>4</v>
      </c>
      <c r="N16" s="8">
        <f>COUNTIF(handsmoothed!N$2:N$68,$A16)</f>
        <v>3</v>
      </c>
      <c r="P16" s="8">
        <v>15</v>
      </c>
      <c r="Q16" s="8">
        <f t="shared" si="2"/>
        <v>0</v>
      </c>
      <c r="R16" s="8">
        <f t="shared" si="3"/>
        <v>0</v>
      </c>
      <c r="S16" s="8">
        <f t="shared" si="4"/>
        <v>0</v>
      </c>
      <c r="T16" s="8">
        <f t="shared" si="5"/>
        <v>-1</v>
      </c>
      <c r="U16" s="8">
        <f t="shared" si="6"/>
        <v>0</v>
      </c>
      <c r="V16" s="8">
        <f t="shared" si="7"/>
        <v>1</v>
      </c>
      <c r="W16" s="8">
        <f t="shared" si="8"/>
        <v>-1</v>
      </c>
      <c r="X16" s="8">
        <f t="shared" si="9"/>
        <v>0</v>
      </c>
      <c r="Y16" s="8">
        <f t="shared" si="10"/>
        <v>0</v>
      </c>
      <c r="Z16" s="8">
        <f t="shared" si="11"/>
        <v>0</v>
      </c>
      <c r="AA16" s="8">
        <f t="shared" si="12"/>
        <v>0</v>
      </c>
      <c r="AB16" s="8">
        <f t="shared" si="13"/>
        <v>1</v>
      </c>
      <c r="AC16" s="8"/>
      <c r="AE16" s="8">
        <v>15</v>
      </c>
      <c r="AF16" s="8">
        <f>B17-B16</f>
        <v>0</v>
      </c>
      <c r="AG16" s="8">
        <f t="shared" si="15"/>
        <v>0</v>
      </c>
      <c r="AH16" s="8">
        <f t="shared" si="16"/>
        <v>0</v>
      </c>
      <c r="AI16" s="8">
        <f t="shared" si="17"/>
        <v>0</v>
      </c>
      <c r="AJ16" s="8">
        <f t="shared" si="18"/>
        <v>-1</v>
      </c>
      <c r="AK16" s="8">
        <f t="shared" si="19"/>
        <v>-1</v>
      </c>
      <c r="AL16" s="8">
        <f t="shared" si="25"/>
        <v>1</v>
      </c>
      <c r="AM16" s="8">
        <f t="shared" si="20"/>
        <v>-1</v>
      </c>
      <c r="AN16" s="8">
        <f t="shared" si="26"/>
        <v>0</v>
      </c>
      <c r="AO16" s="8">
        <f t="shared" si="21"/>
        <v>-1</v>
      </c>
      <c r="AP16" s="8">
        <f t="shared" si="22"/>
        <v>-1</v>
      </c>
      <c r="AQ16" s="8">
        <f t="shared" si="23"/>
        <v>-1</v>
      </c>
      <c r="AR16" s="8">
        <f t="shared" si="24"/>
        <v>1</v>
      </c>
    </row>
    <row r="17" spans="1:44" x14ac:dyDescent="0.25">
      <c r="A17" s="8">
        <v>16</v>
      </c>
      <c r="B17" s="8">
        <f>COUNTIF(handsmoothed!B$2:B$68,$A17)</f>
        <v>3</v>
      </c>
      <c r="C17" s="8">
        <f>COUNTIF(handsmoothed!C$2:C$68,$A17)</f>
        <v>3</v>
      </c>
      <c r="D17" s="8">
        <f>COUNTIF(handsmoothed!D$2:D$68,$A17)</f>
        <v>3</v>
      </c>
      <c r="E17" s="8">
        <f>COUNTIF(handsmoothed!E$2:E$68,$A17)</f>
        <v>3</v>
      </c>
      <c r="F17" s="8">
        <f>COUNTIF(handsmoothed!F$2:F$68,$A17)</f>
        <v>3</v>
      </c>
      <c r="G17" s="8">
        <f>COUNTIF(handsmoothed!G$2:G$68,$A17)</f>
        <v>3</v>
      </c>
      <c r="H17" s="8">
        <f>COUNTIF(handsmoothed!H$2:H$68,$A17)</f>
        <v>4</v>
      </c>
      <c r="I17" s="8">
        <f>COUNTIF(handsmoothed!I$2:I$68,$A17)</f>
        <v>3</v>
      </c>
      <c r="J17" s="8">
        <f>COUNTIF(handsmoothed!J$2:J$68,$A17)</f>
        <v>4</v>
      </c>
      <c r="K17" s="8">
        <f>COUNTIF(handsmoothed!K$2:K$68,$A17)</f>
        <v>3</v>
      </c>
      <c r="L17" s="8">
        <f>COUNTIF(handsmoothed!L$2:L$68,$A17)</f>
        <v>3</v>
      </c>
      <c r="M17" s="8">
        <f>COUNTIF(handsmoothed!M$2:M$68,$A17)</f>
        <v>3</v>
      </c>
      <c r="N17" s="8">
        <f>COUNTIF(handsmoothed!N$2:N$68,$A17)</f>
        <v>4</v>
      </c>
      <c r="P17" s="8">
        <v>16</v>
      </c>
      <c r="Q17" s="8">
        <f t="shared" si="2"/>
        <v>0</v>
      </c>
      <c r="R17" s="8">
        <f t="shared" si="3"/>
        <v>0</v>
      </c>
      <c r="S17" s="8">
        <f t="shared" si="4"/>
        <v>0</v>
      </c>
      <c r="T17" s="8">
        <f t="shared" si="5"/>
        <v>0</v>
      </c>
      <c r="U17" s="8">
        <f t="shared" si="6"/>
        <v>0</v>
      </c>
      <c r="V17" s="8">
        <f t="shared" si="7"/>
        <v>-1</v>
      </c>
      <c r="W17" s="8">
        <f t="shared" si="8"/>
        <v>1</v>
      </c>
      <c r="X17" s="8">
        <f t="shared" si="9"/>
        <v>-1</v>
      </c>
      <c r="Y17" s="8">
        <f t="shared" si="10"/>
        <v>1</v>
      </c>
      <c r="Z17" s="8">
        <f t="shared" si="11"/>
        <v>0</v>
      </c>
      <c r="AA17" s="8">
        <f t="shared" si="12"/>
        <v>0</v>
      </c>
      <c r="AB17" s="8">
        <f t="shared" si="13"/>
        <v>-1</v>
      </c>
      <c r="AC17" s="8"/>
      <c r="AE17" s="8">
        <v>16</v>
      </c>
      <c r="AF17" s="8">
        <f t="shared" si="14"/>
        <v>-1</v>
      </c>
      <c r="AG17" s="8">
        <f t="shared" si="15"/>
        <v>-1</v>
      </c>
      <c r="AH17" s="8">
        <f t="shared" si="16"/>
        <v>-1</v>
      </c>
      <c r="AI17" s="8">
        <f t="shared" si="17"/>
        <v>-1</v>
      </c>
      <c r="AJ17" s="8">
        <f t="shared" si="18"/>
        <v>-1</v>
      </c>
      <c r="AK17" s="8">
        <f t="shared" si="19"/>
        <v>-1</v>
      </c>
      <c r="AL17" s="8">
        <f t="shared" si="25"/>
        <v>-1</v>
      </c>
      <c r="AM17" s="8">
        <f t="shared" si="20"/>
        <v>1</v>
      </c>
      <c r="AN17" s="8">
        <f t="shared" si="26"/>
        <v>-1</v>
      </c>
      <c r="AO17" s="8">
        <f t="shared" si="21"/>
        <v>1</v>
      </c>
      <c r="AP17" s="8">
        <f t="shared" si="22"/>
        <v>1</v>
      </c>
      <c r="AQ17" s="8">
        <f t="shared" si="23"/>
        <v>0</v>
      </c>
      <c r="AR17" s="8">
        <f t="shared" si="24"/>
        <v>-1</v>
      </c>
    </row>
    <row r="18" spans="1:44" x14ac:dyDescent="0.25">
      <c r="A18" s="8">
        <v>17</v>
      </c>
      <c r="B18" s="8">
        <f>COUNTIF(handsmoothed!B$2:B$68,$A18)</f>
        <v>2</v>
      </c>
      <c r="C18" s="8">
        <f>COUNTIF(handsmoothed!C$2:C$68,$A18)</f>
        <v>2</v>
      </c>
      <c r="D18" s="8">
        <f>COUNTIF(handsmoothed!D$2:D$68,$A18)</f>
        <v>2</v>
      </c>
      <c r="E18" s="8">
        <f>COUNTIF(handsmoothed!E$2:E$68,$A18)</f>
        <v>2</v>
      </c>
      <c r="F18" s="8">
        <f>COUNTIF(handsmoothed!F$2:F$68,$A18)</f>
        <v>2</v>
      </c>
      <c r="G18" s="8">
        <f>COUNTIF(handsmoothed!G$2:G$68,$A18)</f>
        <v>2</v>
      </c>
      <c r="H18" s="8">
        <f>COUNTIF(handsmoothed!H$2:H$68,$A18)</f>
        <v>3</v>
      </c>
      <c r="I18" s="8">
        <f>COUNTIF(handsmoothed!I$2:I$68,$A18)</f>
        <v>4</v>
      </c>
      <c r="J18" s="8">
        <f>COUNTIF(handsmoothed!J$2:J$68,$A18)</f>
        <v>3</v>
      </c>
      <c r="K18" s="8">
        <f>COUNTIF(handsmoothed!K$2:K$68,$A18)</f>
        <v>4</v>
      </c>
      <c r="L18" s="8">
        <f>COUNTIF(handsmoothed!L$2:L$68,$A18)</f>
        <v>4</v>
      </c>
      <c r="M18" s="8">
        <f>COUNTIF(handsmoothed!M$2:M$68,$A18)</f>
        <v>3</v>
      </c>
      <c r="N18" s="8">
        <f>COUNTIF(handsmoothed!N$2:N$68,$A18)</f>
        <v>3</v>
      </c>
      <c r="P18" s="8">
        <v>17</v>
      </c>
      <c r="Q18" s="8">
        <f t="shared" si="2"/>
        <v>0</v>
      </c>
      <c r="R18" s="8">
        <f t="shared" si="3"/>
        <v>0</v>
      </c>
      <c r="S18" s="8">
        <f t="shared" si="4"/>
        <v>0</v>
      </c>
      <c r="T18" s="8">
        <f t="shared" si="5"/>
        <v>0</v>
      </c>
      <c r="U18" s="8">
        <f t="shared" si="6"/>
        <v>0</v>
      </c>
      <c r="V18" s="8">
        <f t="shared" si="7"/>
        <v>-1</v>
      </c>
      <c r="W18" s="8">
        <f t="shared" si="8"/>
        <v>-1</v>
      </c>
      <c r="X18" s="8">
        <f t="shared" si="9"/>
        <v>1</v>
      </c>
      <c r="Y18" s="8">
        <f t="shared" si="10"/>
        <v>-1</v>
      </c>
      <c r="Z18" s="8">
        <f t="shared" si="11"/>
        <v>0</v>
      </c>
      <c r="AA18" s="8">
        <f t="shared" si="12"/>
        <v>1</v>
      </c>
      <c r="AB18" s="8">
        <f t="shared" si="13"/>
        <v>0</v>
      </c>
      <c r="AC18" s="8"/>
      <c r="AE18" s="8">
        <v>17</v>
      </c>
      <c r="AF18" s="8">
        <f t="shared" si="14"/>
        <v>-1</v>
      </c>
      <c r="AG18" s="8">
        <f t="shared" si="15"/>
        <v>-1</v>
      </c>
      <c r="AH18" s="8">
        <f t="shared" si="16"/>
        <v>-1</v>
      </c>
      <c r="AI18" s="8">
        <f t="shared" si="17"/>
        <v>-1</v>
      </c>
      <c r="AJ18" s="8">
        <f t="shared" si="18"/>
        <v>-1</v>
      </c>
      <c r="AK18" s="8">
        <f t="shared" si="19"/>
        <v>0</v>
      </c>
      <c r="AL18" s="8">
        <f t="shared" si="25"/>
        <v>-1</v>
      </c>
      <c r="AM18" s="8">
        <f t="shared" si="20"/>
        <v>-1</v>
      </c>
      <c r="AN18" s="8">
        <f t="shared" si="26"/>
        <v>1</v>
      </c>
      <c r="AO18" s="8">
        <f t="shared" si="21"/>
        <v>0</v>
      </c>
      <c r="AP18" s="8">
        <f t="shared" si="22"/>
        <v>0</v>
      </c>
      <c r="AQ18" s="8">
        <f t="shared" si="23"/>
        <v>1</v>
      </c>
      <c r="AR18" s="8">
        <f t="shared" si="24"/>
        <v>0</v>
      </c>
    </row>
    <row r="19" spans="1:44" x14ac:dyDescent="0.25">
      <c r="A19" s="8">
        <v>18</v>
      </c>
      <c r="B19" s="8">
        <f>COUNTIF(handsmoothed!B$2:B$68,$A19)</f>
        <v>1</v>
      </c>
      <c r="C19" s="8">
        <f>COUNTIF(handsmoothed!C$2:C$68,$A19)</f>
        <v>1</v>
      </c>
      <c r="D19" s="8">
        <f>COUNTIF(handsmoothed!D$2:D$68,$A19)</f>
        <v>1</v>
      </c>
      <c r="E19" s="8">
        <f>COUNTIF(handsmoothed!E$2:E$68,$A19)</f>
        <v>1</v>
      </c>
      <c r="F19" s="8">
        <f>COUNTIF(handsmoothed!F$2:F$68,$A19)</f>
        <v>1</v>
      </c>
      <c r="G19" s="8">
        <f>COUNTIF(handsmoothed!G$2:G$68,$A19)</f>
        <v>2</v>
      </c>
      <c r="H19" s="8">
        <f>COUNTIF(handsmoothed!H$2:H$68,$A19)</f>
        <v>2</v>
      </c>
      <c r="I19" s="8">
        <f>COUNTIF(handsmoothed!I$2:I$68,$A19)</f>
        <v>3</v>
      </c>
      <c r="J19" s="8">
        <f>COUNTIF(handsmoothed!J$2:J$68,$A19)</f>
        <v>4</v>
      </c>
      <c r="K19" s="8">
        <f>COUNTIF(handsmoothed!K$2:K$68,$A19)</f>
        <v>4</v>
      </c>
      <c r="L19" s="8">
        <f>COUNTIF(handsmoothed!L$2:L$68,$A19)</f>
        <v>4</v>
      </c>
      <c r="M19" s="8">
        <f>COUNTIF(handsmoothed!M$2:M$68,$A19)</f>
        <v>4</v>
      </c>
      <c r="N19" s="8">
        <f>COUNTIF(handsmoothed!N$2:N$68,$A19)</f>
        <v>3</v>
      </c>
      <c r="P19" s="8">
        <v>18</v>
      </c>
      <c r="Q19" s="8">
        <f t="shared" si="2"/>
        <v>0</v>
      </c>
      <c r="R19" s="8">
        <f t="shared" si="3"/>
        <v>0</v>
      </c>
      <c r="S19" s="8">
        <f t="shared" si="4"/>
        <v>0</v>
      </c>
      <c r="T19" s="8">
        <f t="shared" si="5"/>
        <v>0</v>
      </c>
      <c r="U19" s="8">
        <f t="shared" si="6"/>
        <v>-1</v>
      </c>
      <c r="V19" s="8">
        <f t="shared" si="7"/>
        <v>0</v>
      </c>
      <c r="W19" s="8">
        <f t="shared" si="8"/>
        <v>-1</v>
      </c>
      <c r="X19" s="8">
        <f t="shared" si="9"/>
        <v>-1</v>
      </c>
      <c r="Y19" s="8">
        <f t="shared" si="10"/>
        <v>0</v>
      </c>
      <c r="Z19" s="8">
        <f t="shared" si="11"/>
        <v>0</v>
      </c>
      <c r="AA19" s="8">
        <f t="shared" si="12"/>
        <v>0</v>
      </c>
      <c r="AB19" s="8">
        <f t="shared" si="13"/>
        <v>1</v>
      </c>
      <c r="AC19" s="8"/>
      <c r="AE19" s="8">
        <v>18</v>
      </c>
      <c r="AF19" s="8">
        <f t="shared" si="14"/>
        <v>0</v>
      </c>
      <c r="AG19" s="8">
        <f t="shared" si="15"/>
        <v>0</v>
      </c>
      <c r="AH19" s="8">
        <f t="shared" si="16"/>
        <v>0</v>
      </c>
      <c r="AI19" s="8">
        <f t="shared" si="17"/>
        <v>0</v>
      </c>
      <c r="AJ19" s="8">
        <f t="shared" si="18"/>
        <v>0</v>
      </c>
      <c r="AK19" s="8">
        <f t="shared" si="19"/>
        <v>0</v>
      </c>
      <c r="AL19" s="8">
        <f>H20-H19</f>
        <v>0</v>
      </c>
      <c r="AM19" s="8">
        <f t="shared" si="20"/>
        <v>1</v>
      </c>
      <c r="AN19" s="8">
        <f t="shared" si="26"/>
        <v>3</v>
      </c>
      <c r="AO19" s="8">
        <f t="shared" si="21"/>
        <v>6</v>
      </c>
      <c r="AP19" s="8">
        <f t="shared" si="22"/>
        <v>9</v>
      </c>
      <c r="AQ19" s="8">
        <f t="shared" si="23"/>
        <v>13</v>
      </c>
      <c r="AR19" s="8">
        <f t="shared" si="24"/>
        <v>18</v>
      </c>
    </row>
    <row r="20" spans="1:44" x14ac:dyDescent="0.25">
      <c r="A20" s="8">
        <v>19</v>
      </c>
      <c r="B20" s="8">
        <f>COUNTIF(handsmoothed!B$2:B$68,$A20)</f>
        <v>1</v>
      </c>
      <c r="C20" s="8">
        <f>COUNTIF(handsmoothed!C$2:C$68,$A20)</f>
        <v>1</v>
      </c>
      <c r="D20" s="8">
        <f>COUNTIF(handsmoothed!D$2:D$68,$A20)</f>
        <v>1</v>
      </c>
      <c r="E20" s="8">
        <f>COUNTIF(handsmoothed!E$2:E$68,$A20)</f>
        <v>1</v>
      </c>
      <c r="F20" s="8">
        <f>COUNTIF(handsmoothed!F$2:F$68,$A20)</f>
        <v>1</v>
      </c>
      <c r="G20" s="8">
        <f>COUNTIF(handsmoothed!G$2:G$68,$A20)</f>
        <v>2</v>
      </c>
      <c r="H20" s="8">
        <f>COUNTIF(handsmoothed!H$2:H$68,$A20)</f>
        <v>2</v>
      </c>
      <c r="I20" s="8">
        <f>COUNTIF(handsmoothed!I$2:I$68,$A20)</f>
        <v>4</v>
      </c>
      <c r="J20" s="8">
        <f>COUNTIF(handsmoothed!J$2:J$68,$A20)</f>
        <v>7</v>
      </c>
      <c r="K20" s="8">
        <f>COUNTIF(handsmoothed!K$2:K$68,$A20)</f>
        <v>10</v>
      </c>
      <c r="L20" s="8">
        <f>COUNTIF(handsmoothed!L$2:L$68,$A20)</f>
        <v>13</v>
      </c>
      <c r="M20" s="8">
        <f>COUNTIF(handsmoothed!M$2:M$68,$A20)</f>
        <v>17</v>
      </c>
      <c r="N20" s="8">
        <f>COUNTIF(handsmoothed!N$2:N$68,$A20)</f>
        <v>21</v>
      </c>
      <c r="P20" s="8">
        <v>19</v>
      </c>
      <c r="Q20" s="8">
        <f t="shared" si="2"/>
        <v>0</v>
      </c>
      <c r="R20" s="8">
        <f t="shared" si="3"/>
        <v>0</v>
      </c>
      <c r="S20" s="8">
        <f t="shared" si="4"/>
        <v>0</v>
      </c>
      <c r="T20" s="8">
        <f t="shared" si="5"/>
        <v>0</v>
      </c>
      <c r="U20" s="8">
        <f t="shared" si="6"/>
        <v>-1</v>
      </c>
      <c r="V20" s="8">
        <f t="shared" si="7"/>
        <v>0</v>
      </c>
      <c r="W20" s="8">
        <f t="shared" si="8"/>
        <v>-2</v>
      </c>
      <c r="X20" s="8">
        <f t="shared" si="9"/>
        <v>-3</v>
      </c>
      <c r="Y20" s="8">
        <f t="shared" si="10"/>
        <v>-3</v>
      </c>
      <c r="Z20" s="8">
        <f t="shared" si="11"/>
        <v>-3</v>
      </c>
      <c r="AA20" s="8">
        <f t="shared" si="12"/>
        <v>-4</v>
      </c>
      <c r="AB20" s="8">
        <f t="shared" si="13"/>
        <v>-4</v>
      </c>
      <c r="AC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</row>
  </sheetData>
  <conditionalFormatting sqref="B2:N20">
    <cfRule type="cellIs" dxfId="31" priority="4" operator="equal">
      <formula>0</formula>
    </cfRule>
  </conditionalFormatting>
  <conditionalFormatting sqref="Q2:AB20">
    <cfRule type="cellIs" dxfId="30" priority="2" operator="notBetween">
      <formula>-1</formula>
      <formula>1</formula>
    </cfRule>
  </conditionalFormatting>
  <conditionalFormatting sqref="AF2:AR19">
    <cfRule type="cellIs" dxfId="29" priority="1" operator="notBetween">
      <formula>-1</formula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9343A-5534-4A93-9DF3-5D104E7E02D3}">
  <dimension ref="A1:M50"/>
  <sheetViews>
    <sheetView topLeftCell="A31" workbookViewId="0">
      <selection activeCell="G54" sqref="G54"/>
    </sheetView>
  </sheetViews>
  <sheetFormatPr defaultColWidth="8.7109375" defaultRowHeight="15" x14ac:dyDescent="0.25"/>
  <cols>
    <col min="1" max="1" width="8.7109375" style="19"/>
    <col min="2" max="3" width="8.7109375" style="18"/>
    <col min="4" max="5" width="10.42578125" style="18" customWidth="1"/>
    <col min="6" max="7" width="10.85546875" style="18" customWidth="1"/>
    <col min="8" max="9" width="8.7109375" style="18"/>
    <col min="10" max="16384" width="8.7109375" style="19"/>
  </cols>
  <sheetData>
    <row r="1" spans="1:10" ht="14.45" customHeight="1" x14ac:dyDescent="0.25">
      <c r="A1" s="32" t="s">
        <v>107</v>
      </c>
      <c r="B1" s="32"/>
      <c r="C1" s="32"/>
      <c r="D1" s="32"/>
      <c r="E1" s="32"/>
    </row>
    <row r="2" spans="1:10" ht="30" x14ac:dyDescent="0.25">
      <c r="A2" s="20" t="s">
        <v>88</v>
      </c>
      <c r="B2" s="20" t="s">
        <v>108</v>
      </c>
      <c r="C2" s="20" t="s">
        <v>109</v>
      </c>
      <c r="D2" s="20" t="s">
        <v>110</v>
      </c>
      <c r="E2" s="20" t="s">
        <v>111</v>
      </c>
      <c r="I2" s="18">
        <v>10</v>
      </c>
      <c r="J2" s="19">
        <v>3</v>
      </c>
    </row>
    <row r="3" spans="1:10" ht="14.45" customHeight="1" x14ac:dyDescent="0.25">
      <c r="A3" s="21">
        <v>2020</v>
      </c>
      <c r="B3" s="21">
        <v>10.000495000000001</v>
      </c>
      <c r="C3" s="21">
        <v>3.0156434999999999</v>
      </c>
      <c r="D3" s="21">
        <v>1</v>
      </c>
      <c r="E3" s="21">
        <v>19</v>
      </c>
      <c r="I3" s="18">
        <f>B3-I$2</f>
        <v>4.9500000000080036E-4</v>
      </c>
      <c r="J3" s="18">
        <f>C3-J$2</f>
        <v>1.5643499999999921E-2</v>
      </c>
    </row>
    <row r="4" spans="1:10" x14ac:dyDescent="0.25">
      <c r="A4" s="22"/>
      <c r="B4" s="23">
        <f>ROUND(B3,1)</f>
        <v>10</v>
      </c>
      <c r="C4" s="23">
        <f>ROUND(C3,1)</f>
        <v>3</v>
      </c>
    </row>
    <row r="5" spans="1:10" x14ac:dyDescent="0.25">
      <c r="A5" s="22"/>
    </row>
    <row r="7" spans="1:10" x14ac:dyDescent="0.25">
      <c r="A7" s="24"/>
    </row>
    <row r="8" spans="1:10" ht="14.45" customHeight="1" x14ac:dyDescent="0.25">
      <c r="A8" s="32" t="s">
        <v>107</v>
      </c>
      <c r="B8" s="32"/>
      <c r="C8" s="32"/>
      <c r="D8" s="32"/>
      <c r="E8" s="32"/>
      <c r="F8" s="32"/>
      <c r="G8" s="32"/>
    </row>
    <row r="9" spans="1:10" x14ac:dyDescent="0.25">
      <c r="A9" s="20" t="s">
        <v>112</v>
      </c>
      <c r="B9" s="20" t="s">
        <v>113</v>
      </c>
      <c r="C9" s="20" t="s">
        <v>88</v>
      </c>
      <c r="D9" s="20" t="s">
        <v>108</v>
      </c>
      <c r="E9" s="20" t="s">
        <v>109</v>
      </c>
      <c r="F9" s="20" t="s">
        <v>110</v>
      </c>
      <c r="G9" s="20" t="s">
        <v>111</v>
      </c>
    </row>
    <row r="10" spans="1:10" ht="14.45" customHeight="1" x14ac:dyDescent="0.25">
      <c r="A10" s="20">
        <v>1</v>
      </c>
      <c r="B10" s="20">
        <v>180</v>
      </c>
      <c r="C10" s="21">
        <v>180</v>
      </c>
      <c r="D10" s="21">
        <v>9.6888889000000002</v>
      </c>
      <c r="E10" s="21">
        <v>2.9126748</v>
      </c>
      <c r="F10" s="21">
        <v>1</v>
      </c>
      <c r="G10" s="21">
        <v>16</v>
      </c>
      <c r="I10" s="18">
        <f t="shared" ref="I10:I22" si="0">D10-I$2</f>
        <v>-0.31111109999999975</v>
      </c>
      <c r="J10" s="18">
        <f t="shared" ref="J10:J22" si="1">E10-J$2</f>
        <v>-8.7325199999999992E-2</v>
      </c>
    </row>
    <row r="11" spans="1:10" x14ac:dyDescent="0.25">
      <c r="A11" s="20">
        <v>2</v>
      </c>
      <c r="B11" s="20">
        <v>180</v>
      </c>
      <c r="C11" s="21">
        <v>180</v>
      </c>
      <c r="D11" s="21">
        <v>9.8777778000000005</v>
      </c>
      <c r="E11" s="21">
        <v>3.0077284999999998</v>
      </c>
      <c r="F11" s="21">
        <v>2</v>
      </c>
      <c r="G11" s="21">
        <v>18</v>
      </c>
      <c r="I11" s="18">
        <f t="shared" si="0"/>
        <v>-0.1222221999999995</v>
      </c>
      <c r="J11" s="18">
        <f t="shared" si="1"/>
        <v>7.728499999999805E-3</v>
      </c>
    </row>
    <row r="12" spans="1:10" ht="14.45" customHeight="1" x14ac:dyDescent="0.25">
      <c r="A12" s="20">
        <v>3</v>
      </c>
      <c r="B12" s="20">
        <v>180</v>
      </c>
      <c r="C12" s="21">
        <v>180</v>
      </c>
      <c r="D12" s="21">
        <v>10.433333299999999</v>
      </c>
      <c r="E12" s="21">
        <v>2.9749419000000001</v>
      </c>
      <c r="F12" s="21">
        <v>2</v>
      </c>
      <c r="G12" s="21">
        <v>17</v>
      </c>
      <c r="I12" s="18">
        <f t="shared" si="0"/>
        <v>0.43333329999999926</v>
      </c>
      <c r="J12" s="18">
        <f t="shared" si="1"/>
        <v>-2.5058099999999861E-2</v>
      </c>
    </row>
    <row r="13" spans="1:10" x14ac:dyDescent="0.25">
      <c r="A13" s="20">
        <v>4</v>
      </c>
      <c r="B13" s="20">
        <v>180</v>
      </c>
      <c r="C13" s="21">
        <v>180</v>
      </c>
      <c r="D13" s="21">
        <v>10.255555599999999</v>
      </c>
      <c r="E13" s="21">
        <v>3.0710801000000001</v>
      </c>
      <c r="F13" s="21">
        <v>1</v>
      </c>
      <c r="G13" s="21">
        <v>17</v>
      </c>
      <c r="I13" s="18">
        <f t="shared" si="0"/>
        <v>0.25555559999999922</v>
      </c>
      <c r="J13" s="18">
        <f t="shared" si="1"/>
        <v>7.108010000000009E-2</v>
      </c>
    </row>
    <row r="14" spans="1:10" x14ac:dyDescent="0.25">
      <c r="A14" s="20">
        <v>5</v>
      </c>
      <c r="B14" s="20">
        <v>180</v>
      </c>
      <c r="C14" s="21">
        <v>180</v>
      </c>
      <c r="D14" s="21">
        <v>10.1666667</v>
      </c>
      <c r="E14" s="21">
        <v>2.8705788999999999</v>
      </c>
      <c r="F14" s="21">
        <v>2</v>
      </c>
      <c r="G14" s="21">
        <v>17</v>
      </c>
      <c r="I14" s="18">
        <f t="shared" si="0"/>
        <v>0.16666670000000039</v>
      </c>
      <c r="J14" s="18">
        <f t="shared" si="1"/>
        <v>-0.12942110000000007</v>
      </c>
    </row>
    <row r="15" spans="1:10" x14ac:dyDescent="0.25">
      <c r="A15" s="20">
        <v>6</v>
      </c>
      <c r="B15" s="20">
        <v>180</v>
      </c>
      <c r="C15" s="21">
        <v>180</v>
      </c>
      <c r="D15" s="21">
        <v>9.9388889000000002</v>
      </c>
      <c r="E15" s="21">
        <v>3.1377391000000001</v>
      </c>
      <c r="F15" s="21">
        <v>2</v>
      </c>
      <c r="G15" s="21">
        <v>17</v>
      </c>
      <c r="I15" s="18">
        <f t="shared" si="0"/>
        <v>-6.1111099999999752E-2</v>
      </c>
      <c r="J15" s="18">
        <f t="shared" si="1"/>
        <v>0.13773910000000011</v>
      </c>
    </row>
    <row r="16" spans="1:10" x14ac:dyDescent="0.25">
      <c r="A16" s="20">
        <v>7</v>
      </c>
      <c r="B16" s="20">
        <v>180</v>
      </c>
      <c r="C16" s="21">
        <v>180</v>
      </c>
      <c r="D16" s="21">
        <v>10.244444400000001</v>
      </c>
      <c r="E16" s="21">
        <v>3.0901215999999998</v>
      </c>
      <c r="F16" s="21">
        <v>3</v>
      </c>
      <c r="G16" s="21">
        <v>17</v>
      </c>
      <c r="I16" s="18">
        <f t="shared" si="0"/>
        <v>0.24444440000000078</v>
      </c>
      <c r="J16" s="18">
        <f t="shared" si="1"/>
        <v>9.0121599999999802E-2</v>
      </c>
    </row>
    <row r="17" spans="1:13" x14ac:dyDescent="0.25">
      <c r="A17" s="20">
        <v>8</v>
      </c>
      <c r="B17" s="20">
        <v>180</v>
      </c>
      <c r="C17" s="21">
        <v>180</v>
      </c>
      <c r="D17" s="21">
        <v>9.5777777999999998</v>
      </c>
      <c r="E17" s="21">
        <v>3.0543596000000002</v>
      </c>
      <c r="F17" s="21">
        <v>1</v>
      </c>
      <c r="G17" s="21">
        <v>19</v>
      </c>
      <c r="I17" s="18">
        <f t="shared" si="0"/>
        <v>-0.42222220000000021</v>
      </c>
      <c r="J17" s="18">
        <f t="shared" si="1"/>
        <v>5.4359600000000174E-2</v>
      </c>
    </row>
    <row r="18" spans="1:13" x14ac:dyDescent="0.25">
      <c r="A18" s="20">
        <v>9</v>
      </c>
      <c r="B18" s="20">
        <v>180</v>
      </c>
      <c r="C18" s="21">
        <v>180</v>
      </c>
      <c r="D18" s="21">
        <v>9.7888888999999999</v>
      </c>
      <c r="E18" s="21">
        <v>2.9915875999999999</v>
      </c>
      <c r="F18" s="21">
        <v>2</v>
      </c>
      <c r="G18" s="21">
        <v>17</v>
      </c>
      <c r="I18" s="18">
        <f t="shared" si="0"/>
        <v>-0.21111110000000011</v>
      </c>
      <c r="J18" s="18">
        <f t="shared" si="1"/>
        <v>-8.4124000000000976E-3</v>
      </c>
    </row>
    <row r="19" spans="1:13" x14ac:dyDescent="0.25">
      <c r="A19" s="20">
        <v>10</v>
      </c>
      <c r="B19" s="20">
        <v>100</v>
      </c>
      <c r="C19" s="21">
        <v>100</v>
      </c>
      <c r="D19" s="21">
        <v>9.8699999999999992</v>
      </c>
      <c r="E19" s="21">
        <v>2.7657902999999999</v>
      </c>
      <c r="F19" s="21">
        <v>3</v>
      </c>
      <c r="G19" s="21">
        <v>17</v>
      </c>
      <c r="I19" s="18">
        <f t="shared" si="0"/>
        <v>-0.13000000000000078</v>
      </c>
      <c r="J19" s="18">
        <f t="shared" si="1"/>
        <v>-0.23420970000000008</v>
      </c>
    </row>
    <row r="20" spans="1:13" x14ac:dyDescent="0.25">
      <c r="A20" s="20">
        <v>11</v>
      </c>
      <c r="B20" s="20">
        <v>100</v>
      </c>
      <c r="C20" s="21">
        <v>100</v>
      </c>
      <c r="D20" s="21">
        <v>10.039999999999999</v>
      </c>
      <c r="E20" s="21">
        <v>2.8530331000000002</v>
      </c>
      <c r="F20" s="21">
        <v>1</v>
      </c>
      <c r="G20" s="21">
        <v>17</v>
      </c>
      <c r="I20" s="18">
        <f t="shared" si="0"/>
        <v>3.9999999999999147E-2</v>
      </c>
      <c r="J20" s="18">
        <f t="shared" si="1"/>
        <v>-0.14696689999999979</v>
      </c>
    </row>
    <row r="21" spans="1:13" x14ac:dyDescent="0.25">
      <c r="A21" s="20">
        <v>12</v>
      </c>
      <c r="B21" s="20">
        <v>100</v>
      </c>
      <c r="C21" s="21">
        <v>100</v>
      </c>
      <c r="D21" s="21">
        <v>9.77</v>
      </c>
      <c r="E21" s="21">
        <v>3.0677699</v>
      </c>
      <c r="F21" s="21">
        <v>3</v>
      </c>
      <c r="G21" s="21">
        <v>19</v>
      </c>
      <c r="I21" s="18">
        <f t="shared" si="0"/>
        <v>-0.23000000000000043</v>
      </c>
      <c r="J21" s="18">
        <f t="shared" si="1"/>
        <v>6.776990000000005E-2</v>
      </c>
    </row>
    <row r="22" spans="1:13" x14ac:dyDescent="0.25">
      <c r="A22" s="20">
        <v>13</v>
      </c>
      <c r="B22" s="20">
        <v>100</v>
      </c>
      <c r="C22" s="21">
        <v>100</v>
      </c>
      <c r="D22" s="21">
        <v>10.38</v>
      </c>
      <c r="E22" s="21">
        <v>3.3235614</v>
      </c>
      <c r="F22" s="21">
        <v>2</v>
      </c>
      <c r="G22" s="21">
        <v>17</v>
      </c>
      <c r="I22" s="18">
        <f t="shared" si="0"/>
        <v>0.38000000000000078</v>
      </c>
      <c r="J22" s="18">
        <f t="shared" si="1"/>
        <v>0.3235614</v>
      </c>
    </row>
    <row r="23" spans="1:13" x14ac:dyDescent="0.25">
      <c r="A23" s="22"/>
    </row>
    <row r="24" spans="1:13" x14ac:dyDescent="0.25">
      <c r="A24" s="22"/>
    </row>
    <row r="26" spans="1:13" x14ac:dyDescent="0.25">
      <c r="A26" s="25"/>
    </row>
    <row r="27" spans="1:13" x14ac:dyDescent="0.25">
      <c r="A27" s="26" t="s">
        <v>114</v>
      </c>
    </row>
    <row r="28" spans="1:13" x14ac:dyDescent="0.25">
      <c r="A28" s="24"/>
      <c r="I28" s="18">
        <v>4</v>
      </c>
      <c r="J28" s="27">
        <v>7</v>
      </c>
      <c r="K28" s="27">
        <v>10</v>
      </c>
      <c r="L28" s="18">
        <v>13</v>
      </c>
      <c r="M28" s="18">
        <v>16</v>
      </c>
    </row>
    <row r="29" spans="1:13" x14ac:dyDescent="0.25">
      <c r="A29" s="28" t="s">
        <v>15</v>
      </c>
      <c r="B29" s="29" t="s">
        <v>115</v>
      </c>
      <c r="C29" s="29" t="s">
        <v>116</v>
      </c>
      <c r="D29" s="29" t="s">
        <v>117</v>
      </c>
      <c r="E29" s="29" t="s">
        <v>118</v>
      </c>
      <c r="F29" s="29" t="s">
        <v>119</v>
      </c>
    </row>
    <row r="30" spans="1:13" x14ac:dyDescent="0.25">
      <c r="A30" s="28">
        <v>1</v>
      </c>
      <c r="B30" s="30">
        <v>4</v>
      </c>
      <c r="C30" s="30">
        <v>7</v>
      </c>
      <c r="D30" s="30">
        <v>10</v>
      </c>
      <c r="E30" s="30">
        <v>13</v>
      </c>
      <c r="F30" s="30">
        <v>16</v>
      </c>
      <c r="I30" s="18">
        <f>B30-I$28</f>
        <v>0</v>
      </c>
      <c r="J30" s="18">
        <f>C30-J$28</f>
        <v>0</v>
      </c>
      <c r="K30" s="18">
        <f>D30-K$28</f>
        <v>0</v>
      </c>
      <c r="L30" s="18">
        <f>E30-L$28</f>
        <v>0</v>
      </c>
      <c r="M30" s="18">
        <f>F30-M$28</f>
        <v>0</v>
      </c>
    </row>
    <row r="31" spans="1:13" x14ac:dyDescent="0.25">
      <c r="A31" s="22"/>
    </row>
    <row r="32" spans="1:13" x14ac:dyDescent="0.25">
      <c r="A32" s="22"/>
    </row>
    <row r="34" spans="1:13" x14ac:dyDescent="0.25">
      <c r="A34" s="25"/>
    </row>
    <row r="35" spans="1:13" x14ac:dyDescent="0.25">
      <c r="A35" s="26" t="s">
        <v>114</v>
      </c>
    </row>
    <row r="36" spans="1:13" x14ac:dyDescent="0.25">
      <c r="A36" s="24"/>
    </row>
    <row r="37" spans="1:13" x14ac:dyDescent="0.25">
      <c r="A37" s="20" t="s">
        <v>15</v>
      </c>
      <c r="B37" s="20" t="s">
        <v>112</v>
      </c>
      <c r="C37" s="20" t="s">
        <v>115</v>
      </c>
      <c r="D37" s="20" t="s">
        <v>116</v>
      </c>
      <c r="E37" s="20" t="s">
        <v>117</v>
      </c>
      <c r="F37" s="20" t="s">
        <v>118</v>
      </c>
      <c r="G37" s="20" t="s">
        <v>119</v>
      </c>
    </row>
    <row r="38" spans="1:13" x14ac:dyDescent="0.25">
      <c r="A38" s="20">
        <v>1</v>
      </c>
      <c r="B38" s="21">
        <v>1</v>
      </c>
      <c r="C38" s="21">
        <v>4</v>
      </c>
      <c r="D38" s="21">
        <v>7</v>
      </c>
      <c r="E38" s="21">
        <v>10</v>
      </c>
      <c r="F38" s="21">
        <v>13</v>
      </c>
      <c r="G38" s="21">
        <v>15</v>
      </c>
      <c r="I38" s="18">
        <f t="shared" ref="I38:I50" si="2">C38-I$28</f>
        <v>0</v>
      </c>
      <c r="J38" s="18">
        <f t="shared" ref="J38:J50" si="3">D38-J$28</f>
        <v>0</v>
      </c>
      <c r="K38" s="18">
        <f t="shared" ref="K38:K50" si="4">E38-K$28</f>
        <v>0</v>
      </c>
      <c r="L38" s="18">
        <f t="shared" ref="L38:L50" si="5">F38-L$28</f>
        <v>0</v>
      </c>
      <c r="M38" s="18">
        <f t="shared" ref="M38:M50" si="6">G38-M$28</f>
        <v>-1</v>
      </c>
    </row>
    <row r="39" spans="1:13" x14ac:dyDescent="0.25">
      <c r="A39" s="20">
        <v>2</v>
      </c>
      <c r="B39" s="21">
        <v>2</v>
      </c>
      <c r="C39" s="21">
        <v>4</v>
      </c>
      <c r="D39" s="21">
        <v>7</v>
      </c>
      <c r="E39" s="21">
        <v>10</v>
      </c>
      <c r="F39" s="21">
        <v>13</v>
      </c>
      <c r="G39" s="21">
        <v>16</v>
      </c>
      <c r="I39" s="18">
        <f t="shared" si="2"/>
        <v>0</v>
      </c>
      <c r="J39" s="18">
        <f t="shared" si="3"/>
        <v>0</v>
      </c>
      <c r="K39" s="18">
        <f t="shared" si="4"/>
        <v>0</v>
      </c>
      <c r="L39" s="18">
        <f t="shared" si="5"/>
        <v>0</v>
      </c>
      <c r="M39" s="18">
        <f t="shared" si="6"/>
        <v>0</v>
      </c>
    </row>
    <row r="40" spans="1:13" x14ac:dyDescent="0.25">
      <c r="A40" s="20">
        <v>3</v>
      </c>
      <c r="B40" s="21">
        <v>3</v>
      </c>
      <c r="C40" s="21">
        <v>5</v>
      </c>
      <c r="D40" s="21">
        <v>7</v>
      </c>
      <c r="E40" s="21">
        <v>10</v>
      </c>
      <c r="F40" s="21">
        <v>14</v>
      </c>
      <c r="G40" s="21">
        <v>16</v>
      </c>
      <c r="I40" s="18">
        <f t="shared" si="2"/>
        <v>1</v>
      </c>
      <c r="J40" s="18">
        <f t="shared" si="3"/>
        <v>0</v>
      </c>
      <c r="K40" s="18">
        <f t="shared" si="4"/>
        <v>0</v>
      </c>
      <c r="L40" s="18">
        <f t="shared" si="5"/>
        <v>1</v>
      </c>
      <c r="M40" s="18">
        <f t="shared" si="6"/>
        <v>0</v>
      </c>
    </row>
    <row r="41" spans="1:13" x14ac:dyDescent="0.25">
      <c r="A41" s="20">
        <v>4</v>
      </c>
      <c r="B41" s="21">
        <v>4</v>
      </c>
      <c r="C41" s="21">
        <v>4</v>
      </c>
      <c r="D41" s="21">
        <v>7</v>
      </c>
      <c r="E41" s="21">
        <v>10.5</v>
      </c>
      <c r="F41" s="21">
        <v>13</v>
      </c>
      <c r="G41" s="21">
        <v>16</v>
      </c>
      <c r="I41" s="18">
        <f t="shared" si="2"/>
        <v>0</v>
      </c>
      <c r="J41" s="18">
        <f t="shared" si="3"/>
        <v>0</v>
      </c>
      <c r="K41" s="18">
        <f t="shared" si="4"/>
        <v>0.5</v>
      </c>
      <c r="L41" s="18">
        <f t="shared" si="5"/>
        <v>0</v>
      </c>
      <c r="M41" s="18">
        <f t="shared" si="6"/>
        <v>0</v>
      </c>
    </row>
    <row r="42" spans="1:13" x14ac:dyDescent="0.25">
      <c r="A42" s="20">
        <v>5</v>
      </c>
      <c r="B42" s="21">
        <v>5</v>
      </c>
      <c r="C42" s="21">
        <v>4</v>
      </c>
      <c r="D42" s="21">
        <v>8</v>
      </c>
      <c r="E42" s="21">
        <v>10</v>
      </c>
      <c r="F42" s="21">
        <v>13</v>
      </c>
      <c r="G42" s="21">
        <v>16</v>
      </c>
      <c r="I42" s="18">
        <f t="shared" si="2"/>
        <v>0</v>
      </c>
      <c r="J42" s="18">
        <f t="shared" si="3"/>
        <v>1</v>
      </c>
      <c r="K42" s="18">
        <f t="shared" si="4"/>
        <v>0</v>
      </c>
      <c r="L42" s="18">
        <f t="shared" si="5"/>
        <v>0</v>
      </c>
      <c r="M42" s="18">
        <f t="shared" si="6"/>
        <v>0</v>
      </c>
    </row>
    <row r="43" spans="1:13" x14ac:dyDescent="0.25">
      <c r="A43" s="20">
        <v>6</v>
      </c>
      <c r="B43" s="21">
        <v>6</v>
      </c>
      <c r="C43" s="21">
        <v>4</v>
      </c>
      <c r="D43" s="21">
        <v>7</v>
      </c>
      <c r="E43" s="21">
        <v>9</v>
      </c>
      <c r="F43" s="21">
        <v>14</v>
      </c>
      <c r="G43" s="21">
        <v>16</v>
      </c>
      <c r="I43" s="18">
        <f t="shared" si="2"/>
        <v>0</v>
      </c>
      <c r="J43" s="18">
        <f t="shared" si="3"/>
        <v>0</v>
      </c>
      <c r="K43" s="18">
        <f t="shared" si="4"/>
        <v>-1</v>
      </c>
      <c r="L43" s="18">
        <f t="shared" si="5"/>
        <v>1</v>
      </c>
      <c r="M43" s="18">
        <f t="shared" si="6"/>
        <v>0</v>
      </c>
    </row>
    <row r="44" spans="1:13" x14ac:dyDescent="0.25">
      <c r="A44" s="20">
        <v>7</v>
      </c>
      <c r="B44" s="21">
        <v>7</v>
      </c>
      <c r="C44" s="21">
        <v>4</v>
      </c>
      <c r="D44" s="21">
        <v>7</v>
      </c>
      <c r="E44" s="21">
        <v>11</v>
      </c>
      <c r="F44" s="21">
        <v>14</v>
      </c>
      <c r="G44" s="21">
        <v>15</v>
      </c>
      <c r="I44" s="18">
        <f t="shared" si="2"/>
        <v>0</v>
      </c>
      <c r="J44" s="18">
        <f t="shared" si="3"/>
        <v>0</v>
      </c>
      <c r="K44" s="18">
        <f t="shared" si="4"/>
        <v>1</v>
      </c>
      <c r="L44" s="18">
        <f t="shared" si="5"/>
        <v>1</v>
      </c>
      <c r="M44" s="18">
        <f t="shared" si="6"/>
        <v>-1</v>
      </c>
    </row>
    <row r="45" spans="1:13" x14ac:dyDescent="0.25">
      <c r="A45" s="20">
        <v>8</v>
      </c>
      <c r="B45" s="21">
        <v>8</v>
      </c>
      <c r="C45" s="21">
        <v>2</v>
      </c>
      <c r="D45" s="21">
        <v>7</v>
      </c>
      <c r="E45" s="21">
        <v>9</v>
      </c>
      <c r="F45" s="21">
        <v>13</v>
      </c>
      <c r="G45" s="21">
        <v>16</v>
      </c>
      <c r="I45" s="31">
        <f>C45-I$28</f>
        <v>-2</v>
      </c>
      <c r="J45" s="18">
        <f t="shared" si="3"/>
        <v>0</v>
      </c>
      <c r="K45" s="18">
        <f t="shared" si="4"/>
        <v>-1</v>
      </c>
      <c r="L45" s="18">
        <f t="shared" si="5"/>
        <v>0</v>
      </c>
      <c r="M45" s="18">
        <f t="shared" si="6"/>
        <v>0</v>
      </c>
    </row>
    <row r="46" spans="1:13" x14ac:dyDescent="0.25">
      <c r="A46" s="20">
        <v>9</v>
      </c>
      <c r="B46" s="21">
        <v>9</v>
      </c>
      <c r="C46" s="21">
        <v>4</v>
      </c>
      <c r="D46" s="21">
        <v>7</v>
      </c>
      <c r="E46" s="21">
        <v>10</v>
      </c>
      <c r="F46" s="21">
        <v>13</v>
      </c>
      <c r="G46" s="21">
        <v>16</v>
      </c>
      <c r="I46" s="18">
        <f t="shared" si="2"/>
        <v>0</v>
      </c>
      <c r="J46" s="18">
        <f t="shared" si="3"/>
        <v>0</v>
      </c>
      <c r="K46" s="18">
        <f t="shared" si="4"/>
        <v>0</v>
      </c>
      <c r="L46" s="18">
        <f t="shared" si="5"/>
        <v>0</v>
      </c>
      <c r="M46" s="18">
        <f t="shared" si="6"/>
        <v>0</v>
      </c>
    </row>
    <row r="47" spans="1:13" x14ac:dyDescent="0.25">
      <c r="A47" s="20">
        <v>10</v>
      </c>
      <c r="B47" s="21">
        <v>10</v>
      </c>
      <c r="C47" s="21">
        <v>4</v>
      </c>
      <c r="D47" s="21">
        <v>8</v>
      </c>
      <c r="E47" s="21">
        <v>9</v>
      </c>
      <c r="F47" s="21">
        <v>12.5</v>
      </c>
      <c r="G47" s="21">
        <v>16</v>
      </c>
      <c r="I47" s="18">
        <f t="shared" si="2"/>
        <v>0</v>
      </c>
      <c r="J47" s="18">
        <f t="shared" si="3"/>
        <v>1</v>
      </c>
      <c r="K47" s="18">
        <f t="shared" si="4"/>
        <v>-1</v>
      </c>
      <c r="L47" s="18">
        <f t="shared" si="5"/>
        <v>-0.5</v>
      </c>
      <c r="M47" s="18">
        <f t="shared" si="6"/>
        <v>0</v>
      </c>
    </row>
    <row r="48" spans="1:13" x14ac:dyDescent="0.25">
      <c r="A48" s="20">
        <v>11</v>
      </c>
      <c r="B48" s="21">
        <v>11</v>
      </c>
      <c r="C48" s="21">
        <v>4.5</v>
      </c>
      <c r="D48" s="21">
        <v>7.5</v>
      </c>
      <c r="E48" s="21">
        <v>10</v>
      </c>
      <c r="F48" s="21">
        <v>13</v>
      </c>
      <c r="G48" s="21">
        <v>16</v>
      </c>
      <c r="I48" s="18">
        <f t="shared" si="2"/>
        <v>0.5</v>
      </c>
      <c r="J48" s="18">
        <f t="shared" si="3"/>
        <v>0.5</v>
      </c>
      <c r="K48" s="18">
        <f t="shared" si="4"/>
        <v>0</v>
      </c>
      <c r="L48" s="18">
        <f t="shared" si="5"/>
        <v>0</v>
      </c>
      <c r="M48" s="18">
        <f t="shared" si="6"/>
        <v>0</v>
      </c>
    </row>
    <row r="49" spans="1:13" x14ac:dyDescent="0.25">
      <c r="A49" s="20">
        <v>12</v>
      </c>
      <c r="B49" s="21">
        <v>12</v>
      </c>
      <c r="C49" s="21">
        <v>4</v>
      </c>
      <c r="D49" s="21">
        <v>7</v>
      </c>
      <c r="E49" s="21">
        <v>9</v>
      </c>
      <c r="F49" s="21">
        <v>13</v>
      </c>
      <c r="G49" s="21">
        <v>17.5</v>
      </c>
      <c r="I49" s="18">
        <f t="shared" si="2"/>
        <v>0</v>
      </c>
      <c r="J49" s="18">
        <f t="shared" si="3"/>
        <v>0</v>
      </c>
      <c r="K49" s="18">
        <f t="shared" si="4"/>
        <v>-1</v>
      </c>
      <c r="L49" s="18">
        <f t="shared" si="5"/>
        <v>0</v>
      </c>
      <c r="M49" s="18">
        <f t="shared" si="6"/>
        <v>1.5</v>
      </c>
    </row>
    <row r="50" spans="1:13" x14ac:dyDescent="0.25">
      <c r="A50" s="20">
        <v>13</v>
      </c>
      <c r="B50" s="21">
        <v>13</v>
      </c>
      <c r="C50" s="21">
        <v>3</v>
      </c>
      <c r="D50" s="21">
        <v>7</v>
      </c>
      <c r="E50" s="21">
        <v>10</v>
      </c>
      <c r="F50" s="21">
        <v>13</v>
      </c>
      <c r="G50" s="21">
        <v>16</v>
      </c>
      <c r="I50" s="18">
        <f t="shared" si="2"/>
        <v>-1</v>
      </c>
      <c r="J50" s="18">
        <f t="shared" si="3"/>
        <v>0</v>
      </c>
      <c r="K50" s="18">
        <f t="shared" si="4"/>
        <v>0</v>
      </c>
      <c r="L50" s="18">
        <f t="shared" si="5"/>
        <v>0</v>
      </c>
      <c r="M50" s="18">
        <f t="shared" si="6"/>
        <v>0</v>
      </c>
    </row>
  </sheetData>
  <mergeCells count="2">
    <mergeCell ref="A1:E1"/>
    <mergeCell ref="A8:G8"/>
  </mergeCells>
  <conditionalFormatting sqref="I38:M50 I30:M30">
    <cfRule type="cellIs" dxfId="28" priority="5" operator="equal">
      <formula>0</formula>
    </cfRule>
  </conditionalFormatting>
  <conditionalFormatting sqref="I3 I10:I22">
    <cfRule type="cellIs" dxfId="27" priority="3" operator="between">
      <formula>-0.5</formula>
      <formula>0.5</formula>
    </cfRule>
  </conditionalFormatting>
  <conditionalFormatting sqref="J10:J22">
    <cfRule type="cellIs" dxfId="26" priority="2" operator="between">
      <formula>-0.5</formula>
      <formula>0.5</formula>
    </cfRule>
  </conditionalFormatting>
  <conditionalFormatting sqref="J3">
    <cfRule type="cellIs" dxfId="25" priority="1" operator="between">
      <formula>-0.5</formula>
      <formula>0.5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542F-267A-49A4-998E-61A136B54414}">
  <dimension ref="A1:N68"/>
  <sheetViews>
    <sheetView workbookViewId="0">
      <selection activeCell="O23" sqref="O23"/>
    </sheetView>
  </sheetViews>
  <sheetFormatPr defaultRowHeight="15" x14ac:dyDescent="0.25"/>
  <cols>
    <col min="1" max="1" width="13.140625" style="8" bestFit="1" customWidth="1"/>
    <col min="2" max="14" width="5.42578125" style="8" customWidth="1"/>
  </cols>
  <sheetData>
    <row r="1" spans="1:14" x14ac:dyDescent="0.2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  <c r="F1" s="8" t="s">
        <v>98</v>
      </c>
      <c r="G1" s="8" t="s">
        <v>99</v>
      </c>
      <c r="H1" s="8" t="s">
        <v>100</v>
      </c>
      <c r="I1" s="8" t="s">
        <v>101</v>
      </c>
      <c r="J1" s="8" t="s">
        <v>102</v>
      </c>
      <c r="K1" s="8" t="s">
        <v>103</v>
      </c>
      <c r="L1" s="8" t="s">
        <v>104</v>
      </c>
      <c r="M1" s="8" t="s">
        <v>105</v>
      </c>
      <c r="N1" s="8" t="s">
        <v>106</v>
      </c>
    </row>
    <row r="2" spans="1:14" x14ac:dyDescent="0.25">
      <c r="A2" s="8">
        <f>handsmoothed!A2</f>
        <v>0</v>
      </c>
      <c r="B2" s="8">
        <f>handsmoothed!B2</f>
        <v>1</v>
      </c>
      <c r="C2" s="8">
        <f>handsmoothed!C2</f>
        <v>1</v>
      </c>
      <c r="D2" s="8">
        <f>handsmoothed!D2</f>
        <v>1</v>
      </c>
      <c r="E2" s="8">
        <f>handsmoothed!E2</f>
        <v>1</v>
      </c>
      <c r="F2" s="8">
        <f>handsmoothed!F2</f>
        <v>1</v>
      </c>
      <c r="G2" s="8">
        <f>handsmoothed!G2</f>
        <v>1</v>
      </c>
      <c r="H2" s="8">
        <f>handsmoothed!H2</f>
        <v>1</v>
      </c>
      <c r="I2" s="8">
        <f>handsmoothed!I2</f>
        <v>1</v>
      </c>
      <c r="J2" s="8">
        <f>handsmoothed!J2</f>
        <v>1</v>
      </c>
      <c r="K2" s="8">
        <f>handsmoothed!K2</f>
        <v>1</v>
      </c>
      <c r="L2" s="8">
        <f>handsmoothed!L2</f>
        <v>1</v>
      </c>
      <c r="M2" s="8">
        <f>handsmoothed!M2</f>
        <v>1</v>
      </c>
      <c r="N2" s="8">
        <f>handsmoothed!N2</f>
        <v>1</v>
      </c>
    </row>
    <row r="3" spans="1:14" x14ac:dyDescent="0.25">
      <c r="A3" s="8">
        <f>handsmoothed!A3</f>
        <v>1</v>
      </c>
      <c r="B3" s="8">
        <f>handsmoothed!B3</f>
        <v>1</v>
      </c>
      <c r="C3" s="8">
        <f>handsmoothed!C3</f>
        <v>1</v>
      </c>
      <c r="D3" s="8">
        <f>handsmoothed!D3</f>
        <v>1</v>
      </c>
      <c r="E3" s="8">
        <f>handsmoothed!E3</f>
        <v>1</v>
      </c>
      <c r="F3" s="8">
        <f>handsmoothed!F3</f>
        <v>1</v>
      </c>
      <c r="G3" s="8">
        <f>handsmoothed!G3</f>
        <v>1</v>
      </c>
      <c r="H3" s="8">
        <f>handsmoothed!H3</f>
        <v>1</v>
      </c>
      <c r="I3" s="8">
        <f>handsmoothed!I3</f>
        <v>1</v>
      </c>
      <c r="J3" s="8">
        <f>handsmoothed!J3</f>
        <v>1</v>
      </c>
      <c r="K3" s="8">
        <f>handsmoothed!K3</f>
        <v>1</v>
      </c>
      <c r="L3" s="8">
        <f>handsmoothed!L3</f>
        <v>1</v>
      </c>
      <c r="M3" s="8">
        <f>handsmoothed!M3</f>
        <v>1</v>
      </c>
      <c r="N3" s="8">
        <f>handsmoothed!N3</f>
        <v>1</v>
      </c>
    </row>
    <row r="4" spans="1:14" x14ac:dyDescent="0.25">
      <c r="A4" s="8">
        <f>handsmoothed!A4</f>
        <v>2</v>
      </c>
      <c r="B4" s="8">
        <f>handsmoothed!B4</f>
        <v>1</v>
      </c>
      <c r="C4" s="8">
        <f>handsmoothed!C4</f>
        <v>1</v>
      </c>
      <c r="D4" s="8">
        <f>handsmoothed!D4</f>
        <v>1</v>
      </c>
      <c r="E4" s="8">
        <f>handsmoothed!E4</f>
        <v>1</v>
      </c>
      <c r="F4" s="8">
        <f>handsmoothed!F4</f>
        <v>1</v>
      </c>
      <c r="G4" s="8">
        <f>handsmoothed!G4</f>
        <v>1</v>
      </c>
      <c r="H4" s="8">
        <f>handsmoothed!H4</f>
        <v>1</v>
      </c>
      <c r="I4" s="8">
        <f>handsmoothed!I4</f>
        <v>1</v>
      </c>
      <c r="J4" s="8">
        <f>handsmoothed!J4</f>
        <v>1</v>
      </c>
      <c r="K4" s="8">
        <f>handsmoothed!K4</f>
        <v>1</v>
      </c>
      <c r="L4" s="8">
        <f>handsmoothed!L4</f>
        <v>1</v>
      </c>
      <c r="M4" s="8">
        <f>handsmoothed!M4</f>
        <v>1</v>
      </c>
      <c r="N4" s="8">
        <f>handsmoothed!N4</f>
        <v>2</v>
      </c>
    </row>
    <row r="5" spans="1:14" x14ac:dyDescent="0.25">
      <c r="A5" s="8">
        <f>handsmoothed!A5</f>
        <v>3</v>
      </c>
      <c r="B5" s="8">
        <f>handsmoothed!B5</f>
        <v>1</v>
      </c>
      <c r="C5" s="8">
        <f>handsmoothed!C5</f>
        <v>1</v>
      </c>
      <c r="D5" s="8">
        <f>handsmoothed!D5</f>
        <v>1</v>
      </c>
      <c r="E5" s="8">
        <f>handsmoothed!E5</f>
        <v>1</v>
      </c>
      <c r="F5" s="8">
        <f>handsmoothed!F5</f>
        <v>2</v>
      </c>
      <c r="G5" s="8">
        <f>handsmoothed!G5</f>
        <v>2</v>
      </c>
      <c r="H5" s="8">
        <f>handsmoothed!H5</f>
        <v>2</v>
      </c>
      <c r="I5" s="8">
        <f>handsmoothed!I5</f>
        <v>2</v>
      </c>
      <c r="J5" s="8">
        <f>handsmoothed!J5</f>
        <v>2</v>
      </c>
      <c r="K5" s="8">
        <f>handsmoothed!K5</f>
        <v>2</v>
      </c>
      <c r="L5" s="8">
        <f>handsmoothed!L5</f>
        <v>2</v>
      </c>
      <c r="M5" s="8">
        <f>handsmoothed!M5</f>
        <v>2</v>
      </c>
      <c r="N5" s="8">
        <f>handsmoothed!N5</f>
        <v>2</v>
      </c>
    </row>
    <row r="6" spans="1:14" x14ac:dyDescent="0.25">
      <c r="A6" s="8">
        <f>handsmoothed!A6</f>
        <v>4</v>
      </c>
      <c r="B6" s="8">
        <f>handsmoothed!B6</f>
        <v>2</v>
      </c>
      <c r="C6" s="8">
        <f>handsmoothed!C6</f>
        <v>2</v>
      </c>
      <c r="D6" s="8">
        <f>handsmoothed!D6</f>
        <v>2</v>
      </c>
      <c r="E6" s="8">
        <f>handsmoothed!E6</f>
        <v>2</v>
      </c>
      <c r="F6" s="8">
        <f>handsmoothed!F6</f>
        <v>2</v>
      </c>
      <c r="G6" s="8">
        <f>handsmoothed!G6</f>
        <v>2</v>
      </c>
      <c r="H6" s="8">
        <f>handsmoothed!H6</f>
        <v>2</v>
      </c>
      <c r="I6" s="8">
        <f>handsmoothed!I6</f>
        <v>2</v>
      </c>
      <c r="J6" s="8">
        <f>handsmoothed!J6</f>
        <v>2</v>
      </c>
      <c r="K6" s="8">
        <f>handsmoothed!K6</f>
        <v>2</v>
      </c>
      <c r="L6" s="8">
        <f>handsmoothed!L6</f>
        <v>2</v>
      </c>
      <c r="M6" s="8">
        <f>handsmoothed!M6</f>
        <v>2</v>
      </c>
      <c r="N6" s="8">
        <f>handsmoothed!N6</f>
        <v>3</v>
      </c>
    </row>
    <row r="7" spans="1:14" x14ac:dyDescent="0.25">
      <c r="A7" s="8">
        <f>handsmoothed!A7</f>
        <v>5</v>
      </c>
      <c r="B7" s="8">
        <f>handsmoothed!B7</f>
        <v>2</v>
      </c>
      <c r="C7" s="8">
        <f>handsmoothed!C7</f>
        <v>2</v>
      </c>
      <c r="D7" s="8">
        <f>handsmoothed!D7</f>
        <v>2</v>
      </c>
      <c r="E7" s="8">
        <f>handsmoothed!E7</f>
        <v>2</v>
      </c>
      <c r="F7" s="8">
        <f>handsmoothed!F7</f>
        <v>2</v>
      </c>
      <c r="G7" s="8">
        <f>handsmoothed!G7</f>
        <v>2</v>
      </c>
      <c r="H7" s="8">
        <f>handsmoothed!H7</f>
        <v>2</v>
      </c>
      <c r="I7" s="8">
        <f>handsmoothed!I7</f>
        <v>2</v>
      </c>
      <c r="J7" s="8">
        <f>handsmoothed!J7</f>
        <v>2</v>
      </c>
      <c r="K7" s="8">
        <f>handsmoothed!K7</f>
        <v>2</v>
      </c>
      <c r="L7" s="8">
        <f>handsmoothed!L7</f>
        <v>2</v>
      </c>
      <c r="M7" s="8">
        <f>handsmoothed!M7</f>
        <v>3</v>
      </c>
      <c r="N7" s="8">
        <f>handsmoothed!N7</f>
        <v>3</v>
      </c>
    </row>
    <row r="8" spans="1:14" x14ac:dyDescent="0.25">
      <c r="A8" s="8">
        <f>handsmoothed!A8</f>
        <v>6</v>
      </c>
      <c r="B8" s="8">
        <f>handsmoothed!B8</f>
        <v>2</v>
      </c>
      <c r="C8" s="8">
        <f>handsmoothed!C8</f>
        <v>2</v>
      </c>
      <c r="D8" s="8">
        <f>handsmoothed!D8</f>
        <v>2</v>
      </c>
      <c r="E8" s="8">
        <f>handsmoothed!E8</f>
        <v>2</v>
      </c>
      <c r="F8" s="8">
        <f>handsmoothed!F8</f>
        <v>2</v>
      </c>
      <c r="G8" s="8">
        <f>handsmoothed!G8</f>
        <v>2</v>
      </c>
      <c r="H8" s="8">
        <f>handsmoothed!H8</f>
        <v>2</v>
      </c>
      <c r="I8" s="8">
        <f>handsmoothed!I8</f>
        <v>3</v>
      </c>
      <c r="J8" s="8">
        <f>handsmoothed!J8</f>
        <v>3</v>
      </c>
      <c r="K8" s="8">
        <f>handsmoothed!K8</f>
        <v>3</v>
      </c>
      <c r="L8" s="8">
        <f>handsmoothed!L8</f>
        <v>3</v>
      </c>
      <c r="M8" s="8">
        <f>handsmoothed!M8</f>
        <v>3</v>
      </c>
      <c r="N8" s="8">
        <f>handsmoothed!N8</f>
        <v>4</v>
      </c>
    </row>
    <row r="9" spans="1:14" x14ac:dyDescent="0.25">
      <c r="A9" s="8">
        <f>handsmoothed!A9</f>
        <v>7</v>
      </c>
      <c r="B9" s="8">
        <f>handsmoothed!B9</f>
        <v>2</v>
      </c>
      <c r="C9" s="8">
        <f>handsmoothed!C9</f>
        <v>2</v>
      </c>
      <c r="D9" s="8">
        <f>handsmoothed!D9</f>
        <v>2</v>
      </c>
      <c r="E9" s="8">
        <f>handsmoothed!E9</f>
        <v>2</v>
      </c>
      <c r="F9" s="8">
        <f>handsmoothed!F9</f>
        <v>3</v>
      </c>
      <c r="G9" s="8">
        <f>handsmoothed!G9</f>
        <v>3</v>
      </c>
      <c r="H9" s="8">
        <f>handsmoothed!H9</f>
        <v>3</v>
      </c>
      <c r="I9" s="8">
        <f>handsmoothed!I9</f>
        <v>3</v>
      </c>
      <c r="J9" s="8">
        <f>handsmoothed!J9</f>
        <v>3</v>
      </c>
      <c r="K9" s="8">
        <f>handsmoothed!K9</f>
        <v>3</v>
      </c>
      <c r="L9" s="8">
        <f>handsmoothed!L9</f>
        <v>3</v>
      </c>
      <c r="M9" s="8">
        <f>handsmoothed!M9</f>
        <v>4</v>
      </c>
      <c r="N9" s="8">
        <f>handsmoothed!N9</f>
        <v>4</v>
      </c>
    </row>
    <row r="10" spans="1:14" x14ac:dyDescent="0.25">
      <c r="A10" s="8">
        <f>handsmoothed!A10</f>
        <v>8</v>
      </c>
      <c r="B10" s="8">
        <f>handsmoothed!B10</f>
        <v>3</v>
      </c>
      <c r="C10" s="8">
        <f>handsmoothed!C10</f>
        <v>3</v>
      </c>
      <c r="D10" s="8">
        <f>handsmoothed!D10</f>
        <v>3</v>
      </c>
      <c r="E10" s="8">
        <f>handsmoothed!E10</f>
        <v>3</v>
      </c>
      <c r="F10" s="8">
        <f>handsmoothed!F10</f>
        <v>3</v>
      </c>
      <c r="G10" s="8">
        <f>handsmoothed!G10</f>
        <v>3</v>
      </c>
      <c r="H10" s="8">
        <f>handsmoothed!H10</f>
        <v>3</v>
      </c>
      <c r="I10" s="8">
        <f>handsmoothed!I10</f>
        <v>3</v>
      </c>
      <c r="J10" s="8">
        <f>handsmoothed!J10</f>
        <v>3</v>
      </c>
      <c r="K10" s="8">
        <f>handsmoothed!K10</f>
        <v>3</v>
      </c>
      <c r="L10" s="8">
        <f>handsmoothed!L10</f>
        <v>4</v>
      </c>
      <c r="M10" s="8">
        <f>handsmoothed!M10</f>
        <v>4</v>
      </c>
      <c r="N10" s="8">
        <f>handsmoothed!N10</f>
        <v>5</v>
      </c>
    </row>
    <row r="11" spans="1:14" x14ac:dyDescent="0.25">
      <c r="A11" s="8">
        <f>handsmoothed!A11</f>
        <v>9</v>
      </c>
      <c r="B11" s="8">
        <f>handsmoothed!B11</f>
        <v>3</v>
      </c>
      <c r="C11" s="8">
        <f>handsmoothed!C11</f>
        <v>3</v>
      </c>
      <c r="D11" s="8">
        <f>handsmoothed!D11</f>
        <v>3</v>
      </c>
      <c r="E11" s="8">
        <f>handsmoothed!E11</f>
        <v>3</v>
      </c>
      <c r="F11" s="8">
        <f>handsmoothed!F11</f>
        <v>3</v>
      </c>
      <c r="G11" s="8">
        <f>handsmoothed!G11</f>
        <v>3</v>
      </c>
      <c r="H11" s="8">
        <f>handsmoothed!H11</f>
        <v>3</v>
      </c>
      <c r="I11" s="8">
        <f>handsmoothed!I11</f>
        <v>3</v>
      </c>
      <c r="J11" s="8">
        <f>handsmoothed!J11</f>
        <v>4</v>
      </c>
      <c r="K11" s="8">
        <f>handsmoothed!K11</f>
        <v>4</v>
      </c>
      <c r="L11" s="8">
        <f>handsmoothed!L11</f>
        <v>4</v>
      </c>
      <c r="M11" s="8">
        <f>handsmoothed!M11</f>
        <v>5</v>
      </c>
      <c r="N11" s="8">
        <f>handsmoothed!N11</f>
        <v>5</v>
      </c>
    </row>
    <row r="12" spans="1:14" x14ac:dyDescent="0.25">
      <c r="A12" s="8">
        <f>handsmoothed!A12</f>
        <v>10</v>
      </c>
      <c r="B12" s="8">
        <f>handsmoothed!B12</f>
        <v>3</v>
      </c>
      <c r="C12" s="8">
        <f>handsmoothed!C12</f>
        <v>3</v>
      </c>
      <c r="D12" s="8">
        <f>handsmoothed!D12</f>
        <v>3</v>
      </c>
      <c r="E12" s="8">
        <f>handsmoothed!E12</f>
        <v>3</v>
      </c>
      <c r="F12" s="8">
        <f>handsmoothed!F12</f>
        <v>3</v>
      </c>
      <c r="G12" s="8">
        <f>handsmoothed!G12</f>
        <v>3</v>
      </c>
      <c r="H12" s="8">
        <f>handsmoothed!H12</f>
        <v>3</v>
      </c>
      <c r="I12" s="8">
        <f>handsmoothed!I12</f>
        <v>4</v>
      </c>
      <c r="J12" s="8">
        <f>handsmoothed!J12</f>
        <v>4</v>
      </c>
      <c r="K12" s="8">
        <f>handsmoothed!K12</f>
        <v>4</v>
      </c>
      <c r="L12" s="8">
        <f>handsmoothed!L12</f>
        <v>5</v>
      </c>
      <c r="M12" s="8">
        <f>handsmoothed!M12</f>
        <v>5</v>
      </c>
      <c r="N12" s="8">
        <f>handsmoothed!N12</f>
        <v>6</v>
      </c>
    </row>
    <row r="13" spans="1:14" x14ac:dyDescent="0.25">
      <c r="A13" s="8">
        <f>handsmoothed!A13</f>
        <v>11</v>
      </c>
      <c r="B13" s="8">
        <f>handsmoothed!B13</f>
        <v>3</v>
      </c>
      <c r="C13" s="8">
        <f>handsmoothed!C13</f>
        <v>3</v>
      </c>
      <c r="D13" s="8">
        <f>handsmoothed!D13</f>
        <v>3</v>
      </c>
      <c r="E13" s="8">
        <f>handsmoothed!E13</f>
        <v>4</v>
      </c>
      <c r="F13" s="8">
        <f>handsmoothed!F13</f>
        <v>4</v>
      </c>
      <c r="G13" s="8">
        <f>handsmoothed!G13</f>
        <v>4</v>
      </c>
      <c r="H13" s="8">
        <f>handsmoothed!H13</f>
        <v>4</v>
      </c>
      <c r="I13" s="8">
        <f>handsmoothed!I13</f>
        <v>4</v>
      </c>
      <c r="J13" s="8">
        <f>handsmoothed!J13</f>
        <v>4</v>
      </c>
      <c r="K13" s="8">
        <f>handsmoothed!K13</f>
        <v>5</v>
      </c>
      <c r="L13" s="8">
        <f>handsmoothed!L13</f>
        <v>5</v>
      </c>
      <c r="M13" s="8">
        <f>handsmoothed!M13</f>
        <v>6</v>
      </c>
      <c r="N13" s="8">
        <f>handsmoothed!N13</f>
        <v>6</v>
      </c>
    </row>
    <row r="14" spans="1:14" x14ac:dyDescent="0.25">
      <c r="A14" s="8">
        <f>handsmoothed!A14</f>
        <v>12</v>
      </c>
      <c r="B14" s="8">
        <f>handsmoothed!B14</f>
        <v>4</v>
      </c>
      <c r="C14" s="8">
        <f>handsmoothed!C14</f>
        <v>4</v>
      </c>
      <c r="D14" s="8">
        <f>handsmoothed!D14</f>
        <v>4</v>
      </c>
      <c r="E14" s="8">
        <f>handsmoothed!E14</f>
        <v>4</v>
      </c>
      <c r="F14" s="8">
        <f>handsmoothed!F14</f>
        <v>4</v>
      </c>
      <c r="G14" s="8">
        <f>handsmoothed!G14</f>
        <v>4</v>
      </c>
      <c r="H14" s="8">
        <f>handsmoothed!H14</f>
        <v>4</v>
      </c>
      <c r="I14" s="8">
        <f>handsmoothed!I14</f>
        <v>4</v>
      </c>
      <c r="J14" s="8">
        <f>handsmoothed!J14</f>
        <v>5</v>
      </c>
      <c r="K14" s="8">
        <f>handsmoothed!K14</f>
        <v>5</v>
      </c>
      <c r="L14" s="8">
        <f>handsmoothed!L14</f>
        <v>5</v>
      </c>
      <c r="M14" s="8">
        <f>handsmoothed!M14</f>
        <v>6</v>
      </c>
      <c r="N14" s="8">
        <f>handsmoothed!N14</f>
        <v>7</v>
      </c>
    </row>
    <row r="15" spans="1:14" x14ac:dyDescent="0.25">
      <c r="A15" s="8">
        <f>handsmoothed!A15</f>
        <v>13</v>
      </c>
      <c r="B15" s="8">
        <f>handsmoothed!B15</f>
        <v>4</v>
      </c>
      <c r="C15" s="8">
        <f>handsmoothed!C15</f>
        <v>4</v>
      </c>
      <c r="D15" s="8">
        <f>handsmoothed!D15</f>
        <v>4</v>
      </c>
      <c r="E15" s="8">
        <f>handsmoothed!E15</f>
        <v>4</v>
      </c>
      <c r="F15" s="8">
        <f>handsmoothed!F15</f>
        <v>4</v>
      </c>
      <c r="G15" s="8">
        <f>handsmoothed!G15</f>
        <v>4</v>
      </c>
      <c r="H15" s="8">
        <f>handsmoothed!H15</f>
        <v>4</v>
      </c>
      <c r="I15" s="8">
        <f>handsmoothed!I15</f>
        <v>5</v>
      </c>
      <c r="J15" s="8">
        <f>handsmoothed!J15</f>
        <v>5</v>
      </c>
      <c r="K15" s="8">
        <f>handsmoothed!K15</f>
        <v>5</v>
      </c>
      <c r="L15" s="8">
        <f>handsmoothed!L15</f>
        <v>6</v>
      </c>
      <c r="M15" s="8">
        <f>handsmoothed!M15</f>
        <v>6</v>
      </c>
      <c r="N15" s="8">
        <f>handsmoothed!N15</f>
        <v>7</v>
      </c>
    </row>
    <row r="16" spans="1:14" x14ac:dyDescent="0.25">
      <c r="A16" s="8">
        <f>handsmoothed!A16</f>
        <v>14</v>
      </c>
      <c r="B16" s="8">
        <f>handsmoothed!B16</f>
        <v>4</v>
      </c>
      <c r="C16" s="8">
        <f>handsmoothed!C16</f>
        <v>4</v>
      </c>
      <c r="D16" s="8">
        <f>handsmoothed!D16</f>
        <v>4</v>
      </c>
      <c r="E16" s="8">
        <f>handsmoothed!E16</f>
        <v>4</v>
      </c>
      <c r="F16" s="8">
        <f>handsmoothed!F16</f>
        <v>4</v>
      </c>
      <c r="G16" s="8">
        <f>handsmoothed!G16</f>
        <v>5</v>
      </c>
      <c r="H16" s="8">
        <f>handsmoothed!H16</f>
        <v>5</v>
      </c>
      <c r="I16" s="8">
        <f>handsmoothed!I16</f>
        <v>5</v>
      </c>
      <c r="J16" s="8">
        <f>handsmoothed!J16</f>
        <v>5</v>
      </c>
      <c r="K16" s="8">
        <f>handsmoothed!K16</f>
        <v>6</v>
      </c>
      <c r="L16" s="8">
        <f>handsmoothed!L16</f>
        <v>6</v>
      </c>
      <c r="M16" s="8">
        <f>handsmoothed!M16</f>
        <v>7</v>
      </c>
      <c r="N16" s="8">
        <f>handsmoothed!N16</f>
        <v>8</v>
      </c>
    </row>
    <row r="17" spans="1:14" x14ac:dyDescent="0.25">
      <c r="A17" s="8">
        <f>handsmoothed!A17</f>
        <v>15</v>
      </c>
      <c r="B17" s="8">
        <f>handsmoothed!B17</f>
        <v>5</v>
      </c>
      <c r="C17" s="8">
        <f>handsmoothed!C17</f>
        <v>5</v>
      </c>
      <c r="D17" s="8">
        <f>handsmoothed!D17</f>
        <v>5</v>
      </c>
      <c r="E17" s="8">
        <f>handsmoothed!E17</f>
        <v>5</v>
      </c>
      <c r="F17" s="8">
        <f>handsmoothed!F17</f>
        <v>5</v>
      </c>
      <c r="G17" s="8">
        <f>handsmoothed!G17</f>
        <v>5</v>
      </c>
      <c r="H17" s="8">
        <f>handsmoothed!H17</f>
        <v>5</v>
      </c>
      <c r="I17" s="8">
        <f>handsmoothed!I17</f>
        <v>5</v>
      </c>
      <c r="J17" s="8">
        <f>handsmoothed!J17</f>
        <v>6</v>
      </c>
      <c r="K17" s="8">
        <f>handsmoothed!K17</f>
        <v>6</v>
      </c>
      <c r="L17" s="8">
        <f>handsmoothed!L17</f>
        <v>6</v>
      </c>
      <c r="M17" s="8">
        <f>handsmoothed!M17</f>
        <v>7</v>
      </c>
      <c r="N17" s="8">
        <f>handsmoothed!N17</f>
        <v>8</v>
      </c>
    </row>
    <row r="18" spans="1:14" x14ac:dyDescent="0.25">
      <c r="A18" s="8">
        <f>handsmoothed!A18</f>
        <v>16</v>
      </c>
      <c r="B18" s="8">
        <f>handsmoothed!B18</f>
        <v>5</v>
      </c>
      <c r="C18" s="8">
        <f>handsmoothed!C18</f>
        <v>5</v>
      </c>
      <c r="D18" s="8">
        <f>handsmoothed!D18</f>
        <v>5</v>
      </c>
      <c r="E18" s="8">
        <f>handsmoothed!E18</f>
        <v>5</v>
      </c>
      <c r="F18" s="8">
        <f>handsmoothed!F18</f>
        <v>5</v>
      </c>
      <c r="G18" s="8">
        <f>handsmoothed!G18</f>
        <v>5</v>
      </c>
      <c r="H18" s="8">
        <f>handsmoothed!H18</f>
        <v>5</v>
      </c>
      <c r="I18" s="8">
        <f>handsmoothed!I18</f>
        <v>6</v>
      </c>
      <c r="J18" s="8">
        <f>handsmoothed!J18</f>
        <v>6</v>
      </c>
      <c r="K18" s="8">
        <f>handsmoothed!K18</f>
        <v>6</v>
      </c>
      <c r="L18" s="8">
        <f>handsmoothed!L18</f>
        <v>7</v>
      </c>
      <c r="M18" s="8">
        <f>handsmoothed!M18</f>
        <v>7</v>
      </c>
      <c r="N18" s="8">
        <f>handsmoothed!N18</f>
        <v>8</v>
      </c>
    </row>
    <row r="19" spans="1:14" x14ac:dyDescent="0.25">
      <c r="A19" s="8">
        <f>handsmoothed!A19</f>
        <v>17</v>
      </c>
      <c r="B19" s="8">
        <f>handsmoothed!B19</f>
        <v>5</v>
      </c>
      <c r="C19" s="8">
        <f>handsmoothed!C19</f>
        <v>5</v>
      </c>
      <c r="D19" s="8">
        <f>handsmoothed!D19</f>
        <v>5</v>
      </c>
      <c r="E19" s="8">
        <f>handsmoothed!E19</f>
        <v>5</v>
      </c>
      <c r="F19" s="8">
        <f>handsmoothed!F19</f>
        <v>5</v>
      </c>
      <c r="G19" s="8">
        <f>handsmoothed!G19</f>
        <v>5</v>
      </c>
      <c r="H19" s="8">
        <f>handsmoothed!H19</f>
        <v>5</v>
      </c>
      <c r="I19" s="8">
        <f>handsmoothed!I19</f>
        <v>6</v>
      </c>
      <c r="J19" s="8">
        <f>handsmoothed!J19</f>
        <v>6</v>
      </c>
      <c r="K19" s="8">
        <f>handsmoothed!K19</f>
        <v>7</v>
      </c>
      <c r="L19" s="8">
        <f>handsmoothed!L19</f>
        <v>7</v>
      </c>
      <c r="M19" s="8">
        <f>handsmoothed!M19</f>
        <v>8</v>
      </c>
      <c r="N19" s="8">
        <f>handsmoothed!N19</f>
        <v>9</v>
      </c>
    </row>
    <row r="20" spans="1:14" x14ac:dyDescent="0.25">
      <c r="A20" s="8">
        <f>handsmoothed!A20</f>
        <v>18</v>
      </c>
      <c r="B20" s="8">
        <f>handsmoothed!B20</f>
        <v>5</v>
      </c>
      <c r="C20" s="8">
        <f>handsmoothed!C20</f>
        <v>5</v>
      </c>
      <c r="D20" s="8">
        <f>handsmoothed!D20</f>
        <v>5</v>
      </c>
      <c r="E20" s="8">
        <f>handsmoothed!E20</f>
        <v>5</v>
      </c>
      <c r="F20" s="8">
        <f>handsmoothed!F20</f>
        <v>5</v>
      </c>
      <c r="G20" s="8">
        <f>handsmoothed!G20</f>
        <v>6</v>
      </c>
      <c r="H20" s="8">
        <f>handsmoothed!H20</f>
        <v>6</v>
      </c>
      <c r="I20" s="8">
        <f>handsmoothed!I20</f>
        <v>6</v>
      </c>
      <c r="J20" s="8">
        <f>handsmoothed!J20</f>
        <v>7</v>
      </c>
      <c r="K20" s="8">
        <f>handsmoothed!K20</f>
        <v>7</v>
      </c>
      <c r="L20" s="8">
        <f>handsmoothed!L20</f>
        <v>7</v>
      </c>
      <c r="M20" s="8">
        <f>handsmoothed!M20</f>
        <v>8</v>
      </c>
      <c r="N20" s="8">
        <f>handsmoothed!N20</f>
        <v>9</v>
      </c>
    </row>
    <row r="21" spans="1:14" x14ac:dyDescent="0.25">
      <c r="A21" s="8">
        <f>handsmoothed!A21</f>
        <v>19</v>
      </c>
      <c r="B21" s="8">
        <f>handsmoothed!B21</f>
        <v>6</v>
      </c>
      <c r="C21" s="8">
        <f>handsmoothed!C21</f>
        <v>6</v>
      </c>
      <c r="D21" s="8">
        <f>handsmoothed!D21</f>
        <v>6</v>
      </c>
      <c r="E21" s="8">
        <f>handsmoothed!E21</f>
        <v>6</v>
      </c>
      <c r="F21" s="8">
        <f>handsmoothed!F21</f>
        <v>6</v>
      </c>
      <c r="G21" s="8">
        <f>handsmoothed!G21</f>
        <v>6</v>
      </c>
      <c r="H21" s="8">
        <f>handsmoothed!H21</f>
        <v>6</v>
      </c>
      <c r="I21" s="8">
        <f>handsmoothed!I21</f>
        <v>7</v>
      </c>
      <c r="J21" s="8">
        <f>handsmoothed!J21</f>
        <v>7</v>
      </c>
      <c r="K21" s="8">
        <f>handsmoothed!K21</f>
        <v>7</v>
      </c>
      <c r="L21" s="8">
        <f>handsmoothed!L21</f>
        <v>8</v>
      </c>
      <c r="M21" s="8">
        <f>handsmoothed!M21</f>
        <v>9</v>
      </c>
      <c r="N21" s="8">
        <f>handsmoothed!N21</f>
        <v>10</v>
      </c>
    </row>
    <row r="22" spans="1:14" x14ac:dyDescent="0.25">
      <c r="A22" s="8">
        <f>handsmoothed!A22</f>
        <v>20</v>
      </c>
      <c r="B22" s="8">
        <f>handsmoothed!B22</f>
        <v>6</v>
      </c>
      <c r="C22" s="8">
        <f>handsmoothed!C22</f>
        <v>6</v>
      </c>
      <c r="D22" s="8">
        <f>handsmoothed!D22</f>
        <v>6</v>
      </c>
      <c r="E22" s="8">
        <f>handsmoothed!E22</f>
        <v>6</v>
      </c>
      <c r="F22" s="8">
        <f>handsmoothed!F22</f>
        <v>6</v>
      </c>
      <c r="G22" s="8">
        <f>handsmoothed!G22</f>
        <v>6</v>
      </c>
      <c r="H22" s="8">
        <f>handsmoothed!H22</f>
        <v>6</v>
      </c>
      <c r="I22" s="8">
        <f>handsmoothed!I22</f>
        <v>7</v>
      </c>
      <c r="J22" s="8">
        <f>handsmoothed!J22</f>
        <v>7</v>
      </c>
      <c r="K22" s="8">
        <f>handsmoothed!K22</f>
        <v>8</v>
      </c>
      <c r="L22" s="8">
        <f>handsmoothed!L22</f>
        <v>8</v>
      </c>
      <c r="M22" s="8">
        <f>handsmoothed!M22</f>
        <v>9</v>
      </c>
      <c r="N22" s="8">
        <f>handsmoothed!N22</f>
        <v>10</v>
      </c>
    </row>
    <row r="23" spans="1:14" x14ac:dyDescent="0.25">
      <c r="A23" s="8">
        <f>handsmoothed!A23</f>
        <v>21</v>
      </c>
      <c r="B23" s="8">
        <f>handsmoothed!B23</f>
        <v>6</v>
      </c>
      <c r="C23" s="8">
        <f>handsmoothed!C23</f>
        <v>6</v>
      </c>
      <c r="D23" s="8">
        <f>handsmoothed!D23</f>
        <v>6</v>
      </c>
      <c r="E23" s="8">
        <f>handsmoothed!E23</f>
        <v>6</v>
      </c>
      <c r="F23" s="8">
        <f>handsmoothed!F23</f>
        <v>6</v>
      </c>
      <c r="G23" s="8">
        <f>handsmoothed!G23</f>
        <v>6</v>
      </c>
      <c r="H23" s="8">
        <f>handsmoothed!H23</f>
        <v>7</v>
      </c>
      <c r="I23" s="8">
        <f>handsmoothed!I23</f>
        <v>7</v>
      </c>
      <c r="J23" s="8">
        <f>handsmoothed!J23</f>
        <v>8</v>
      </c>
      <c r="K23" s="8">
        <f>handsmoothed!K23</f>
        <v>8</v>
      </c>
      <c r="L23" s="8">
        <f>handsmoothed!L23</f>
        <v>9</v>
      </c>
      <c r="M23" s="8">
        <f>handsmoothed!M23</f>
        <v>10</v>
      </c>
      <c r="N23" s="8">
        <f>handsmoothed!N23</f>
        <v>11</v>
      </c>
    </row>
    <row r="24" spans="1:14" x14ac:dyDescent="0.25">
      <c r="A24" s="8">
        <f>handsmoothed!A24</f>
        <v>22</v>
      </c>
      <c r="B24" s="8">
        <f>handsmoothed!B24</f>
        <v>6</v>
      </c>
      <c r="C24" s="8">
        <f>handsmoothed!C24</f>
        <v>6</v>
      </c>
      <c r="D24" s="8">
        <f>handsmoothed!D24</f>
        <v>6</v>
      </c>
      <c r="E24" s="8">
        <f>handsmoothed!E24</f>
        <v>6</v>
      </c>
      <c r="F24" s="8">
        <f>handsmoothed!F24</f>
        <v>6</v>
      </c>
      <c r="G24" s="8">
        <f>handsmoothed!G24</f>
        <v>7</v>
      </c>
      <c r="H24" s="8">
        <f>handsmoothed!H24</f>
        <v>7</v>
      </c>
      <c r="I24" s="8">
        <f>handsmoothed!I24</f>
        <v>7</v>
      </c>
      <c r="J24" s="8">
        <f>handsmoothed!J24</f>
        <v>8</v>
      </c>
      <c r="K24" s="8">
        <f>handsmoothed!K24</f>
        <v>9</v>
      </c>
      <c r="L24" s="8">
        <f>handsmoothed!L24</f>
        <v>9</v>
      </c>
      <c r="M24" s="8">
        <f>handsmoothed!M24</f>
        <v>10</v>
      </c>
      <c r="N24" s="8">
        <f>handsmoothed!N24</f>
        <v>11</v>
      </c>
    </row>
    <row r="25" spans="1:14" x14ac:dyDescent="0.25">
      <c r="A25" s="8">
        <f>handsmoothed!A25</f>
        <v>23</v>
      </c>
      <c r="B25" s="8">
        <f>handsmoothed!B25</f>
        <v>6</v>
      </c>
      <c r="C25" s="8">
        <f>handsmoothed!C25</f>
        <v>6</v>
      </c>
      <c r="D25" s="8">
        <f>handsmoothed!D25</f>
        <v>6</v>
      </c>
      <c r="E25" s="8">
        <f>handsmoothed!E25</f>
        <v>6</v>
      </c>
      <c r="F25" s="8">
        <f>handsmoothed!F25</f>
        <v>7</v>
      </c>
      <c r="G25" s="8">
        <f>handsmoothed!G25</f>
        <v>7</v>
      </c>
      <c r="H25" s="8">
        <f>handsmoothed!H25</f>
        <v>7</v>
      </c>
      <c r="I25" s="8">
        <f>handsmoothed!I25</f>
        <v>8</v>
      </c>
      <c r="J25" s="8">
        <f>handsmoothed!J25</f>
        <v>8</v>
      </c>
      <c r="K25" s="8">
        <f>handsmoothed!K25</f>
        <v>9</v>
      </c>
      <c r="L25" s="8">
        <f>handsmoothed!L25</f>
        <v>10</v>
      </c>
      <c r="M25" s="8">
        <f>handsmoothed!M25</f>
        <v>10</v>
      </c>
      <c r="N25" s="8">
        <f>handsmoothed!N25</f>
        <v>11</v>
      </c>
    </row>
    <row r="26" spans="1:14" x14ac:dyDescent="0.25">
      <c r="A26" s="8">
        <f>handsmoothed!A26</f>
        <v>24</v>
      </c>
      <c r="B26" s="8">
        <f>handsmoothed!B26</f>
        <v>7</v>
      </c>
      <c r="C26" s="8">
        <f>handsmoothed!C26</f>
        <v>7</v>
      </c>
      <c r="D26" s="8">
        <f>handsmoothed!D26</f>
        <v>7</v>
      </c>
      <c r="E26" s="8">
        <f>handsmoothed!E26</f>
        <v>7</v>
      </c>
      <c r="F26" s="8">
        <f>handsmoothed!F26</f>
        <v>7</v>
      </c>
      <c r="G26" s="8">
        <f>handsmoothed!G26</f>
        <v>7</v>
      </c>
      <c r="H26" s="8">
        <f>handsmoothed!H26</f>
        <v>7</v>
      </c>
      <c r="I26" s="8">
        <f>handsmoothed!I26</f>
        <v>8</v>
      </c>
      <c r="J26" s="8">
        <f>handsmoothed!J26</f>
        <v>9</v>
      </c>
      <c r="K26" s="8">
        <f>handsmoothed!K26</f>
        <v>9</v>
      </c>
      <c r="L26" s="8">
        <f>handsmoothed!L26</f>
        <v>10</v>
      </c>
      <c r="M26" s="8">
        <f>handsmoothed!M26</f>
        <v>11</v>
      </c>
      <c r="N26" s="8">
        <f>handsmoothed!N26</f>
        <v>12</v>
      </c>
    </row>
    <row r="27" spans="1:14" x14ac:dyDescent="0.25">
      <c r="A27" s="8">
        <f>handsmoothed!A27</f>
        <v>25</v>
      </c>
      <c r="B27" s="8">
        <f>handsmoothed!B27</f>
        <v>7</v>
      </c>
      <c r="C27" s="8">
        <f>handsmoothed!C27</f>
        <v>7</v>
      </c>
      <c r="D27" s="8">
        <f>handsmoothed!D27</f>
        <v>7</v>
      </c>
      <c r="E27" s="8">
        <f>handsmoothed!E27</f>
        <v>7</v>
      </c>
      <c r="F27" s="8">
        <f>handsmoothed!F27</f>
        <v>7</v>
      </c>
      <c r="G27" s="8">
        <f>handsmoothed!G27</f>
        <v>7</v>
      </c>
      <c r="H27" s="8">
        <f>handsmoothed!H27</f>
        <v>8</v>
      </c>
      <c r="I27" s="8">
        <f>handsmoothed!I27</f>
        <v>8</v>
      </c>
      <c r="J27" s="8">
        <f>handsmoothed!J27</f>
        <v>9</v>
      </c>
      <c r="K27" s="8">
        <f>handsmoothed!K27</f>
        <v>10</v>
      </c>
      <c r="L27" s="8">
        <f>handsmoothed!L27</f>
        <v>10</v>
      </c>
      <c r="M27" s="8">
        <f>handsmoothed!M27</f>
        <v>11</v>
      </c>
      <c r="N27" s="8">
        <f>handsmoothed!N27</f>
        <v>12</v>
      </c>
    </row>
    <row r="28" spans="1:14" x14ac:dyDescent="0.25">
      <c r="A28" s="8">
        <f>handsmoothed!A28</f>
        <v>26</v>
      </c>
      <c r="B28" s="8">
        <f>handsmoothed!B28</f>
        <v>7</v>
      </c>
      <c r="C28" s="8">
        <f>handsmoothed!C28</f>
        <v>7</v>
      </c>
      <c r="D28" s="8">
        <f>handsmoothed!D28</f>
        <v>7</v>
      </c>
      <c r="E28" s="8">
        <f>handsmoothed!E28</f>
        <v>7</v>
      </c>
      <c r="F28" s="8">
        <f>handsmoothed!F28</f>
        <v>7</v>
      </c>
      <c r="G28" s="8">
        <f>handsmoothed!G28</f>
        <v>8</v>
      </c>
      <c r="H28" s="8">
        <f>handsmoothed!H28</f>
        <v>8</v>
      </c>
      <c r="I28" s="8">
        <f>handsmoothed!I28</f>
        <v>9</v>
      </c>
      <c r="J28" s="8">
        <f>handsmoothed!J28</f>
        <v>9</v>
      </c>
      <c r="K28" s="8">
        <f>handsmoothed!K28</f>
        <v>10</v>
      </c>
      <c r="L28" s="8">
        <f>handsmoothed!L28</f>
        <v>11</v>
      </c>
      <c r="M28" s="8">
        <f>handsmoothed!M28</f>
        <v>11</v>
      </c>
      <c r="N28" s="8">
        <f>handsmoothed!N28</f>
        <v>12</v>
      </c>
    </row>
    <row r="29" spans="1:14" x14ac:dyDescent="0.25">
      <c r="A29" s="8">
        <f>handsmoothed!A29</f>
        <v>27</v>
      </c>
      <c r="B29" s="8">
        <f>handsmoothed!B29</f>
        <v>7</v>
      </c>
      <c r="C29" s="8">
        <f>handsmoothed!C29</f>
        <v>7</v>
      </c>
      <c r="D29" s="8">
        <f>handsmoothed!D29</f>
        <v>7</v>
      </c>
      <c r="E29" s="8">
        <f>handsmoothed!E29</f>
        <v>7</v>
      </c>
      <c r="F29" s="8">
        <f>handsmoothed!F29</f>
        <v>7</v>
      </c>
      <c r="G29" s="8">
        <f>handsmoothed!G29</f>
        <v>8</v>
      </c>
      <c r="H29" s="8">
        <f>handsmoothed!H29</f>
        <v>8</v>
      </c>
      <c r="I29" s="8">
        <f>handsmoothed!I29</f>
        <v>9</v>
      </c>
      <c r="J29" s="8">
        <f>handsmoothed!J29</f>
        <v>10</v>
      </c>
      <c r="K29" s="8">
        <f>handsmoothed!K29</f>
        <v>10</v>
      </c>
      <c r="L29" s="8">
        <f>handsmoothed!L29</f>
        <v>11</v>
      </c>
      <c r="M29" s="8">
        <f>handsmoothed!M29</f>
        <v>12</v>
      </c>
      <c r="N29" s="8">
        <f>handsmoothed!N29</f>
        <v>13</v>
      </c>
    </row>
    <row r="30" spans="1:14" x14ac:dyDescent="0.25">
      <c r="A30" s="8">
        <f>handsmoothed!A30</f>
        <v>28</v>
      </c>
      <c r="B30" s="8">
        <f>handsmoothed!B30</f>
        <v>7</v>
      </c>
      <c r="C30" s="8">
        <f>handsmoothed!C30</f>
        <v>7</v>
      </c>
      <c r="D30" s="8">
        <f>handsmoothed!D30</f>
        <v>7</v>
      </c>
      <c r="E30" s="8">
        <f>handsmoothed!E30</f>
        <v>8</v>
      </c>
      <c r="F30" s="8">
        <f>handsmoothed!F30</f>
        <v>8</v>
      </c>
      <c r="G30" s="8">
        <f>handsmoothed!G30</f>
        <v>8</v>
      </c>
      <c r="H30" s="8">
        <f>handsmoothed!H30</f>
        <v>8</v>
      </c>
      <c r="I30" s="8">
        <f>handsmoothed!I30</f>
        <v>9</v>
      </c>
      <c r="J30" s="8">
        <f>handsmoothed!J30</f>
        <v>10</v>
      </c>
      <c r="K30" s="8">
        <f>handsmoothed!K30</f>
        <v>10</v>
      </c>
      <c r="L30" s="8">
        <f>handsmoothed!L30</f>
        <v>11</v>
      </c>
      <c r="M30" s="8">
        <f>handsmoothed!M30</f>
        <v>12</v>
      </c>
      <c r="N30" s="8">
        <f>handsmoothed!N30</f>
        <v>13</v>
      </c>
    </row>
    <row r="31" spans="1:14" x14ac:dyDescent="0.25">
      <c r="A31" s="8">
        <f>handsmoothed!A31</f>
        <v>29</v>
      </c>
      <c r="B31" s="8">
        <f>handsmoothed!B31</f>
        <v>8</v>
      </c>
      <c r="C31" s="8">
        <f>handsmoothed!C31</f>
        <v>8</v>
      </c>
      <c r="D31" s="8">
        <f>handsmoothed!D31</f>
        <v>8</v>
      </c>
      <c r="E31" s="8">
        <f>handsmoothed!E31</f>
        <v>8</v>
      </c>
      <c r="F31" s="8">
        <f>handsmoothed!F31</f>
        <v>8</v>
      </c>
      <c r="G31" s="8">
        <f>handsmoothed!G31</f>
        <v>8</v>
      </c>
      <c r="H31" s="8">
        <f>handsmoothed!H31</f>
        <v>9</v>
      </c>
      <c r="I31" s="8">
        <f>handsmoothed!I31</f>
        <v>9</v>
      </c>
      <c r="J31" s="8">
        <f>handsmoothed!J31</f>
        <v>10</v>
      </c>
      <c r="K31" s="8">
        <f>handsmoothed!K31</f>
        <v>11</v>
      </c>
      <c r="L31" s="8">
        <f>handsmoothed!L31</f>
        <v>11</v>
      </c>
      <c r="M31" s="8">
        <f>handsmoothed!M31</f>
        <v>12</v>
      </c>
      <c r="N31" s="8">
        <f>handsmoothed!N31</f>
        <v>13</v>
      </c>
    </row>
    <row r="32" spans="1:14" x14ac:dyDescent="0.25">
      <c r="A32" s="8">
        <f>handsmoothed!A32</f>
        <v>30</v>
      </c>
      <c r="B32" s="8">
        <f>handsmoothed!B32</f>
        <v>8</v>
      </c>
      <c r="C32" s="8">
        <f>handsmoothed!C32</f>
        <v>8</v>
      </c>
      <c r="D32" s="8">
        <f>handsmoothed!D32</f>
        <v>8</v>
      </c>
      <c r="E32" s="8">
        <f>handsmoothed!E32</f>
        <v>8</v>
      </c>
      <c r="F32" s="8">
        <f>handsmoothed!F32</f>
        <v>8</v>
      </c>
      <c r="G32" s="8">
        <f>handsmoothed!G32</f>
        <v>9</v>
      </c>
      <c r="H32" s="8">
        <f>handsmoothed!H32</f>
        <v>9</v>
      </c>
      <c r="I32" s="8">
        <f>handsmoothed!I32</f>
        <v>10</v>
      </c>
      <c r="J32" s="8">
        <f>handsmoothed!J32</f>
        <v>10</v>
      </c>
      <c r="K32" s="8">
        <f>handsmoothed!K32</f>
        <v>11</v>
      </c>
      <c r="L32" s="8">
        <f>handsmoothed!L32</f>
        <v>12</v>
      </c>
      <c r="M32" s="8">
        <f>handsmoothed!M32</f>
        <v>13</v>
      </c>
      <c r="N32" s="8">
        <f>handsmoothed!N32</f>
        <v>14</v>
      </c>
    </row>
    <row r="33" spans="1:14" x14ac:dyDescent="0.25">
      <c r="A33" s="8">
        <f>handsmoothed!A33</f>
        <v>31</v>
      </c>
      <c r="B33" s="8">
        <f>handsmoothed!B33</f>
        <v>8</v>
      </c>
      <c r="C33" s="8">
        <f>handsmoothed!C33</f>
        <v>8</v>
      </c>
      <c r="D33" s="8">
        <f>handsmoothed!D33</f>
        <v>8</v>
      </c>
      <c r="E33" s="8">
        <f>handsmoothed!E33</f>
        <v>8</v>
      </c>
      <c r="F33" s="8">
        <f>handsmoothed!F33</f>
        <v>8</v>
      </c>
      <c r="G33" s="8">
        <f>handsmoothed!G33</f>
        <v>9</v>
      </c>
      <c r="H33" s="8">
        <f>handsmoothed!H33</f>
        <v>9</v>
      </c>
      <c r="I33" s="8">
        <f>handsmoothed!I33</f>
        <v>10</v>
      </c>
      <c r="J33" s="8">
        <f>handsmoothed!J33</f>
        <v>11</v>
      </c>
      <c r="K33" s="8">
        <f>handsmoothed!K33</f>
        <v>11</v>
      </c>
      <c r="L33" s="8">
        <f>handsmoothed!L33</f>
        <v>12</v>
      </c>
      <c r="M33" s="8">
        <f>handsmoothed!M33</f>
        <v>13</v>
      </c>
      <c r="N33" s="8">
        <f>handsmoothed!N33</f>
        <v>14</v>
      </c>
    </row>
    <row r="34" spans="1:14" x14ac:dyDescent="0.25">
      <c r="A34" s="8">
        <f>handsmoothed!A34</f>
        <v>32</v>
      </c>
      <c r="B34" s="8">
        <f>handsmoothed!B34</f>
        <v>8</v>
      </c>
      <c r="C34" s="8">
        <f>handsmoothed!C34</f>
        <v>8</v>
      </c>
      <c r="D34" s="8">
        <f>handsmoothed!D34</f>
        <v>8</v>
      </c>
      <c r="E34" s="8">
        <f>handsmoothed!E34</f>
        <v>9</v>
      </c>
      <c r="F34" s="8">
        <f>handsmoothed!F34</f>
        <v>9</v>
      </c>
      <c r="G34" s="8">
        <f>handsmoothed!G34</f>
        <v>9</v>
      </c>
      <c r="H34" s="8">
        <f>handsmoothed!H34</f>
        <v>10</v>
      </c>
      <c r="I34" s="8">
        <f>handsmoothed!I34</f>
        <v>10</v>
      </c>
      <c r="J34" s="8">
        <f>handsmoothed!J34</f>
        <v>11</v>
      </c>
      <c r="K34" s="8">
        <f>handsmoothed!K34</f>
        <v>12</v>
      </c>
      <c r="L34" s="8">
        <f>handsmoothed!L34</f>
        <v>12</v>
      </c>
      <c r="M34" s="8">
        <f>handsmoothed!M34</f>
        <v>13</v>
      </c>
      <c r="N34" s="8">
        <f>handsmoothed!N34</f>
        <v>14</v>
      </c>
    </row>
    <row r="35" spans="1:14" x14ac:dyDescent="0.25">
      <c r="A35" s="8">
        <f>handsmoothed!A35</f>
        <v>33</v>
      </c>
      <c r="B35" s="8">
        <f>handsmoothed!B35</f>
        <v>9</v>
      </c>
      <c r="C35" s="8">
        <f>handsmoothed!C35</f>
        <v>9</v>
      </c>
      <c r="D35" s="8">
        <f>handsmoothed!D35</f>
        <v>9</v>
      </c>
      <c r="E35" s="8">
        <f>handsmoothed!E35</f>
        <v>9</v>
      </c>
      <c r="F35" s="8">
        <f>handsmoothed!F35</f>
        <v>9</v>
      </c>
      <c r="G35" s="8">
        <f>handsmoothed!G35</f>
        <v>9</v>
      </c>
      <c r="H35" s="8">
        <f>handsmoothed!H35</f>
        <v>10</v>
      </c>
      <c r="I35" s="8">
        <f>handsmoothed!I35</f>
        <v>10</v>
      </c>
      <c r="J35" s="8">
        <f>handsmoothed!J35</f>
        <v>11</v>
      </c>
      <c r="K35" s="8">
        <f>handsmoothed!K35</f>
        <v>12</v>
      </c>
      <c r="L35" s="8">
        <f>handsmoothed!L35</f>
        <v>13</v>
      </c>
      <c r="M35" s="8">
        <f>handsmoothed!M35</f>
        <v>14</v>
      </c>
      <c r="N35" s="8">
        <f>handsmoothed!N35</f>
        <v>15</v>
      </c>
    </row>
    <row r="36" spans="1:14" x14ac:dyDescent="0.25">
      <c r="A36" s="8">
        <f>handsmoothed!A36</f>
        <v>34</v>
      </c>
      <c r="B36" s="8">
        <f>handsmoothed!B36</f>
        <v>9</v>
      </c>
      <c r="C36" s="8">
        <f>handsmoothed!C36</f>
        <v>9</v>
      </c>
      <c r="D36" s="8">
        <f>handsmoothed!D36</f>
        <v>9</v>
      </c>
      <c r="E36" s="8">
        <f>handsmoothed!E36</f>
        <v>9</v>
      </c>
      <c r="F36" s="8">
        <f>handsmoothed!F36</f>
        <v>9</v>
      </c>
      <c r="G36" s="8">
        <f>handsmoothed!G36</f>
        <v>10</v>
      </c>
      <c r="H36" s="8">
        <f>handsmoothed!H36</f>
        <v>10</v>
      </c>
      <c r="I36" s="8">
        <f>handsmoothed!I36</f>
        <v>11</v>
      </c>
      <c r="J36" s="8">
        <f>handsmoothed!J36</f>
        <v>12</v>
      </c>
      <c r="K36" s="8">
        <f>handsmoothed!K36</f>
        <v>12</v>
      </c>
      <c r="L36" s="8">
        <f>handsmoothed!L36</f>
        <v>13</v>
      </c>
      <c r="M36" s="8">
        <f>handsmoothed!M36</f>
        <v>14</v>
      </c>
      <c r="N36" s="8">
        <f>handsmoothed!N36</f>
        <v>15</v>
      </c>
    </row>
    <row r="37" spans="1:14" x14ac:dyDescent="0.25">
      <c r="A37" s="8">
        <f>handsmoothed!A37</f>
        <v>35</v>
      </c>
      <c r="B37" s="8">
        <f>handsmoothed!B37</f>
        <v>9</v>
      </c>
      <c r="C37" s="8">
        <f>handsmoothed!C37</f>
        <v>9</v>
      </c>
      <c r="D37" s="8">
        <f>handsmoothed!D37</f>
        <v>9</v>
      </c>
      <c r="E37" s="8">
        <f>handsmoothed!E37</f>
        <v>9</v>
      </c>
      <c r="F37" s="8">
        <f>handsmoothed!F37</f>
        <v>9</v>
      </c>
      <c r="G37" s="8">
        <f>handsmoothed!G37</f>
        <v>10</v>
      </c>
      <c r="H37" s="8">
        <f>handsmoothed!H37</f>
        <v>10</v>
      </c>
      <c r="I37" s="8">
        <f>handsmoothed!I37</f>
        <v>11</v>
      </c>
      <c r="J37" s="8">
        <f>handsmoothed!J37</f>
        <v>12</v>
      </c>
      <c r="K37" s="8">
        <f>handsmoothed!K37</f>
        <v>13</v>
      </c>
      <c r="L37" s="8">
        <f>handsmoothed!L37</f>
        <v>13</v>
      </c>
      <c r="M37" s="8">
        <f>handsmoothed!M37</f>
        <v>14</v>
      </c>
      <c r="N37" s="8">
        <f>handsmoothed!N37</f>
        <v>15</v>
      </c>
    </row>
    <row r="38" spans="1:14" x14ac:dyDescent="0.25">
      <c r="A38" s="8">
        <f>handsmoothed!A38</f>
        <v>36</v>
      </c>
      <c r="B38" s="8">
        <f>handsmoothed!B38</f>
        <v>9</v>
      </c>
      <c r="C38" s="8">
        <f>handsmoothed!C38</f>
        <v>9</v>
      </c>
      <c r="D38" s="8">
        <f>handsmoothed!D38</f>
        <v>9</v>
      </c>
      <c r="E38" s="8">
        <f>handsmoothed!E38</f>
        <v>9</v>
      </c>
      <c r="F38" s="8">
        <f>handsmoothed!F38</f>
        <v>10</v>
      </c>
      <c r="G38" s="8">
        <f>handsmoothed!G38</f>
        <v>10</v>
      </c>
      <c r="H38" s="8">
        <f>handsmoothed!H38</f>
        <v>11</v>
      </c>
      <c r="I38" s="8">
        <f>handsmoothed!I38</f>
        <v>11</v>
      </c>
      <c r="J38" s="8">
        <f>handsmoothed!J38</f>
        <v>12</v>
      </c>
      <c r="K38" s="8">
        <f>handsmoothed!K38</f>
        <v>13</v>
      </c>
      <c r="L38" s="8">
        <f>handsmoothed!L38</f>
        <v>14</v>
      </c>
      <c r="M38" s="8">
        <f>handsmoothed!M38</f>
        <v>15</v>
      </c>
      <c r="N38" s="8">
        <f>handsmoothed!N38</f>
        <v>16</v>
      </c>
    </row>
    <row r="39" spans="1:14" x14ac:dyDescent="0.25">
      <c r="A39" s="8">
        <f>handsmoothed!A39</f>
        <v>37</v>
      </c>
      <c r="B39" s="8">
        <f>handsmoothed!B39</f>
        <v>10</v>
      </c>
      <c r="C39" s="8">
        <f>handsmoothed!C39</f>
        <v>10</v>
      </c>
      <c r="D39" s="8">
        <f>handsmoothed!D39</f>
        <v>10</v>
      </c>
      <c r="E39" s="8">
        <f>handsmoothed!E39</f>
        <v>10</v>
      </c>
      <c r="F39" s="8">
        <f>handsmoothed!F39</f>
        <v>10</v>
      </c>
      <c r="G39" s="8">
        <f>handsmoothed!G39</f>
        <v>10</v>
      </c>
      <c r="H39" s="8">
        <f>handsmoothed!H39</f>
        <v>11</v>
      </c>
      <c r="I39" s="8">
        <f>handsmoothed!I39</f>
        <v>12</v>
      </c>
      <c r="J39" s="8">
        <f>handsmoothed!J39</f>
        <v>12</v>
      </c>
      <c r="K39" s="8">
        <f>handsmoothed!K39</f>
        <v>13</v>
      </c>
      <c r="L39" s="8">
        <f>handsmoothed!L39</f>
        <v>14</v>
      </c>
      <c r="M39" s="8">
        <f>handsmoothed!M39</f>
        <v>15</v>
      </c>
      <c r="N39" s="8">
        <f>handsmoothed!N39</f>
        <v>16</v>
      </c>
    </row>
    <row r="40" spans="1:14" x14ac:dyDescent="0.25">
      <c r="A40" s="8">
        <f>handsmoothed!A40</f>
        <v>38</v>
      </c>
      <c r="B40" s="8">
        <f>handsmoothed!B40</f>
        <v>10</v>
      </c>
      <c r="C40" s="8">
        <f>handsmoothed!C40</f>
        <v>10</v>
      </c>
      <c r="D40" s="8">
        <f>handsmoothed!D40</f>
        <v>10</v>
      </c>
      <c r="E40" s="8">
        <f>handsmoothed!E40</f>
        <v>10</v>
      </c>
      <c r="F40" s="8">
        <f>handsmoothed!F40</f>
        <v>10</v>
      </c>
      <c r="G40" s="8">
        <f>handsmoothed!G40</f>
        <v>11</v>
      </c>
      <c r="H40" s="8">
        <f>handsmoothed!H40</f>
        <v>11</v>
      </c>
      <c r="I40" s="8">
        <f>handsmoothed!I40</f>
        <v>12</v>
      </c>
      <c r="J40" s="8">
        <f>handsmoothed!J40</f>
        <v>13</v>
      </c>
      <c r="K40" s="8">
        <f>handsmoothed!K40</f>
        <v>13</v>
      </c>
      <c r="L40" s="8">
        <f>handsmoothed!L40</f>
        <v>14</v>
      </c>
      <c r="M40" s="8">
        <f>handsmoothed!M40</f>
        <v>15</v>
      </c>
      <c r="N40" s="8">
        <f>handsmoothed!N40</f>
        <v>16</v>
      </c>
    </row>
    <row r="41" spans="1:14" x14ac:dyDescent="0.25">
      <c r="A41" s="8">
        <f>handsmoothed!A41</f>
        <v>39</v>
      </c>
      <c r="B41" s="8">
        <f>handsmoothed!B41</f>
        <v>10</v>
      </c>
      <c r="C41" s="8">
        <f>handsmoothed!C41</f>
        <v>10</v>
      </c>
      <c r="D41" s="8">
        <f>handsmoothed!D41</f>
        <v>10</v>
      </c>
      <c r="E41" s="8">
        <f>handsmoothed!E41</f>
        <v>10</v>
      </c>
      <c r="F41" s="8">
        <f>handsmoothed!F41</f>
        <v>10</v>
      </c>
      <c r="G41" s="8">
        <f>handsmoothed!G41</f>
        <v>11</v>
      </c>
      <c r="H41" s="8">
        <f>handsmoothed!H41</f>
        <v>11</v>
      </c>
      <c r="I41" s="8">
        <f>handsmoothed!I41</f>
        <v>12</v>
      </c>
      <c r="J41" s="8">
        <f>handsmoothed!J41</f>
        <v>13</v>
      </c>
      <c r="K41" s="8">
        <f>handsmoothed!K41</f>
        <v>14</v>
      </c>
      <c r="L41" s="8">
        <f>handsmoothed!L41</f>
        <v>15</v>
      </c>
      <c r="M41" s="8">
        <f>handsmoothed!M41</f>
        <v>15</v>
      </c>
      <c r="N41" s="8">
        <f>handsmoothed!N41</f>
        <v>16</v>
      </c>
    </row>
    <row r="42" spans="1:14" x14ac:dyDescent="0.25">
      <c r="A42" s="8">
        <f>handsmoothed!A42</f>
        <v>40</v>
      </c>
      <c r="B42" s="8">
        <f>handsmoothed!B42</f>
        <v>10</v>
      </c>
      <c r="C42" s="8">
        <f>handsmoothed!C42</f>
        <v>10</v>
      </c>
      <c r="D42" s="8">
        <f>handsmoothed!D42</f>
        <v>10</v>
      </c>
      <c r="E42" s="8">
        <f>handsmoothed!E42</f>
        <v>10</v>
      </c>
      <c r="F42" s="8">
        <f>handsmoothed!F42</f>
        <v>11</v>
      </c>
      <c r="G42" s="8">
        <f>handsmoothed!G42</f>
        <v>11</v>
      </c>
      <c r="H42" s="8">
        <f>handsmoothed!H42</f>
        <v>12</v>
      </c>
      <c r="I42" s="8">
        <f>handsmoothed!I42</f>
        <v>12</v>
      </c>
      <c r="J42" s="8">
        <f>handsmoothed!J42</f>
        <v>13</v>
      </c>
      <c r="K42" s="8">
        <f>handsmoothed!K42</f>
        <v>14</v>
      </c>
      <c r="L42" s="8">
        <f>handsmoothed!L42</f>
        <v>15</v>
      </c>
      <c r="M42" s="8">
        <f>handsmoothed!M42</f>
        <v>16</v>
      </c>
      <c r="N42" s="8">
        <f>handsmoothed!N42</f>
        <v>17</v>
      </c>
    </row>
    <row r="43" spans="1:14" x14ac:dyDescent="0.25">
      <c r="A43" s="8">
        <f>handsmoothed!A43</f>
        <v>41</v>
      </c>
      <c r="B43" s="8">
        <f>handsmoothed!B43</f>
        <v>10</v>
      </c>
      <c r="C43" s="8">
        <f>handsmoothed!C43</f>
        <v>10</v>
      </c>
      <c r="D43" s="8">
        <f>handsmoothed!D43</f>
        <v>11</v>
      </c>
      <c r="E43" s="8">
        <f>handsmoothed!E43</f>
        <v>11</v>
      </c>
      <c r="F43" s="8">
        <f>handsmoothed!F43</f>
        <v>11</v>
      </c>
      <c r="G43" s="8">
        <f>handsmoothed!G43</f>
        <v>11</v>
      </c>
      <c r="H43" s="8">
        <f>handsmoothed!H43</f>
        <v>12</v>
      </c>
      <c r="I43" s="8">
        <f>handsmoothed!I43</f>
        <v>13</v>
      </c>
      <c r="J43" s="8">
        <f>handsmoothed!J43</f>
        <v>14</v>
      </c>
      <c r="K43" s="8">
        <f>handsmoothed!K43</f>
        <v>14</v>
      </c>
      <c r="L43" s="8">
        <f>handsmoothed!L43</f>
        <v>15</v>
      </c>
      <c r="M43" s="8">
        <f>handsmoothed!M43</f>
        <v>16</v>
      </c>
      <c r="N43" s="8">
        <f>handsmoothed!N43</f>
        <v>17</v>
      </c>
    </row>
    <row r="44" spans="1:14" x14ac:dyDescent="0.25">
      <c r="A44" s="8">
        <f>handsmoothed!A44</f>
        <v>42</v>
      </c>
      <c r="B44" s="8">
        <f>handsmoothed!B44</f>
        <v>11</v>
      </c>
      <c r="C44" s="8">
        <f>handsmoothed!C44</f>
        <v>11</v>
      </c>
      <c r="D44" s="8">
        <f>handsmoothed!D44</f>
        <v>11</v>
      </c>
      <c r="E44" s="8">
        <f>handsmoothed!E44</f>
        <v>11</v>
      </c>
      <c r="F44" s="8">
        <f>handsmoothed!F44</f>
        <v>11</v>
      </c>
      <c r="G44" s="8">
        <f>handsmoothed!G44</f>
        <v>12</v>
      </c>
      <c r="H44" s="8">
        <f>handsmoothed!H44</f>
        <v>12</v>
      </c>
      <c r="I44" s="8">
        <f>handsmoothed!I44</f>
        <v>13</v>
      </c>
      <c r="J44" s="8">
        <f>handsmoothed!J44</f>
        <v>14</v>
      </c>
      <c r="K44" s="8">
        <f>handsmoothed!K44</f>
        <v>15</v>
      </c>
      <c r="L44" s="8">
        <f>handsmoothed!L44</f>
        <v>15</v>
      </c>
      <c r="M44" s="8">
        <f>handsmoothed!M44</f>
        <v>16</v>
      </c>
      <c r="N44" s="8">
        <f>handsmoothed!N44</f>
        <v>17</v>
      </c>
    </row>
    <row r="45" spans="1:14" x14ac:dyDescent="0.25">
      <c r="A45" s="8">
        <f>handsmoothed!A45</f>
        <v>43</v>
      </c>
      <c r="B45" s="8">
        <f>handsmoothed!B45</f>
        <v>11</v>
      </c>
      <c r="C45" s="8">
        <f>handsmoothed!C45</f>
        <v>11</v>
      </c>
      <c r="D45" s="8">
        <f>handsmoothed!D45</f>
        <v>11</v>
      </c>
      <c r="E45" s="8">
        <f>handsmoothed!E45</f>
        <v>11</v>
      </c>
      <c r="F45" s="8">
        <f>handsmoothed!F45</f>
        <v>11</v>
      </c>
      <c r="G45" s="8">
        <f>handsmoothed!G45</f>
        <v>12</v>
      </c>
      <c r="H45" s="8">
        <f>handsmoothed!H45</f>
        <v>12</v>
      </c>
      <c r="I45" s="8">
        <f>handsmoothed!I45</f>
        <v>13</v>
      </c>
      <c r="J45" s="8">
        <f>handsmoothed!J45</f>
        <v>14</v>
      </c>
      <c r="K45" s="8">
        <f>handsmoothed!K45</f>
        <v>15</v>
      </c>
      <c r="L45" s="8">
        <f>handsmoothed!L45</f>
        <v>16</v>
      </c>
      <c r="M45" s="8">
        <f>handsmoothed!M45</f>
        <v>17</v>
      </c>
      <c r="N45" s="8">
        <f>handsmoothed!N45</f>
        <v>18</v>
      </c>
    </row>
    <row r="46" spans="1:14" x14ac:dyDescent="0.25">
      <c r="A46" s="8">
        <f>handsmoothed!A46</f>
        <v>44</v>
      </c>
      <c r="B46" s="8">
        <f>handsmoothed!B46</f>
        <v>11</v>
      </c>
      <c r="C46" s="8">
        <f>handsmoothed!C46</f>
        <v>11</v>
      </c>
      <c r="D46" s="8">
        <f>handsmoothed!D46</f>
        <v>11</v>
      </c>
      <c r="E46" s="8">
        <f>handsmoothed!E46</f>
        <v>11</v>
      </c>
      <c r="F46" s="8">
        <f>handsmoothed!F46</f>
        <v>12</v>
      </c>
      <c r="G46" s="8">
        <f>handsmoothed!G46</f>
        <v>12</v>
      </c>
      <c r="H46" s="8">
        <f>handsmoothed!H46</f>
        <v>12</v>
      </c>
      <c r="I46" s="8">
        <f>handsmoothed!I46</f>
        <v>13</v>
      </c>
      <c r="J46" s="8">
        <f>handsmoothed!J46</f>
        <v>14</v>
      </c>
      <c r="K46" s="8">
        <f>handsmoothed!K46</f>
        <v>15</v>
      </c>
      <c r="L46" s="8">
        <f>handsmoothed!L46</f>
        <v>16</v>
      </c>
      <c r="M46" s="8">
        <f>handsmoothed!M46</f>
        <v>17</v>
      </c>
      <c r="N46" s="8">
        <f>handsmoothed!N46</f>
        <v>18</v>
      </c>
    </row>
    <row r="47" spans="1:14" x14ac:dyDescent="0.25">
      <c r="A47" s="8">
        <f>handsmoothed!A47</f>
        <v>45</v>
      </c>
      <c r="B47" s="8">
        <f>handsmoothed!B47</f>
        <v>11</v>
      </c>
      <c r="C47" s="8">
        <f>handsmoothed!C47</f>
        <v>11</v>
      </c>
      <c r="D47" s="8">
        <f>handsmoothed!D47</f>
        <v>12</v>
      </c>
      <c r="E47" s="8">
        <f>handsmoothed!E47</f>
        <v>12</v>
      </c>
      <c r="F47" s="8">
        <f>handsmoothed!F47</f>
        <v>12</v>
      </c>
      <c r="G47" s="8">
        <f>handsmoothed!G47</f>
        <v>12</v>
      </c>
      <c r="H47" s="8">
        <f>handsmoothed!H47</f>
        <v>13</v>
      </c>
      <c r="I47" s="8">
        <f>handsmoothed!I47</f>
        <v>14</v>
      </c>
      <c r="J47" s="8">
        <f>handsmoothed!J47</f>
        <v>15</v>
      </c>
      <c r="K47" s="8">
        <f>handsmoothed!K47</f>
        <v>15</v>
      </c>
      <c r="L47" s="8">
        <f>handsmoothed!L47</f>
        <v>16</v>
      </c>
      <c r="M47" s="8">
        <f>handsmoothed!M47</f>
        <v>17</v>
      </c>
      <c r="N47" s="8">
        <f>handsmoothed!N47</f>
        <v>18</v>
      </c>
    </row>
    <row r="48" spans="1:14" x14ac:dyDescent="0.25">
      <c r="A48" s="8">
        <f>handsmoothed!A48</f>
        <v>46</v>
      </c>
      <c r="B48" s="8">
        <f>handsmoothed!B48</f>
        <v>12</v>
      </c>
      <c r="C48" s="8">
        <f>handsmoothed!C48</f>
        <v>12</v>
      </c>
      <c r="D48" s="8">
        <f>handsmoothed!D48</f>
        <v>12</v>
      </c>
      <c r="E48" s="8">
        <f>handsmoothed!E48</f>
        <v>12</v>
      </c>
      <c r="F48" s="8">
        <f>handsmoothed!F48</f>
        <v>12</v>
      </c>
      <c r="G48" s="8">
        <f>handsmoothed!G48</f>
        <v>13</v>
      </c>
      <c r="H48" s="8">
        <f>handsmoothed!H48</f>
        <v>13</v>
      </c>
      <c r="I48" s="8">
        <f>handsmoothed!I48</f>
        <v>14</v>
      </c>
      <c r="J48" s="8">
        <f>handsmoothed!J48</f>
        <v>15</v>
      </c>
      <c r="K48" s="8">
        <f>handsmoothed!K48</f>
        <v>16</v>
      </c>
      <c r="L48" s="8">
        <f>handsmoothed!L48</f>
        <v>17</v>
      </c>
      <c r="M48" s="8">
        <f>handsmoothed!M48</f>
        <v>18</v>
      </c>
      <c r="N48" s="8">
        <f>handsmoothed!N48</f>
        <v>19</v>
      </c>
    </row>
    <row r="49" spans="1:14" x14ac:dyDescent="0.25">
      <c r="A49" s="8">
        <f>handsmoothed!A49</f>
        <v>47</v>
      </c>
      <c r="B49" s="8">
        <f>handsmoothed!B49</f>
        <v>12</v>
      </c>
      <c r="C49" s="8">
        <f>handsmoothed!C49</f>
        <v>12</v>
      </c>
      <c r="D49" s="8">
        <f>handsmoothed!D49</f>
        <v>12</v>
      </c>
      <c r="E49" s="8">
        <f>handsmoothed!E49</f>
        <v>12</v>
      </c>
      <c r="F49" s="8">
        <f>handsmoothed!F49</f>
        <v>12</v>
      </c>
      <c r="G49" s="8">
        <f>handsmoothed!G49</f>
        <v>13</v>
      </c>
      <c r="H49" s="8">
        <f>handsmoothed!H49</f>
        <v>13</v>
      </c>
      <c r="I49" s="8">
        <f>handsmoothed!I49</f>
        <v>14</v>
      </c>
      <c r="J49" s="8">
        <f>handsmoothed!J49</f>
        <v>15</v>
      </c>
      <c r="K49" s="8">
        <f>handsmoothed!K49</f>
        <v>16</v>
      </c>
      <c r="L49" s="8">
        <f>handsmoothed!L49</f>
        <v>17</v>
      </c>
      <c r="M49" s="8">
        <f>handsmoothed!M49</f>
        <v>18</v>
      </c>
      <c r="N49" s="8">
        <f>handsmoothed!N49</f>
        <v>19</v>
      </c>
    </row>
    <row r="50" spans="1:14" x14ac:dyDescent="0.25">
      <c r="A50" s="8">
        <f>handsmoothed!A50</f>
        <v>48</v>
      </c>
      <c r="B50" s="8">
        <f>handsmoothed!B50</f>
        <v>12</v>
      </c>
      <c r="C50" s="8">
        <f>handsmoothed!C50</f>
        <v>12</v>
      </c>
      <c r="D50" s="8">
        <f>handsmoothed!D50</f>
        <v>12</v>
      </c>
      <c r="E50" s="8">
        <f>handsmoothed!E50</f>
        <v>12</v>
      </c>
      <c r="F50" s="8">
        <f>handsmoothed!F50</f>
        <v>13</v>
      </c>
      <c r="G50" s="8">
        <f>handsmoothed!G50</f>
        <v>13</v>
      </c>
      <c r="H50" s="8">
        <f>handsmoothed!H50</f>
        <v>13</v>
      </c>
      <c r="I50" s="8">
        <f>handsmoothed!I50</f>
        <v>14</v>
      </c>
      <c r="J50" s="8">
        <f>handsmoothed!J50</f>
        <v>15</v>
      </c>
      <c r="K50" s="8">
        <f>handsmoothed!K50</f>
        <v>16</v>
      </c>
      <c r="L50" s="8">
        <f>handsmoothed!L50</f>
        <v>17</v>
      </c>
      <c r="M50" s="8">
        <f>handsmoothed!M50</f>
        <v>18</v>
      </c>
      <c r="N50" s="8">
        <f>handsmoothed!N50</f>
        <v>19</v>
      </c>
    </row>
    <row r="51" spans="1:14" x14ac:dyDescent="0.25">
      <c r="A51" s="8">
        <f>handsmoothed!A51</f>
        <v>49</v>
      </c>
      <c r="B51" s="8">
        <f>handsmoothed!B51</f>
        <v>12</v>
      </c>
      <c r="C51" s="8">
        <f>handsmoothed!C51</f>
        <v>12</v>
      </c>
      <c r="D51" s="8">
        <f>handsmoothed!D51</f>
        <v>12</v>
      </c>
      <c r="E51" s="8">
        <f>handsmoothed!E51</f>
        <v>13</v>
      </c>
      <c r="F51" s="8">
        <f>handsmoothed!F51</f>
        <v>13</v>
      </c>
      <c r="G51" s="8">
        <f>handsmoothed!G51</f>
        <v>13</v>
      </c>
      <c r="H51" s="8">
        <f>handsmoothed!H51</f>
        <v>14</v>
      </c>
      <c r="I51" s="8">
        <f>handsmoothed!I51</f>
        <v>15</v>
      </c>
      <c r="J51" s="8">
        <f>handsmoothed!J51</f>
        <v>16</v>
      </c>
      <c r="K51" s="8">
        <f>handsmoothed!K51</f>
        <v>17</v>
      </c>
      <c r="L51" s="8">
        <f>handsmoothed!L51</f>
        <v>17</v>
      </c>
      <c r="M51" s="8">
        <f>handsmoothed!M51</f>
        <v>18</v>
      </c>
      <c r="N51" s="8">
        <f>handsmoothed!N51</f>
        <v>19</v>
      </c>
    </row>
    <row r="52" spans="1:14" x14ac:dyDescent="0.25">
      <c r="A52" s="8">
        <f>handsmoothed!A52</f>
        <v>50</v>
      </c>
      <c r="B52" s="8">
        <f>handsmoothed!B52</f>
        <v>13</v>
      </c>
      <c r="C52" s="8">
        <f>handsmoothed!C52</f>
        <v>13</v>
      </c>
      <c r="D52" s="8">
        <f>handsmoothed!D52</f>
        <v>13</v>
      </c>
      <c r="E52" s="8">
        <f>handsmoothed!E52</f>
        <v>13</v>
      </c>
      <c r="F52" s="8">
        <f>handsmoothed!F52</f>
        <v>13</v>
      </c>
      <c r="G52" s="8">
        <f>handsmoothed!G52</f>
        <v>14</v>
      </c>
      <c r="H52" s="8">
        <f>handsmoothed!H52</f>
        <v>14</v>
      </c>
      <c r="I52" s="8">
        <f>handsmoothed!I52</f>
        <v>15</v>
      </c>
      <c r="J52" s="8">
        <f>handsmoothed!J52</f>
        <v>16</v>
      </c>
      <c r="K52" s="8">
        <f>handsmoothed!K52</f>
        <v>17</v>
      </c>
      <c r="L52" s="8">
        <f>handsmoothed!L52</f>
        <v>18</v>
      </c>
      <c r="M52" s="8">
        <f>handsmoothed!M52</f>
        <v>19</v>
      </c>
      <c r="N52" s="8">
        <f>handsmoothed!N52</f>
        <v>19</v>
      </c>
    </row>
    <row r="53" spans="1:14" x14ac:dyDescent="0.25">
      <c r="A53" s="8">
        <f>handsmoothed!A53</f>
        <v>51</v>
      </c>
      <c r="B53" s="8">
        <f>handsmoothed!B53</f>
        <v>13</v>
      </c>
      <c r="C53" s="8">
        <f>handsmoothed!C53</f>
        <v>13</v>
      </c>
      <c r="D53" s="8">
        <f>handsmoothed!D53</f>
        <v>13</v>
      </c>
      <c r="E53" s="8">
        <f>handsmoothed!E53</f>
        <v>13</v>
      </c>
      <c r="F53" s="8">
        <f>handsmoothed!F53</f>
        <v>13</v>
      </c>
      <c r="G53" s="8">
        <f>handsmoothed!G53</f>
        <v>14</v>
      </c>
      <c r="H53" s="8">
        <f>handsmoothed!H53</f>
        <v>14</v>
      </c>
      <c r="I53" s="8">
        <f>handsmoothed!I53</f>
        <v>15</v>
      </c>
      <c r="J53" s="8">
        <f>handsmoothed!J53</f>
        <v>16</v>
      </c>
      <c r="K53" s="8">
        <f>handsmoothed!K53</f>
        <v>17</v>
      </c>
      <c r="L53" s="8">
        <f>handsmoothed!L53</f>
        <v>18</v>
      </c>
      <c r="M53" s="8">
        <f>handsmoothed!M53</f>
        <v>19</v>
      </c>
      <c r="N53" s="8">
        <f>handsmoothed!N53</f>
        <v>19</v>
      </c>
    </row>
    <row r="54" spans="1:14" x14ac:dyDescent="0.25">
      <c r="A54" s="8">
        <f>handsmoothed!A54</f>
        <v>52</v>
      </c>
      <c r="B54" s="8">
        <f>handsmoothed!B54</f>
        <v>13</v>
      </c>
      <c r="C54" s="8">
        <f>handsmoothed!C54</f>
        <v>13</v>
      </c>
      <c r="D54" s="8">
        <f>handsmoothed!D54</f>
        <v>13</v>
      </c>
      <c r="E54" s="8">
        <f>handsmoothed!E54</f>
        <v>13</v>
      </c>
      <c r="F54" s="8">
        <f>handsmoothed!F54</f>
        <v>14</v>
      </c>
      <c r="G54" s="8">
        <f>handsmoothed!G54</f>
        <v>14</v>
      </c>
      <c r="H54" s="8">
        <f>handsmoothed!H54</f>
        <v>14</v>
      </c>
      <c r="I54" s="8">
        <f>handsmoothed!I54</f>
        <v>15</v>
      </c>
      <c r="J54" s="8">
        <f>handsmoothed!J54</f>
        <v>16</v>
      </c>
      <c r="K54" s="8">
        <f>handsmoothed!K54</f>
        <v>17</v>
      </c>
      <c r="L54" s="8">
        <f>handsmoothed!L54</f>
        <v>18</v>
      </c>
      <c r="M54" s="8">
        <f>handsmoothed!M54</f>
        <v>19</v>
      </c>
      <c r="N54" s="8">
        <f>handsmoothed!N54</f>
        <v>19</v>
      </c>
    </row>
    <row r="55" spans="1:14" x14ac:dyDescent="0.25">
      <c r="A55" s="8">
        <f>handsmoothed!A55</f>
        <v>53</v>
      </c>
      <c r="B55" s="8">
        <f>handsmoothed!B55</f>
        <v>13</v>
      </c>
      <c r="C55" s="8">
        <f>handsmoothed!C55</f>
        <v>13</v>
      </c>
      <c r="D55" s="8">
        <f>handsmoothed!D55</f>
        <v>13</v>
      </c>
      <c r="E55" s="8">
        <f>handsmoothed!E55</f>
        <v>14</v>
      </c>
      <c r="F55" s="8">
        <f>handsmoothed!F55</f>
        <v>14</v>
      </c>
      <c r="G55" s="8">
        <f>handsmoothed!G55</f>
        <v>14</v>
      </c>
      <c r="H55" s="8">
        <f>handsmoothed!H55</f>
        <v>15</v>
      </c>
      <c r="I55" s="8">
        <f>handsmoothed!I55</f>
        <v>16</v>
      </c>
      <c r="J55" s="8">
        <f>handsmoothed!J55</f>
        <v>17</v>
      </c>
      <c r="K55" s="8">
        <f>handsmoothed!K55</f>
        <v>18</v>
      </c>
      <c r="L55" s="8">
        <f>handsmoothed!L55</f>
        <v>18</v>
      </c>
      <c r="M55" s="8">
        <f>handsmoothed!M55</f>
        <v>19</v>
      </c>
      <c r="N55" s="8">
        <f>handsmoothed!N55</f>
        <v>19</v>
      </c>
    </row>
    <row r="56" spans="1:14" x14ac:dyDescent="0.25">
      <c r="A56" s="8">
        <f>handsmoothed!A56</f>
        <v>54</v>
      </c>
      <c r="B56" s="8">
        <f>handsmoothed!B56</f>
        <v>14</v>
      </c>
      <c r="C56" s="8">
        <f>handsmoothed!C56</f>
        <v>14</v>
      </c>
      <c r="D56" s="8">
        <f>handsmoothed!D56</f>
        <v>14</v>
      </c>
      <c r="E56" s="8">
        <f>handsmoothed!E56</f>
        <v>14</v>
      </c>
      <c r="F56" s="8">
        <f>handsmoothed!F56</f>
        <v>14</v>
      </c>
      <c r="G56" s="8">
        <f>handsmoothed!G56</f>
        <v>15</v>
      </c>
      <c r="H56" s="8">
        <f>handsmoothed!H56</f>
        <v>15</v>
      </c>
      <c r="I56" s="8">
        <f>handsmoothed!I56</f>
        <v>16</v>
      </c>
      <c r="J56" s="8">
        <f>handsmoothed!J56</f>
        <v>17</v>
      </c>
      <c r="K56" s="8">
        <f>handsmoothed!K56</f>
        <v>18</v>
      </c>
      <c r="L56" s="8">
        <f>handsmoothed!L56</f>
        <v>19</v>
      </c>
      <c r="M56" s="8">
        <f>handsmoothed!M56</f>
        <v>19</v>
      </c>
      <c r="N56" s="8">
        <f>handsmoothed!N56</f>
        <v>19</v>
      </c>
    </row>
    <row r="57" spans="1:14" x14ac:dyDescent="0.25">
      <c r="A57" s="8">
        <f>handsmoothed!A57</f>
        <v>55</v>
      </c>
      <c r="B57" s="8">
        <f>handsmoothed!B57</f>
        <v>14</v>
      </c>
      <c r="C57" s="8">
        <f>handsmoothed!C57</f>
        <v>14</v>
      </c>
      <c r="D57" s="8">
        <f>handsmoothed!D57</f>
        <v>14</v>
      </c>
      <c r="E57" s="8">
        <f>handsmoothed!E57</f>
        <v>14</v>
      </c>
      <c r="F57" s="8">
        <f>handsmoothed!F57</f>
        <v>14</v>
      </c>
      <c r="G57" s="8">
        <f>handsmoothed!G57</f>
        <v>15</v>
      </c>
      <c r="H57" s="8">
        <f>handsmoothed!H57</f>
        <v>15</v>
      </c>
      <c r="I57" s="8">
        <f>handsmoothed!I57</f>
        <v>16</v>
      </c>
      <c r="J57" s="8">
        <f>handsmoothed!J57</f>
        <v>17</v>
      </c>
      <c r="K57" s="8">
        <f>handsmoothed!K57</f>
        <v>18</v>
      </c>
      <c r="L57" s="8">
        <f>handsmoothed!L57</f>
        <v>19</v>
      </c>
      <c r="M57" s="8">
        <f>handsmoothed!M57</f>
        <v>19</v>
      </c>
      <c r="N57" s="8">
        <f>handsmoothed!N57</f>
        <v>19</v>
      </c>
    </row>
    <row r="58" spans="1:14" x14ac:dyDescent="0.25">
      <c r="A58" s="8">
        <f>handsmoothed!A58</f>
        <v>56</v>
      </c>
      <c r="B58" s="8">
        <f>handsmoothed!B58</f>
        <v>14</v>
      </c>
      <c r="C58" s="8">
        <f>handsmoothed!C58</f>
        <v>14</v>
      </c>
      <c r="D58" s="8">
        <f>handsmoothed!D58</f>
        <v>14</v>
      </c>
      <c r="E58" s="8">
        <f>handsmoothed!E58</f>
        <v>14</v>
      </c>
      <c r="F58" s="8">
        <f>handsmoothed!F58</f>
        <v>15</v>
      </c>
      <c r="G58" s="8">
        <f>handsmoothed!G58</f>
        <v>15</v>
      </c>
      <c r="H58" s="8">
        <f>handsmoothed!H58</f>
        <v>16</v>
      </c>
      <c r="I58" s="8">
        <f>handsmoothed!I58</f>
        <v>17</v>
      </c>
      <c r="J58" s="8">
        <f>handsmoothed!J58</f>
        <v>18</v>
      </c>
      <c r="K58" s="8">
        <f>handsmoothed!K58</f>
        <v>18</v>
      </c>
      <c r="L58" s="8">
        <f>handsmoothed!L58</f>
        <v>19</v>
      </c>
      <c r="M58" s="8">
        <f>handsmoothed!M58</f>
        <v>19</v>
      </c>
      <c r="N58" s="8">
        <f>handsmoothed!N58</f>
        <v>19</v>
      </c>
    </row>
    <row r="59" spans="1:14" x14ac:dyDescent="0.25">
      <c r="A59" s="8">
        <f>handsmoothed!A59</f>
        <v>57</v>
      </c>
      <c r="B59" s="8">
        <f>handsmoothed!B59</f>
        <v>15</v>
      </c>
      <c r="C59" s="8">
        <f>handsmoothed!C59</f>
        <v>15</v>
      </c>
      <c r="D59" s="8">
        <f>handsmoothed!D59</f>
        <v>15</v>
      </c>
      <c r="E59" s="8">
        <f>handsmoothed!E59</f>
        <v>15</v>
      </c>
      <c r="F59" s="8">
        <f>handsmoothed!F59</f>
        <v>15</v>
      </c>
      <c r="G59" s="8">
        <f>handsmoothed!G59</f>
        <v>15</v>
      </c>
      <c r="H59" s="8">
        <f>handsmoothed!H59</f>
        <v>16</v>
      </c>
      <c r="I59" s="8">
        <f>handsmoothed!I59</f>
        <v>17</v>
      </c>
      <c r="J59" s="8">
        <f>handsmoothed!J59</f>
        <v>18</v>
      </c>
      <c r="K59" s="8">
        <f>handsmoothed!K59</f>
        <v>19</v>
      </c>
      <c r="L59" s="8">
        <f>handsmoothed!L59</f>
        <v>19</v>
      </c>
      <c r="M59" s="8">
        <f>handsmoothed!M59</f>
        <v>19</v>
      </c>
      <c r="N59" s="8">
        <f>handsmoothed!N59</f>
        <v>19</v>
      </c>
    </row>
    <row r="60" spans="1:14" x14ac:dyDescent="0.25">
      <c r="A60" s="8">
        <f>handsmoothed!A60</f>
        <v>58</v>
      </c>
      <c r="B60" s="8">
        <f>handsmoothed!B60</f>
        <v>15</v>
      </c>
      <c r="C60" s="8">
        <f>handsmoothed!C60</f>
        <v>15</v>
      </c>
      <c r="D60" s="8">
        <f>handsmoothed!D60</f>
        <v>15</v>
      </c>
      <c r="E60" s="8">
        <f>handsmoothed!E60</f>
        <v>15</v>
      </c>
      <c r="F60" s="8">
        <f>handsmoothed!F60</f>
        <v>15</v>
      </c>
      <c r="G60" s="8">
        <f>handsmoothed!G60</f>
        <v>16</v>
      </c>
      <c r="H60" s="8">
        <f>handsmoothed!H60</f>
        <v>16</v>
      </c>
      <c r="I60" s="8">
        <f>handsmoothed!I60</f>
        <v>17</v>
      </c>
      <c r="J60" s="8">
        <f>handsmoothed!J60</f>
        <v>18</v>
      </c>
      <c r="K60" s="8">
        <f>handsmoothed!K60</f>
        <v>19</v>
      </c>
      <c r="L60" s="8">
        <f>handsmoothed!L60</f>
        <v>19</v>
      </c>
      <c r="M60" s="8">
        <f>handsmoothed!M60</f>
        <v>19</v>
      </c>
      <c r="N60" s="8">
        <f>handsmoothed!N60</f>
        <v>19</v>
      </c>
    </row>
    <row r="61" spans="1:14" x14ac:dyDescent="0.25">
      <c r="A61" s="8">
        <f>handsmoothed!A61</f>
        <v>59</v>
      </c>
      <c r="B61" s="8">
        <f>handsmoothed!B61</f>
        <v>15</v>
      </c>
      <c r="C61" s="8">
        <f>handsmoothed!C61</f>
        <v>15</v>
      </c>
      <c r="D61" s="8">
        <f>handsmoothed!D61</f>
        <v>15</v>
      </c>
      <c r="E61" s="8">
        <f>handsmoothed!E61</f>
        <v>15</v>
      </c>
      <c r="F61" s="8">
        <f>handsmoothed!F61</f>
        <v>15</v>
      </c>
      <c r="G61" s="8">
        <f>handsmoothed!G61</f>
        <v>16</v>
      </c>
      <c r="H61" s="8">
        <f>handsmoothed!H61</f>
        <v>16</v>
      </c>
      <c r="I61" s="8">
        <f>handsmoothed!I61</f>
        <v>17</v>
      </c>
      <c r="J61" s="8">
        <f>handsmoothed!J61</f>
        <v>18</v>
      </c>
      <c r="K61" s="8">
        <f>handsmoothed!K61</f>
        <v>19</v>
      </c>
      <c r="L61" s="8">
        <f>handsmoothed!L61</f>
        <v>19</v>
      </c>
      <c r="M61" s="8">
        <f>handsmoothed!M61</f>
        <v>19</v>
      </c>
      <c r="N61" s="8">
        <f>handsmoothed!N61</f>
        <v>19</v>
      </c>
    </row>
    <row r="62" spans="1:14" x14ac:dyDescent="0.25">
      <c r="A62" s="8">
        <f>handsmoothed!A62</f>
        <v>60</v>
      </c>
      <c r="B62" s="8">
        <f>handsmoothed!B62</f>
        <v>16</v>
      </c>
      <c r="C62" s="8">
        <f>handsmoothed!C62</f>
        <v>16</v>
      </c>
      <c r="D62" s="8">
        <f>handsmoothed!D62</f>
        <v>16</v>
      </c>
      <c r="E62" s="8">
        <f>handsmoothed!E62</f>
        <v>16</v>
      </c>
      <c r="F62" s="8">
        <f>handsmoothed!F62</f>
        <v>16</v>
      </c>
      <c r="G62" s="8">
        <f>handsmoothed!G62</f>
        <v>16</v>
      </c>
      <c r="H62" s="8">
        <f>handsmoothed!H62</f>
        <v>17</v>
      </c>
      <c r="I62" s="8">
        <f>handsmoothed!I62</f>
        <v>18</v>
      </c>
      <c r="J62" s="8">
        <f>handsmoothed!J62</f>
        <v>19</v>
      </c>
      <c r="K62" s="8">
        <f>handsmoothed!K62</f>
        <v>19</v>
      </c>
      <c r="L62" s="8">
        <f>handsmoothed!L62</f>
        <v>19</v>
      </c>
      <c r="M62" s="8">
        <f>handsmoothed!M62</f>
        <v>19</v>
      </c>
      <c r="N62" s="8">
        <f>handsmoothed!N62</f>
        <v>19</v>
      </c>
    </row>
    <row r="63" spans="1:14" x14ac:dyDescent="0.25">
      <c r="A63" s="8">
        <f>handsmoothed!A63</f>
        <v>61</v>
      </c>
      <c r="B63" s="8">
        <f>handsmoothed!B63</f>
        <v>16</v>
      </c>
      <c r="C63" s="8">
        <f>handsmoothed!C63</f>
        <v>16</v>
      </c>
      <c r="D63" s="8">
        <f>handsmoothed!D63</f>
        <v>16</v>
      </c>
      <c r="E63" s="8">
        <f>handsmoothed!E63</f>
        <v>16</v>
      </c>
      <c r="F63" s="8">
        <f>handsmoothed!F63</f>
        <v>16</v>
      </c>
      <c r="G63" s="8">
        <f>handsmoothed!G63</f>
        <v>17</v>
      </c>
      <c r="H63" s="8">
        <f>handsmoothed!H63</f>
        <v>17</v>
      </c>
      <c r="I63" s="8">
        <f>handsmoothed!I63</f>
        <v>18</v>
      </c>
      <c r="J63" s="8">
        <f>handsmoothed!J63</f>
        <v>19</v>
      </c>
      <c r="K63" s="8">
        <f>handsmoothed!K63</f>
        <v>19</v>
      </c>
      <c r="L63" s="8">
        <f>handsmoothed!L63</f>
        <v>19</v>
      </c>
      <c r="M63" s="8">
        <f>handsmoothed!M63</f>
        <v>19</v>
      </c>
      <c r="N63" s="8">
        <f>handsmoothed!N63</f>
        <v>19</v>
      </c>
    </row>
    <row r="64" spans="1:14" x14ac:dyDescent="0.25">
      <c r="A64" s="8">
        <f>handsmoothed!A64</f>
        <v>62</v>
      </c>
      <c r="B64" s="8">
        <f>handsmoothed!B64</f>
        <v>16</v>
      </c>
      <c r="C64" s="8">
        <f>handsmoothed!C64</f>
        <v>16</v>
      </c>
      <c r="D64" s="8">
        <f>handsmoothed!D64</f>
        <v>16</v>
      </c>
      <c r="E64" s="8">
        <f>handsmoothed!E64</f>
        <v>16</v>
      </c>
      <c r="F64" s="8">
        <f>handsmoothed!F64</f>
        <v>16</v>
      </c>
      <c r="G64" s="8">
        <f>handsmoothed!G64</f>
        <v>17</v>
      </c>
      <c r="H64" s="8">
        <f>handsmoothed!H64</f>
        <v>17</v>
      </c>
      <c r="I64" s="8">
        <f>handsmoothed!I64</f>
        <v>18</v>
      </c>
      <c r="J64" s="8">
        <f>handsmoothed!J64</f>
        <v>19</v>
      </c>
      <c r="K64" s="8">
        <f>handsmoothed!K64</f>
        <v>19</v>
      </c>
      <c r="L64" s="8">
        <f>handsmoothed!L64</f>
        <v>19</v>
      </c>
      <c r="M64" s="8">
        <f>handsmoothed!M64</f>
        <v>19</v>
      </c>
      <c r="N64" s="8">
        <f>handsmoothed!N64</f>
        <v>19</v>
      </c>
    </row>
    <row r="65" spans="1:14" x14ac:dyDescent="0.25">
      <c r="A65" s="8">
        <f>handsmoothed!A65</f>
        <v>63</v>
      </c>
      <c r="B65" s="8">
        <f>handsmoothed!B65</f>
        <v>17</v>
      </c>
      <c r="C65" s="8">
        <f>handsmoothed!C65</f>
        <v>17</v>
      </c>
      <c r="D65" s="8">
        <f>handsmoothed!D65</f>
        <v>17</v>
      </c>
      <c r="E65" s="8">
        <f>handsmoothed!E65</f>
        <v>17</v>
      </c>
      <c r="F65" s="8">
        <f>handsmoothed!F65</f>
        <v>17</v>
      </c>
      <c r="G65" s="8">
        <f>handsmoothed!G65</f>
        <v>18</v>
      </c>
      <c r="H65" s="8">
        <f>handsmoothed!H65</f>
        <v>18</v>
      </c>
      <c r="I65" s="8">
        <f>handsmoothed!I65</f>
        <v>19</v>
      </c>
      <c r="J65" s="8">
        <f>handsmoothed!J65</f>
        <v>19</v>
      </c>
      <c r="K65" s="8">
        <f>handsmoothed!K65</f>
        <v>19</v>
      </c>
      <c r="L65" s="8">
        <f>handsmoothed!L65</f>
        <v>19</v>
      </c>
      <c r="M65" s="8">
        <f>handsmoothed!M65</f>
        <v>19</v>
      </c>
      <c r="N65" s="8">
        <f>handsmoothed!N65</f>
        <v>19</v>
      </c>
    </row>
    <row r="66" spans="1:14" x14ac:dyDescent="0.25">
      <c r="A66" s="8">
        <f>handsmoothed!A66</f>
        <v>64</v>
      </c>
      <c r="B66" s="8">
        <f>handsmoothed!B66</f>
        <v>17</v>
      </c>
      <c r="C66" s="8">
        <f>handsmoothed!C66</f>
        <v>17</v>
      </c>
      <c r="D66" s="8">
        <f>handsmoothed!D66</f>
        <v>17</v>
      </c>
      <c r="E66" s="8">
        <f>handsmoothed!E66</f>
        <v>17</v>
      </c>
      <c r="F66" s="8">
        <f>handsmoothed!F66</f>
        <v>17</v>
      </c>
      <c r="G66" s="8">
        <f>handsmoothed!G66</f>
        <v>18</v>
      </c>
      <c r="H66" s="8">
        <f>handsmoothed!H66</f>
        <v>18</v>
      </c>
      <c r="I66" s="8">
        <f>handsmoothed!I66</f>
        <v>19</v>
      </c>
      <c r="J66" s="8">
        <f>handsmoothed!J66</f>
        <v>19</v>
      </c>
      <c r="K66" s="8">
        <f>handsmoothed!K66</f>
        <v>19</v>
      </c>
      <c r="L66" s="8">
        <f>handsmoothed!L66</f>
        <v>19</v>
      </c>
      <c r="M66" s="8">
        <f>handsmoothed!M66</f>
        <v>19</v>
      </c>
      <c r="N66" s="8">
        <f>handsmoothed!N66</f>
        <v>19</v>
      </c>
    </row>
    <row r="67" spans="1:14" x14ac:dyDescent="0.25">
      <c r="A67" s="8">
        <f>handsmoothed!A67</f>
        <v>65</v>
      </c>
      <c r="B67" s="8">
        <f>handsmoothed!B67</f>
        <v>18</v>
      </c>
      <c r="C67" s="8">
        <f>handsmoothed!C67</f>
        <v>18</v>
      </c>
      <c r="D67" s="8">
        <f>handsmoothed!D67</f>
        <v>18</v>
      </c>
      <c r="E67" s="8">
        <f>handsmoothed!E67</f>
        <v>18</v>
      </c>
      <c r="F67" s="8">
        <f>handsmoothed!F67</f>
        <v>18</v>
      </c>
      <c r="G67" s="8">
        <f>handsmoothed!G67</f>
        <v>19</v>
      </c>
      <c r="H67" s="8">
        <f>handsmoothed!H67</f>
        <v>19</v>
      </c>
      <c r="I67" s="8">
        <f>handsmoothed!I67</f>
        <v>19</v>
      </c>
      <c r="J67" s="8">
        <f>handsmoothed!J67</f>
        <v>19</v>
      </c>
      <c r="K67" s="8">
        <f>handsmoothed!K67</f>
        <v>19</v>
      </c>
      <c r="L67" s="8">
        <f>handsmoothed!L67</f>
        <v>19</v>
      </c>
      <c r="M67" s="8">
        <f>handsmoothed!M67</f>
        <v>19</v>
      </c>
      <c r="N67" s="8">
        <f>handsmoothed!N67</f>
        <v>19</v>
      </c>
    </row>
    <row r="68" spans="1:14" x14ac:dyDescent="0.25">
      <c r="A68" s="8">
        <f>handsmoothed!A68</f>
        <v>66</v>
      </c>
      <c r="B68" s="8">
        <f>handsmoothed!B68</f>
        <v>19</v>
      </c>
      <c r="C68" s="8">
        <f>handsmoothed!C68</f>
        <v>19</v>
      </c>
      <c r="D68" s="8">
        <f>handsmoothed!D68</f>
        <v>19</v>
      </c>
      <c r="E68" s="8">
        <f>handsmoothed!E68</f>
        <v>19</v>
      </c>
      <c r="F68" s="8">
        <f>handsmoothed!F68</f>
        <v>19</v>
      </c>
      <c r="G68" s="8">
        <f>handsmoothed!G68</f>
        <v>19</v>
      </c>
      <c r="H68" s="8">
        <f>handsmoothed!H68</f>
        <v>19</v>
      </c>
      <c r="I68" s="8">
        <f>handsmoothed!I68</f>
        <v>19</v>
      </c>
      <c r="J68" s="8">
        <f>handsmoothed!J68</f>
        <v>19</v>
      </c>
      <c r="K68" s="8">
        <f>handsmoothed!K68</f>
        <v>19</v>
      </c>
      <c r="L68" s="8">
        <f>handsmoothed!L68</f>
        <v>19</v>
      </c>
      <c r="M68" s="8">
        <f>handsmoothed!M68</f>
        <v>19</v>
      </c>
      <c r="N68" s="8">
        <f>handsmoothed!N68</f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handsmoothed</vt:lpstr>
      <vt:lpstr>freq</vt:lpstr>
      <vt:lpstr>checksmooth</vt:lpstr>
      <vt:lpstr>QA</vt:lpstr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Charles Vannier</dc:creator>
  <cp:lastModifiedBy>Troy Courville</cp:lastModifiedBy>
  <dcterms:created xsi:type="dcterms:W3CDTF">2024-02-14T07:26:31Z</dcterms:created>
  <dcterms:modified xsi:type="dcterms:W3CDTF">2024-03-30T23:36:12Z</dcterms:modified>
</cp:coreProperties>
</file>