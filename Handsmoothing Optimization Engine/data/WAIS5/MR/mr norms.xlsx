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wais5\norm\"/>
    </mc:Choice>
  </mc:AlternateContent>
  <xr:revisionPtr revIDLastSave="0" documentId="13_ncr:1_{2FB41F3F-26B3-436A-9DDC-4DF31ABDD2DE}" xr6:coauthVersionLast="47" xr6:coauthVersionMax="47" xr10:uidLastSave="{00000000-0000-0000-0000-000000000000}"/>
  <bookViews>
    <workbookView xWindow="-108" yWindow="-108" windowWidth="16608" windowHeight="8976" tabRatio="669" activeTab="3" xr2:uid="{4A0D1588-1E3A-4798-ABDD-4F5614AC3689}"/>
  </bookViews>
  <sheets>
    <sheet name="control" sheetId="1" r:id="rId1"/>
    <sheet name="chart1" sheetId="3" r:id="rId2"/>
    <sheet name="handsmth" sheetId="2" r:id="rId3"/>
    <sheet name="QA" sheetId="8" r:id="rId4"/>
    <sheet name="checksmooth" sheetId="9" r:id="rId5"/>
    <sheet name="out" sheetId="7" r:id="rId6"/>
    <sheet name="freq" sheetId="6" r:id="rId7"/>
  </sheets>
  <definedNames>
    <definedName name="Balance">OFFSET(#REF!,0,0,NumMonths,1)</definedName>
    <definedName name="Balance1">OFFSET(#REF!,0,0,NumMonths,1)</definedName>
    <definedName name="balance1skew">OFFSET(#REF!,0,0,NumMonths,1)</definedName>
    <definedName name="balance1skewx">OFFSET(#REF!,0,0,nummonthskew,1)</definedName>
    <definedName name="BalanceCan">OFFSET(#REF!,0,0,NumMonths,1)</definedName>
    <definedName name="balancesd">OFFSET(#REF!,0,0,nummonthssd,1)</definedName>
    <definedName name="balancesd1">OFFSET(#REF!,0,0,nummonthssd,1)</definedName>
    <definedName name="balanceskew">OFFSET(#REF!,0,0,NumMonths,1)</definedName>
    <definedName name="balanceskewx">OFFSET(#REF!,0,0,nummonthskew,1)</definedName>
    <definedName name="can">OFFSET(#REF!,#REF!,0)</definedName>
    <definedName name="IDX" localSheetId="3">QA!$A$2</definedName>
    <definedName name="Months">OFFSET(#REF!,0,0,NumMonths,1)</definedName>
    <definedName name="MonthsCan">OFFSET(#REF!,0,0,NumMonths,1)</definedName>
    <definedName name="monthssd">OFFSET(#REF!,0,0,nummonthssd,1)</definedName>
    <definedName name="monthsskew">OFFSET(#REF!,0,0,NumMonths,1)</definedName>
    <definedName name="monthsskewx">OFFSET(#REF!,0,0,nummonthskew,1)</definedName>
    <definedName name="NumMonths">#REF!</definedName>
    <definedName name="nummonthskew">#REF!</definedName>
    <definedName name="nummonthssd">#REF!</definedName>
    <definedName name="test">OFFSET(#REF!,#REF!,0)</definedName>
    <definedName name="test1">OFFSET(#REF!,0,0)</definedName>
    <definedName name="test1sd">OFFSET(#REF!,0,0)</definedName>
    <definedName name="test1skew">OFFSET(#REF!,0,0)</definedName>
    <definedName name="testsd">OFFSET(#REF!,#REF!,0)</definedName>
    <definedName name="testskewx">OFFSET(#REF!,#REF!,0)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" i="2" l="1"/>
  <c r="B3" i="9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AG4" i="9" s="1"/>
  <c r="D4" i="9"/>
  <c r="E4" i="9"/>
  <c r="F4" i="9"/>
  <c r="G4" i="9"/>
  <c r="H4" i="9"/>
  <c r="I4" i="9"/>
  <c r="J4" i="9"/>
  <c r="K4" i="9"/>
  <c r="AO4" i="9" s="1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AF5" i="9" s="1"/>
  <c r="C6" i="9"/>
  <c r="D6" i="9"/>
  <c r="R6" i="9" s="1"/>
  <c r="E6" i="9"/>
  <c r="F6" i="9"/>
  <c r="G6" i="9"/>
  <c r="U6" i="9" s="1"/>
  <c r="H6" i="9"/>
  <c r="I6" i="9"/>
  <c r="J6" i="9"/>
  <c r="K6" i="9"/>
  <c r="AO6" i="9" s="1"/>
  <c r="L6" i="9"/>
  <c r="M6" i="9"/>
  <c r="N6" i="9"/>
  <c r="B7" i="9"/>
  <c r="C7" i="9"/>
  <c r="D7" i="9"/>
  <c r="AH6" i="9" s="1"/>
  <c r="E7" i="9"/>
  <c r="F7" i="9"/>
  <c r="G7" i="9"/>
  <c r="AK6" i="9" s="1"/>
  <c r="H7" i="9"/>
  <c r="I7" i="9"/>
  <c r="J7" i="9"/>
  <c r="X7" i="9" s="1"/>
  <c r="K7" i="9"/>
  <c r="L7" i="9"/>
  <c r="Z7" i="9" s="1"/>
  <c r="M7" i="9"/>
  <c r="N7" i="9"/>
  <c r="B8" i="9"/>
  <c r="C8" i="9"/>
  <c r="D8" i="9"/>
  <c r="E8" i="9"/>
  <c r="F8" i="9"/>
  <c r="AJ7" i="9" s="1"/>
  <c r="G8" i="9"/>
  <c r="H8" i="9"/>
  <c r="I8" i="9"/>
  <c r="J8" i="9"/>
  <c r="K8" i="9"/>
  <c r="L8" i="9"/>
  <c r="M8" i="9"/>
  <c r="AA8" i="9" s="1"/>
  <c r="N8" i="9"/>
  <c r="B9" i="9"/>
  <c r="AF9" i="9" s="1"/>
  <c r="C9" i="9"/>
  <c r="D9" i="9"/>
  <c r="E9" i="9"/>
  <c r="F9" i="9"/>
  <c r="G9" i="9"/>
  <c r="H9" i="9"/>
  <c r="V9" i="9" s="1"/>
  <c r="I9" i="9"/>
  <c r="AM8" i="9" s="1"/>
  <c r="J9" i="9"/>
  <c r="X9" i="9" s="1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X10" i="9" s="1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AG12" i="9" s="1"/>
  <c r="D12" i="9"/>
  <c r="E12" i="9"/>
  <c r="F12" i="9"/>
  <c r="G12" i="9"/>
  <c r="H12" i="9"/>
  <c r="V12" i="9" s="1"/>
  <c r="I12" i="9"/>
  <c r="J12" i="9"/>
  <c r="K12" i="9"/>
  <c r="AO12" i="9" s="1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B14" i="9"/>
  <c r="C14" i="9"/>
  <c r="D14" i="9"/>
  <c r="E14" i="9"/>
  <c r="F14" i="9"/>
  <c r="G14" i="9"/>
  <c r="H14" i="9"/>
  <c r="I14" i="9"/>
  <c r="J14" i="9"/>
  <c r="K14" i="9"/>
  <c r="AO13" i="9" s="1"/>
  <c r="L14" i="9"/>
  <c r="M14" i="9"/>
  <c r="N14" i="9"/>
  <c r="B15" i="9"/>
  <c r="C15" i="9"/>
  <c r="D15" i="9"/>
  <c r="E15" i="9"/>
  <c r="F15" i="9"/>
  <c r="G15" i="9"/>
  <c r="U15" i="9" s="1"/>
  <c r="H15" i="9"/>
  <c r="I15" i="9"/>
  <c r="J15" i="9"/>
  <c r="X15" i="9" s="1"/>
  <c r="K15" i="9"/>
  <c r="L15" i="9"/>
  <c r="M15" i="9"/>
  <c r="N15" i="9"/>
  <c r="B16" i="9"/>
  <c r="C16" i="9"/>
  <c r="D16" i="9"/>
  <c r="E16" i="9"/>
  <c r="F16" i="9"/>
  <c r="G16" i="9"/>
  <c r="H16" i="9"/>
  <c r="I16" i="9"/>
  <c r="J16" i="9"/>
  <c r="K16" i="9"/>
  <c r="L16" i="9"/>
  <c r="Z16" i="9" s="1"/>
  <c r="M16" i="9"/>
  <c r="N16" i="9"/>
  <c r="B17" i="9"/>
  <c r="C17" i="9"/>
  <c r="D17" i="9"/>
  <c r="E17" i="9"/>
  <c r="F17" i="9"/>
  <c r="G17" i="9"/>
  <c r="H17" i="9"/>
  <c r="V17" i="9" s="1"/>
  <c r="I17" i="9"/>
  <c r="J17" i="9"/>
  <c r="AN17" i="9" s="1"/>
  <c r="K17" i="9"/>
  <c r="L17" i="9"/>
  <c r="M17" i="9"/>
  <c r="N17" i="9"/>
  <c r="B18" i="9"/>
  <c r="C18" i="9"/>
  <c r="D18" i="9"/>
  <c r="E18" i="9"/>
  <c r="F18" i="9"/>
  <c r="G18" i="9"/>
  <c r="AK17" i="9" s="1"/>
  <c r="H18" i="9"/>
  <c r="I18" i="9"/>
  <c r="J18" i="9"/>
  <c r="X18" i="9" s="1"/>
  <c r="K18" i="9"/>
  <c r="L18" i="9"/>
  <c r="Z18" i="9" s="1"/>
  <c r="M18" i="9"/>
  <c r="N18" i="9"/>
  <c r="B19" i="9"/>
  <c r="C19" i="9"/>
  <c r="D19" i="9"/>
  <c r="E19" i="9"/>
  <c r="F19" i="9"/>
  <c r="G19" i="9"/>
  <c r="AK18" i="9" s="1"/>
  <c r="H19" i="9"/>
  <c r="I19" i="9"/>
  <c r="J19" i="9"/>
  <c r="K19" i="9"/>
  <c r="L19" i="9"/>
  <c r="M19" i="9"/>
  <c r="N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C2" i="9"/>
  <c r="AG2" i="9" s="1"/>
  <c r="D2" i="9"/>
  <c r="AH2" i="9" s="1"/>
  <c r="E2" i="9"/>
  <c r="F2" i="9"/>
  <c r="G2" i="9"/>
  <c r="H2" i="9"/>
  <c r="I2" i="9"/>
  <c r="J2" i="9"/>
  <c r="K2" i="9"/>
  <c r="L2" i="9"/>
  <c r="M2" i="9"/>
  <c r="N2" i="9"/>
  <c r="B2" i="9"/>
  <c r="U17" i="9"/>
  <c r="AJ15" i="9"/>
  <c r="AM15" i="9"/>
  <c r="AG13" i="9"/>
  <c r="Y13" i="9"/>
  <c r="X13" i="9"/>
  <c r="AL12" i="9"/>
  <c r="AM12" i="9"/>
  <c r="Q11" i="9"/>
  <c r="W10" i="9"/>
  <c r="U9" i="9"/>
  <c r="Z8" i="9"/>
  <c r="Y8" i="9"/>
  <c r="X8" i="9"/>
  <c r="R8" i="9"/>
  <c r="Q8" i="9"/>
  <c r="AM7" i="9"/>
  <c r="U7" i="9"/>
  <c r="AG5" i="9"/>
  <c r="X5" i="9"/>
  <c r="Y5" i="9"/>
  <c r="AM4" i="9"/>
  <c r="AK3" i="9"/>
  <c r="R3" i="9"/>
  <c r="Q3" i="9"/>
  <c r="Q51" i="8"/>
  <c r="R51" i="8"/>
  <c r="S51" i="8"/>
  <c r="T51" i="8"/>
  <c r="U51" i="8"/>
  <c r="Q52" i="8"/>
  <c r="R52" i="8"/>
  <c r="S52" i="8"/>
  <c r="T52" i="8"/>
  <c r="U52" i="8"/>
  <c r="Q53" i="8"/>
  <c r="R53" i="8"/>
  <c r="S53" i="8"/>
  <c r="T53" i="8"/>
  <c r="U53" i="8"/>
  <c r="Q54" i="8"/>
  <c r="R54" i="8"/>
  <c r="S54" i="8"/>
  <c r="T54" i="8"/>
  <c r="U54" i="8"/>
  <c r="Q55" i="8"/>
  <c r="R55" i="8"/>
  <c r="S55" i="8"/>
  <c r="T55" i="8"/>
  <c r="U55" i="8"/>
  <c r="Q56" i="8"/>
  <c r="R56" i="8"/>
  <c r="S56" i="8"/>
  <c r="T56" i="8"/>
  <c r="U56" i="8"/>
  <c r="Q57" i="8"/>
  <c r="R57" i="8"/>
  <c r="S57" i="8"/>
  <c r="T57" i="8"/>
  <c r="U57" i="8"/>
  <c r="Q58" i="8"/>
  <c r="R58" i="8"/>
  <c r="S58" i="8"/>
  <c r="T58" i="8"/>
  <c r="U58" i="8"/>
  <c r="Q59" i="8"/>
  <c r="R59" i="8"/>
  <c r="S59" i="8"/>
  <c r="T59" i="8"/>
  <c r="U59" i="8"/>
  <c r="Q60" i="8"/>
  <c r="R60" i="8"/>
  <c r="S60" i="8"/>
  <c r="T60" i="8"/>
  <c r="U60" i="8"/>
  <c r="Q61" i="8"/>
  <c r="R61" i="8"/>
  <c r="S61" i="8"/>
  <c r="T61" i="8"/>
  <c r="U61" i="8"/>
  <c r="Q62" i="8"/>
  <c r="R62" i="8"/>
  <c r="S62" i="8"/>
  <c r="T62" i="8"/>
  <c r="U62" i="8"/>
  <c r="U50" i="8"/>
  <c r="T50" i="8"/>
  <c r="S50" i="8"/>
  <c r="R50" i="8"/>
  <c r="Q50" i="8"/>
  <c r="U15" i="8"/>
  <c r="T15" i="8"/>
  <c r="S15" i="8"/>
  <c r="R15" i="8"/>
  <c r="Q15" i="8"/>
  <c r="Q27" i="8"/>
  <c r="R27" i="8"/>
  <c r="Q28" i="8"/>
  <c r="R28" i="8"/>
  <c r="Q29" i="8"/>
  <c r="R29" i="8"/>
  <c r="Q30" i="8"/>
  <c r="R30" i="8"/>
  <c r="Q31" i="8"/>
  <c r="R31" i="8"/>
  <c r="Q32" i="8"/>
  <c r="R32" i="8"/>
  <c r="Q33" i="8"/>
  <c r="R33" i="8"/>
  <c r="Q34" i="8"/>
  <c r="R34" i="8"/>
  <c r="Q35" i="8"/>
  <c r="R35" i="8"/>
  <c r="Q36" i="8"/>
  <c r="R36" i="8"/>
  <c r="Q37" i="8"/>
  <c r="R37" i="8"/>
  <c r="Q38" i="8"/>
  <c r="R38" i="8"/>
  <c r="R26" i="8"/>
  <c r="Q26" i="8"/>
  <c r="R7" i="8"/>
  <c r="Q7" i="8"/>
  <c r="AA9" i="9" l="1"/>
  <c r="AQ17" i="9"/>
  <c r="AQ8" i="9"/>
  <c r="AB17" i="9"/>
  <c r="AB9" i="9"/>
  <c r="AP2" i="9"/>
  <c r="Z11" i="9"/>
  <c r="AR7" i="9"/>
  <c r="AR11" i="9"/>
  <c r="Y3" i="9"/>
  <c r="Z3" i="9"/>
  <c r="AO19" i="9"/>
  <c r="AO2" i="9"/>
  <c r="V10" i="9"/>
  <c r="AO5" i="9"/>
  <c r="Z6" i="9"/>
  <c r="Y11" i="9"/>
  <c r="Z14" i="9"/>
  <c r="AP14" i="9"/>
  <c r="AA10" i="9"/>
  <c r="AA14" i="9"/>
  <c r="AA6" i="9"/>
  <c r="AA17" i="9"/>
  <c r="W20" i="9"/>
  <c r="W7" i="9"/>
  <c r="X14" i="9"/>
  <c r="X6" i="9"/>
  <c r="AR3" i="9"/>
  <c r="AB14" i="9"/>
  <c r="AR12" i="9"/>
  <c r="AB11" i="9"/>
  <c r="AB3" i="9"/>
  <c r="AB6" i="9"/>
  <c r="AQ19" i="9"/>
  <c r="AQ2" i="9"/>
  <c r="AQ3" i="9"/>
  <c r="AB4" i="9"/>
  <c r="AQ4" i="9"/>
  <c r="AQ16" i="9"/>
  <c r="AR15" i="9"/>
  <c r="AB12" i="9"/>
  <c r="AB19" i="9"/>
  <c r="AQ11" i="9"/>
  <c r="AB20" i="9"/>
  <c r="V6" i="9"/>
  <c r="AK2" i="9"/>
  <c r="AK15" i="9"/>
  <c r="AK8" i="9"/>
  <c r="V4" i="9"/>
  <c r="V15" i="9"/>
  <c r="W4" i="9"/>
  <c r="W15" i="9"/>
  <c r="AL4" i="9"/>
  <c r="AM17" i="9"/>
  <c r="U11" i="9"/>
  <c r="R16" i="9"/>
  <c r="AA20" i="9"/>
  <c r="U18" i="9"/>
  <c r="Z17" i="9"/>
  <c r="AP10" i="9"/>
  <c r="AO7" i="9"/>
  <c r="AA5" i="9"/>
  <c r="Y4" i="9"/>
  <c r="U3" i="9"/>
  <c r="AQ9" i="9"/>
  <c r="Z2" i="9"/>
  <c r="V20" i="9"/>
  <c r="Q13" i="9"/>
  <c r="Q5" i="9"/>
  <c r="Y12" i="9"/>
  <c r="AP6" i="9"/>
  <c r="AB8" i="9"/>
  <c r="AK11" i="9"/>
  <c r="AB2" i="9"/>
  <c r="X20" i="9"/>
  <c r="U19" i="9"/>
  <c r="W17" i="9"/>
  <c r="AA16" i="9"/>
  <c r="V14" i="9"/>
  <c r="AA13" i="9"/>
  <c r="X12" i="9"/>
  <c r="AJ11" i="9"/>
  <c r="Z10" i="9"/>
  <c r="AG10" i="9"/>
  <c r="Y7" i="9"/>
  <c r="AP5" i="9"/>
  <c r="AR2" i="9"/>
  <c r="AJ3" i="9"/>
  <c r="AB16" i="9"/>
  <c r="AA18" i="9"/>
  <c r="AK10" i="9"/>
  <c r="V19" i="9"/>
  <c r="Z15" i="9"/>
  <c r="AM16" i="9"/>
  <c r="AM13" i="9"/>
  <c r="Y15" i="9"/>
  <c r="W18" i="9"/>
  <c r="Y16" i="9"/>
  <c r="U2" i="9"/>
  <c r="AB13" i="9"/>
  <c r="AB5" i="9"/>
  <c r="AQ5" i="9"/>
  <c r="AR8" i="9"/>
  <c r="Y2" i="9"/>
  <c r="AM18" i="9"/>
  <c r="V5" i="9"/>
  <c r="AA4" i="9"/>
  <c r="AQ10" i="9"/>
  <c r="Q12" i="9"/>
  <c r="Q4" i="9"/>
  <c r="AG3" i="9"/>
  <c r="W6" i="9"/>
  <c r="AK7" i="9"/>
  <c r="Y9" i="9"/>
  <c r="AQ18" i="9"/>
  <c r="AM5" i="9"/>
  <c r="AM9" i="9"/>
  <c r="X16" i="9"/>
  <c r="V18" i="9"/>
  <c r="S2" i="9"/>
  <c r="AF17" i="9"/>
  <c r="Y20" i="9"/>
  <c r="AK16" i="9"/>
  <c r="AA2" i="9"/>
  <c r="AO3" i="9"/>
  <c r="AN9" i="9"/>
  <c r="AQ13" i="9"/>
  <c r="AK14" i="9"/>
  <c r="AK19" i="9"/>
  <c r="X17" i="9"/>
  <c r="AO14" i="9"/>
  <c r="Q16" i="9"/>
  <c r="AH13" i="9"/>
  <c r="AO10" i="9"/>
  <c r="U14" i="9"/>
  <c r="AP18" i="9"/>
  <c r="AR19" i="9"/>
  <c r="AJ19" i="9"/>
  <c r="W14" i="9"/>
  <c r="AB18" i="9"/>
  <c r="Q17" i="9"/>
  <c r="AL16" i="9"/>
  <c r="AQ15" i="9"/>
  <c r="AF13" i="9"/>
  <c r="AK12" i="9"/>
  <c r="Z12" i="9"/>
  <c r="AM11" i="9"/>
  <c r="AB10" i="9"/>
  <c r="U10" i="9"/>
  <c r="AO8" i="9"/>
  <c r="AG9" i="9"/>
  <c r="AL8" i="9"/>
  <c r="AQ6" i="9"/>
  <c r="AN5" i="9"/>
  <c r="AM3" i="9"/>
  <c r="AH18" i="9"/>
  <c r="R15" i="9"/>
  <c r="AH10" i="9"/>
  <c r="R7" i="9"/>
  <c r="AH14" i="9"/>
  <c r="AG6" i="9"/>
  <c r="AG14" i="9"/>
  <c r="Q15" i="9"/>
  <c r="Q7" i="9"/>
  <c r="Q20" i="9"/>
  <c r="R13" i="9"/>
  <c r="R11" i="9"/>
  <c r="R14" i="9"/>
  <c r="R18" i="9"/>
  <c r="R10" i="9"/>
  <c r="R2" i="9"/>
  <c r="R19" i="9"/>
  <c r="AQ7" i="9"/>
  <c r="R17" i="9"/>
  <c r="AA12" i="9"/>
  <c r="AO17" i="9"/>
  <c r="AO9" i="9"/>
  <c r="W3" i="9"/>
  <c r="Q9" i="9"/>
  <c r="R12" i="9"/>
  <c r="AN13" i="9"/>
  <c r="AO18" i="9"/>
  <c r="X19" i="9"/>
  <c r="Z19" i="9"/>
  <c r="U5" i="9"/>
  <c r="AB7" i="9"/>
  <c r="R9" i="9"/>
  <c r="AQ14" i="9"/>
  <c r="AB15" i="9"/>
  <c r="V16" i="9"/>
  <c r="Q19" i="9"/>
  <c r="Y19" i="9"/>
  <c r="AK4" i="9"/>
  <c r="AK5" i="9"/>
  <c r="AG18" i="9"/>
  <c r="W8" i="9"/>
  <c r="V8" i="9"/>
  <c r="V13" i="9"/>
  <c r="W11" i="9"/>
  <c r="AG16" i="9"/>
  <c r="AM19" i="9"/>
  <c r="AG8" i="9"/>
  <c r="X11" i="9"/>
  <c r="U13" i="9"/>
  <c r="AG17" i="9"/>
  <c r="Z20" i="9"/>
  <c r="W19" i="9"/>
  <c r="AO16" i="9"/>
  <c r="R20" i="9"/>
  <c r="Y17" i="9"/>
  <c r="AM2" i="9"/>
  <c r="X2" i="9"/>
  <c r="W2" i="9"/>
  <c r="Q2" i="9"/>
  <c r="AJ2" i="9"/>
  <c r="AA3" i="9"/>
  <c r="AL3" i="9"/>
  <c r="U4" i="9"/>
  <c r="AF4" i="9"/>
  <c r="AN4" i="9"/>
  <c r="W5" i="9"/>
  <c r="AH5" i="9"/>
  <c r="Q6" i="9"/>
  <c r="Y6" i="9"/>
  <c r="AJ6" i="9"/>
  <c r="AR6" i="9"/>
  <c r="AA7" i="9"/>
  <c r="AL7" i="9"/>
  <c r="U8" i="9"/>
  <c r="AF8" i="9"/>
  <c r="AN8" i="9"/>
  <c r="W9" i="9"/>
  <c r="AH9" i="9"/>
  <c r="AP9" i="9"/>
  <c r="Q10" i="9"/>
  <c r="Y10" i="9"/>
  <c r="AJ10" i="9"/>
  <c r="AR10" i="9"/>
  <c r="AA11" i="9"/>
  <c r="AL11" i="9"/>
  <c r="U12" i="9"/>
  <c r="AF12" i="9"/>
  <c r="AN12" i="9"/>
  <c r="W13" i="9"/>
  <c r="AP13" i="9"/>
  <c r="Q14" i="9"/>
  <c r="Y14" i="9"/>
  <c r="AJ14" i="9"/>
  <c r="AR14" i="9"/>
  <c r="AA15" i="9"/>
  <c r="AL15" i="9"/>
  <c r="U16" i="9"/>
  <c r="AF16" i="9"/>
  <c r="AN16" i="9"/>
  <c r="AH17" i="9"/>
  <c r="AP17" i="9"/>
  <c r="Q18" i="9"/>
  <c r="Y18" i="9"/>
  <c r="AJ18" i="9"/>
  <c r="AR18" i="9"/>
  <c r="AA19" i="9"/>
  <c r="AL19" i="9"/>
  <c r="U20" i="9"/>
  <c r="AL2" i="9"/>
  <c r="AF3" i="9"/>
  <c r="AN3" i="9"/>
  <c r="AH4" i="9"/>
  <c r="AP4" i="9"/>
  <c r="AJ5" i="9"/>
  <c r="AR5" i="9"/>
  <c r="AL6" i="9"/>
  <c r="AF7" i="9"/>
  <c r="AN7" i="9"/>
  <c r="AH8" i="9"/>
  <c r="AP8" i="9"/>
  <c r="AJ9" i="9"/>
  <c r="AR9" i="9"/>
  <c r="AL10" i="9"/>
  <c r="AF11" i="9"/>
  <c r="AN11" i="9"/>
  <c r="W12" i="9"/>
  <c r="AH12" i="9"/>
  <c r="AP12" i="9"/>
  <c r="AJ13" i="9"/>
  <c r="AR13" i="9"/>
  <c r="AL14" i="9"/>
  <c r="AF15" i="9"/>
  <c r="AN15" i="9"/>
  <c r="W16" i="9"/>
  <c r="AH16" i="9"/>
  <c r="AP16" i="9"/>
  <c r="AJ17" i="9"/>
  <c r="AR17" i="9"/>
  <c r="AL18" i="9"/>
  <c r="AF19" i="9"/>
  <c r="AN19" i="9"/>
  <c r="X4" i="9"/>
  <c r="R5" i="9"/>
  <c r="Z5" i="9"/>
  <c r="AM6" i="9"/>
  <c r="V7" i="9"/>
  <c r="AG7" i="9"/>
  <c r="Z9" i="9"/>
  <c r="AK9" i="9"/>
  <c r="AM10" i="9"/>
  <c r="V11" i="9"/>
  <c r="AG11" i="9"/>
  <c r="AO11" i="9"/>
  <c r="AQ12" i="9"/>
  <c r="Z13" i="9"/>
  <c r="AK13" i="9"/>
  <c r="AM14" i="9"/>
  <c r="AG15" i="9"/>
  <c r="AO15" i="9"/>
  <c r="AG19" i="9"/>
  <c r="V3" i="9"/>
  <c r="AF2" i="9"/>
  <c r="AN2" i="9"/>
  <c r="AH3" i="9"/>
  <c r="AP3" i="9"/>
  <c r="AJ4" i="9"/>
  <c r="AR4" i="9"/>
  <c r="AL5" i="9"/>
  <c r="AF6" i="9"/>
  <c r="AN6" i="9"/>
  <c r="AH7" i="9"/>
  <c r="AP7" i="9"/>
  <c r="AJ8" i="9"/>
  <c r="AL9" i="9"/>
  <c r="AF10" i="9"/>
  <c r="AN10" i="9"/>
  <c r="AH11" i="9"/>
  <c r="AP11" i="9"/>
  <c r="AJ12" i="9"/>
  <c r="AL13" i="9"/>
  <c r="AF14" i="9"/>
  <c r="AN14" i="9"/>
  <c r="AH15" i="9"/>
  <c r="AP15" i="9"/>
  <c r="AJ16" i="9"/>
  <c r="AR16" i="9"/>
  <c r="AL17" i="9"/>
  <c r="AF18" i="9"/>
  <c r="AN18" i="9"/>
  <c r="AH19" i="9"/>
  <c r="AP19" i="9"/>
  <c r="V2" i="9"/>
  <c r="X3" i="9"/>
  <c r="R4" i="9"/>
  <c r="Z4" i="9"/>
  <c r="AN11" i="2" l="1"/>
  <c r="Z23" i="2"/>
  <c r="AJ25" i="2"/>
  <c r="V10" i="2"/>
  <c r="AA14" i="2"/>
  <c r="U20" i="2"/>
  <c r="Z17" i="2"/>
  <c r="Z20" i="2"/>
  <c r="AN8" i="2"/>
  <c r="Z12" i="2"/>
  <c r="AG24" i="2"/>
  <c r="AJ23" i="2"/>
  <c r="AF24" i="2"/>
  <c r="AF26" i="2"/>
  <c r="AH21" i="2"/>
  <c r="V16" i="2"/>
  <c r="V15" i="2"/>
  <c r="U16" i="2"/>
  <c r="S23" i="2"/>
  <c r="S25" i="2"/>
  <c r="V27" i="2"/>
  <c r="V25" i="2"/>
  <c r="AH25" i="2"/>
  <c r="W27" i="2"/>
  <c r="Q19" i="2"/>
  <c r="A2" i="7"/>
  <c r="B2" i="7"/>
  <c r="C2" i="7"/>
  <c r="D2" i="7"/>
  <c r="E2" i="7"/>
  <c r="F2" i="7"/>
  <c r="G2" i="7"/>
  <c r="H2" i="7"/>
  <c r="I2" i="7"/>
  <c r="J2" i="7"/>
  <c r="K2" i="7"/>
  <c r="L2" i="7"/>
  <c r="M2" i="7"/>
  <c r="N2" i="7"/>
  <c r="A3" i="7"/>
  <c r="B3" i="7"/>
  <c r="C3" i="7"/>
  <c r="D3" i="7"/>
  <c r="E3" i="7"/>
  <c r="F3" i="7"/>
  <c r="G3" i="7"/>
  <c r="H3" i="7"/>
  <c r="I3" i="7"/>
  <c r="J3" i="7"/>
  <c r="K3" i="7"/>
  <c r="L3" i="7"/>
  <c r="M3" i="7"/>
  <c r="N3" i="7"/>
  <c r="A4" i="7"/>
  <c r="B4" i="7"/>
  <c r="C4" i="7"/>
  <c r="D4" i="7"/>
  <c r="E4" i="7"/>
  <c r="F4" i="7"/>
  <c r="G4" i="7"/>
  <c r="H4" i="7"/>
  <c r="I4" i="7"/>
  <c r="J4" i="7"/>
  <c r="K4" i="7"/>
  <c r="L4" i="7"/>
  <c r="M4" i="7"/>
  <c r="N4" i="7"/>
  <c r="A5" i="7"/>
  <c r="B5" i="7"/>
  <c r="C5" i="7"/>
  <c r="D5" i="7"/>
  <c r="E5" i="7"/>
  <c r="F5" i="7"/>
  <c r="G5" i="7"/>
  <c r="H5" i="7"/>
  <c r="I5" i="7"/>
  <c r="J5" i="7"/>
  <c r="K5" i="7"/>
  <c r="L5" i="7"/>
  <c r="M5" i="7"/>
  <c r="N5" i="7"/>
  <c r="A6" i="7"/>
  <c r="B6" i="7"/>
  <c r="C6" i="7"/>
  <c r="D6" i="7"/>
  <c r="E6" i="7"/>
  <c r="F6" i="7"/>
  <c r="G6" i="7"/>
  <c r="H6" i="7"/>
  <c r="I6" i="7"/>
  <c r="J6" i="7"/>
  <c r="K6" i="7"/>
  <c r="L6" i="7"/>
  <c r="M6" i="7"/>
  <c r="N6" i="7"/>
  <c r="A7" i="7"/>
  <c r="B7" i="7"/>
  <c r="C7" i="7"/>
  <c r="D7" i="7"/>
  <c r="E7" i="7"/>
  <c r="F7" i="7"/>
  <c r="G7" i="7"/>
  <c r="H7" i="7"/>
  <c r="I7" i="7"/>
  <c r="J7" i="7"/>
  <c r="K7" i="7"/>
  <c r="L7" i="7"/>
  <c r="M7" i="7"/>
  <c r="N7" i="7"/>
  <c r="A8" i="7"/>
  <c r="B8" i="7"/>
  <c r="C8" i="7"/>
  <c r="D8" i="7"/>
  <c r="E8" i="7"/>
  <c r="F8" i="7"/>
  <c r="G8" i="7"/>
  <c r="H8" i="7"/>
  <c r="I8" i="7"/>
  <c r="J8" i="7"/>
  <c r="K8" i="7"/>
  <c r="L8" i="7"/>
  <c r="M8" i="7"/>
  <c r="N8" i="7"/>
  <c r="A9" i="7"/>
  <c r="B9" i="7"/>
  <c r="C9" i="7"/>
  <c r="D9" i="7"/>
  <c r="E9" i="7"/>
  <c r="F9" i="7"/>
  <c r="G9" i="7"/>
  <c r="H9" i="7"/>
  <c r="I9" i="7"/>
  <c r="J9" i="7"/>
  <c r="K9" i="7"/>
  <c r="L9" i="7"/>
  <c r="M9" i="7"/>
  <c r="N9" i="7"/>
  <c r="A10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A11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A12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A13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A14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A15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A16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A17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A18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A19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A20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A21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A22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A23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A24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A25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A26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A27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A28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B1" i="7"/>
  <c r="C1" i="7"/>
  <c r="D1" i="7"/>
  <c r="E1" i="7"/>
  <c r="F1" i="7"/>
  <c r="G1" i="7"/>
  <c r="H1" i="7"/>
  <c r="I1" i="7"/>
  <c r="J1" i="7"/>
  <c r="K1" i="7"/>
  <c r="L1" i="7"/>
  <c r="M1" i="7"/>
  <c r="N1" i="7"/>
  <c r="A1" i="7"/>
  <c r="P2" i="2" l="1"/>
  <c r="Q2" i="2"/>
  <c r="R2" i="2"/>
  <c r="S2" i="2"/>
  <c r="T2" i="2"/>
  <c r="U2" i="2"/>
  <c r="V2" i="2"/>
  <c r="W2" i="2"/>
  <c r="X2" i="2"/>
  <c r="Y2" i="2"/>
  <c r="Z2" i="2"/>
  <c r="AA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P4" i="2"/>
  <c r="Q4" i="2"/>
  <c r="R4" i="2"/>
  <c r="S4" i="2"/>
  <c r="T4" i="2"/>
  <c r="U4" i="2"/>
  <c r="V4" i="2"/>
  <c r="W4" i="2"/>
  <c r="X4" i="2"/>
  <c r="Y4" i="2"/>
  <c r="Z4" i="2"/>
  <c r="AA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P5" i="2"/>
  <c r="Q5" i="2"/>
  <c r="R5" i="2"/>
  <c r="S5" i="2"/>
  <c r="T5" i="2"/>
  <c r="U5" i="2"/>
  <c r="V5" i="2"/>
  <c r="W5" i="2"/>
  <c r="X5" i="2"/>
  <c r="Y5" i="2"/>
  <c r="Z5" i="2"/>
  <c r="AA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P6" i="2"/>
  <c r="Q6" i="2"/>
  <c r="R6" i="2"/>
  <c r="S6" i="2"/>
  <c r="T6" i="2"/>
  <c r="U6" i="2"/>
  <c r="V6" i="2"/>
  <c r="W6" i="2"/>
  <c r="X6" i="2"/>
  <c r="Y6" i="2"/>
  <c r="Z6" i="2"/>
  <c r="AA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P7" i="2"/>
  <c r="Q7" i="2"/>
  <c r="R7" i="2"/>
  <c r="S7" i="2"/>
  <c r="T7" i="2"/>
  <c r="U7" i="2"/>
  <c r="V7" i="2"/>
  <c r="W7" i="2"/>
  <c r="X7" i="2"/>
  <c r="Y7" i="2"/>
  <c r="Z7" i="2"/>
  <c r="AA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P8" i="2"/>
  <c r="Q8" i="2"/>
  <c r="R8" i="2"/>
  <c r="S8" i="2"/>
  <c r="T8" i="2"/>
  <c r="U8" i="2"/>
  <c r="V8" i="2"/>
  <c r="W8" i="2"/>
  <c r="X8" i="2"/>
  <c r="Y8" i="2"/>
  <c r="Z8" i="2"/>
  <c r="AA8" i="2"/>
  <c r="AC8" i="2"/>
  <c r="AD8" i="2"/>
  <c r="AE8" i="2"/>
  <c r="AF8" i="2"/>
  <c r="AG8" i="2"/>
  <c r="AH8" i="2"/>
  <c r="AI8" i="2"/>
  <c r="AJ8" i="2"/>
  <c r="AK8" i="2"/>
  <c r="AL8" i="2"/>
  <c r="AM8" i="2"/>
  <c r="AO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P9" i="2"/>
  <c r="Q9" i="2"/>
  <c r="R9" i="2"/>
  <c r="S9" i="2"/>
  <c r="T9" i="2"/>
  <c r="U9" i="2"/>
  <c r="V9" i="2"/>
  <c r="W9" i="2"/>
  <c r="X9" i="2"/>
  <c r="Y9" i="2"/>
  <c r="Z9" i="2"/>
  <c r="AA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P10" i="2"/>
  <c r="Q10" i="2"/>
  <c r="R10" i="2"/>
  <c r="S10" i="2"/>
  <c r="T10" i="2"/>
  <c r="U10" i="2"/>
  <c r="W10" i="2"/>
  <c r="X10" i="2"/>
  <c r="Y10" i="2"/>
  <c r="Z10" i="2"/>
  <c r="AA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P11" i="2"/>
  <c r="Q11" i="2"/>
  <c r="R11" i="2"/>
  <c r="S11" i="2"/>
  <c r="T11" i="2"/>
  <c r="U11" i="2"/>
  <c r="V11" i="2"/>
  <c r="W11" i="2"/>
  <c r="X11" i="2"/>
  <c r="Y11" i="2"/>
  <c r="Z11" i="2"/>
  <c r="AA11" i="2"/>
  <c r="AC11" i="2"/>
  <c r="AD11" i="2"/>
  <c r="AE11" i="2"/>
  <c r="AF11" i="2"/>
  <c r="AG11" i="2"/>
  <c r="AH11" i="2"/>
  <c r="AI11" i="2"/>
  <c r="AJ11" i="2"/>
  <c r="AK11" i="2"/>
  <c r="AL11" i="2"/>
  <c r="AM11" i="2"/>
  <c r="AO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P12" i="2"/>
  <c r="Q12" i="2"/>
  <c r="R12" i="2"/>
  <c r="S12" i="2"/>
  <c r="T12" i="2"/>
  <c r="U12" i="2"/>
  <c r="V12" i="2"/>
  <c r="W12" i="2"/>
  <c r="X12" i="2"/>
  <c r="Y12" i="2"/>
  <c r="AA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P13" i="2"/>
  <c r="Q13" i="2"/>
  <c r="R13" i="2"/>
  <c r="S13" i="2"/>
  <c r="T13" i="2"/>
  <c r="U13" i="2"/>
  <c r="V13" i="2"/>
  <c r="W13" i="2"/>
  <c r="X13" i="2"/>
  <c r="Y13" i="2"/>
  <c r="Z13" i="2"/>
  <c r="AA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P14" i="2"/>
  <c r="Q14" i="2"/>
  <c r="R14" i="2"/>
  <c r="S14" i="2"/>
  <c r="T14" i="2"/>
  <c r="U14" i="2"/>
  <c r="V14" i="2"/>
  <c r="W14" i="2"/>
  <c r="X14" i="2"/>
  <c r="Y14" i="2"/>
  <c r="Z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P15" i="2"/>
  <c r="Q15" i="2"/>
  <c r="R15" i="2"/>
  <c r="S15" i="2"/>
  <c r="T15" i="2"/>
  <c r="U15" i="2"/>
  <c r="W15" i="2"/>
  <c r="X15" i="2"/>
  <c r="Y15" i="2"/>
  <c r="Z15" i="2"/>
  <c r="AA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P16" i="2"/>
  <c r="Q16" i="2"/>
  <c r="R16" i="2"/>
  <c r="S16" i="2"/>
  <c r="T16" i="2"/>
  <c r="W16" i="2"/>
  <c r="X16" i="2"/>
  <c r="Y16" i="2"/>
  <c r="Z16" i="2"/>
  <c r="AA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P17" i="2"/>
  <c r="Q17" i="2"/>
  <c r="R17" i="2"/>
  <c r="S17" i="2"/>
  <c r="T17" i="2"/>
  <c r="U17" i="2"/>
  <c r="V17" i="2"/>
  <c r="W17" i="2"/>
  <c r="X17" i="2"/>
  <c r="Y17" i="2"/>
  <c r="AA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P18" i="2"/>
  <c r="Q18" i="2"/>
  <c r="R18" i="2"/>
  <c r="S18" i="2"/>
  <c r="T18" i="2"/>
  <c r="U18" i="2"/>
  <c r="V18" i="2"/>
  <c r="W18" i="2"/>
  <c r="X18" i="2"/>
  <c r="Y18" i="2"/>
  <c r="Z18" i="2"/>
  <c r="AA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P19" i="2"/>
  <c r="R19" i="2"/>
  <c r="S19" i="2"/>
  <c r="T19" i="2"/>
  <c r="U19" i="2"/>
  <c r="V19" i="2"/>
  <c r="W19" i="2"/>
  <c r="X19" i="2"/>
  <c r="Y19" i="2"/>
  <c r="Z19" i="2"/>
  <c r="AA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P20" i="2"/>
  <c r="Q20" i="2"/>
  <c r="R20" i="2"/>
  <c r="S20" i="2"/>
  <c r="T20" i="2"/>
  <c r="V20" i="2"/>
  <c r="W20" i="2"/>
  <c r="X20" i="2"/>
  <c r="Y20" i="2"/>
  <c r="AA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P21" i="2"/>
  <c r="Q21" i="2"/>
  <c r="R21" i="2"/>
  <c r="S21" i="2"/>
  <c r="T21" i="2"/>
  <c r="U21" i="2"/>
  <c r="V21" i="2"/>
  <c r="W21" i="2"/>
  <c r="X21" i="2"/>
  <c r="Y21" i="2"/>
  <c r="Z21" i="2"/>
  <c r="AA21" i="2"/>
  <c r="AC21" i="2"/>
  <c r="AD21" i="2"/>
  <c r="AE21" i="2"/>
  <c r="AF21" i="2"/>
  <c r="AG21" i="2"/>
  <c r="AI21" i="2"/>
  <c r="AJ21" i="2"/>
  <c r="AK21" i="2"/>
  <c r="AL21" i="2"/>
  <c r="AM21" i="2"/>
  <c r="AN21" i="2"/>
  <c r="AO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P22" i="2"/>
  <c r="Q22" i="2"/>
  <c r="R22" i="2"/>
  <c r="S22" i="2"/>
  <c r="T22" i="2"/>
  <c r="U22" i="2"/>
  <c r="V22" i="2"/>
  <c r="W22" i="2"/>
  <c r="X22" i="2"/>
  <c r="Y22" i="2"/>
  <c r="Z22" i="2"/>
  <c r="AA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P23" i="2"/>
  <c r="Q23" i="2"/>
  <c r="R23" i="2"/>
  <c r="T23" i="2"/>
  <c r="U23" i="2"/>
  <c r="V23" i="2"/>
  <c r="W23" i="2"/>
  <c r="X23" i="2"/>
  <c r="Y23" i="2"/>
  <c r="AA23" i="2"/>
  <c r="AC23" i="2"/>
  <c r="AD23" i="2"/>
  <c r="AE23" i="2"/>
  <c r="AF23" i="2"/>
  <c r="AG23" i="2"/>
  <c r="AH23" i="2"/>
  <c r="AI23" i="2"/>
  <c r="AK23" i="2"/>
  <c r="AL23" i="2"/>
  <c r="AM23" i="2"/>
  <c r="AN23" i="2"/>
  <c r="AO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P24" i="2"/>
  <c r="Q24" i="2"/>
  <c r="R24" i="2"/>
  <c r="S24" i="2"/>
  <c r="T24" i="2"/>
  <c r="U24" i="2"/>
  <c r="V24" i="2"/>
  <c r="W24" i="2"/>
  <c r="X24" i="2"/>
  <c r="Y24" i="2"/>
  <c r="Z24" i="2"/>
  <c r="AA24" i="2"/>
  <c r="AC24" i="2"/>
  <c r="AD24" i="2"/>
  <c r="AE24" i="2"/>
  <c r="AH24" i="2"/>
  <c r="AI24" i="2"/>
  <c r="AJ24" i="2"/>
  <c r="AK24" i="2"/>
  <c r="AL24" i="2"/>
  <c r="AM24" i="2"/>
  <c r="AN24" i="2"/>
  <c r="AO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P25" i="2"/>
  <c r="Q25" i="2"/>
  <c r="R25" i="2"/>
  <c r="T25" i="2"/>
  <c r="U25" i="2"/>
  <c r="W25" i="2"/>
  <c r="X25" i="2"/>
  <c r="Y25" i="2"/>
  <c r="Z25" i="2"/>
  <c r="AA25" i="2"/>
  <c r="AC25" i="2"/>
  <c r="AD25" i="2"/>
  <c r="AE25" i="2"/>
  <c r="AF25" i="2"/>
  <c r="AI25" i="2"/>
  <c r="AK25" i="2"/>
  <c r="AL25" i="2"/>
  <c r="AM25" i="2"/>
  <c r="AN25" i="2"/>
  <c r="AO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P26" i="2"/>
  <c r="Q26" i="2"/>
  <c r="R26" i="2"/>
  <c r="S26" i="2"/>
  <c r="T26" i="2"/>
  <c r="U26" i="2"/>
  <c r="V26" i="2"/>
  <c r="W26" i="2"/>
  <c r="X26" i="2"/>
  <c r="Y26" i="2"/>
  <c r="Z26" i="2"/>
  <c r="AA26" i="2"/>
  <c r="AC26" i="2"/>
  <c r="AD26" i="2"/>
  <c r="AE26" i="2"/>
  <c r="AG26" i="2"/>
  <c r="AH26" i="2"/>
  <c r="AI26" i="2"/>
  <c r="AJ26" i="2"/>
  <c r="AK26" i="2"/>
  <c r="AL26" i="2"/>
  <c r="AM26" i="2"/>
  <c r="AN26" i="2"/>
  <c r="AO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P27" i="2"/>
  <c r="Q27" i="2"/>
  <c r="R27" i="2"/>
  <c r="S27" i="2"/>
  <c r="T27" i="2"/>
  <c r="U27" i="2"/>
  <c r="X27" i="2"/>
  <c r="Y27" i="2"/>
  <c r="Z27" i="2"/>
  <c r="AA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P28" i="2"/>
  <c r="Q28" i="2"/>
  <c r="R28" i="2"/>
  <c r="S28" i="2"/>
  <c r="T28" i="2"/>
  <c r="U28" i="2"/>
  <c r="V28" i="2"/>
  <c r="W28" i="2"/>
  <c r="X28" i="2"/>
  <c r="Y28" i="2"/>
  <c r="Z28" i="2"/>
  <c r="AA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29" i="2"/>
  <c r="B30" i="2" s="1"/>
  <c r="C29" i="2"/>
  <c r="C30" i="2" s="1"/>
  <c r="D29" i="2"/>
  <c r="E29" i="2"/>
  <c r="F29" i="2"/>
  <c r="G29" i="2"/>
  <c r="H29" i="2"/>
  <c r="I29" i="2"/>
  <c r="I30" i="2" s="1"/>
  <c r="J29" i="2"/>
  <c r="J30" i="2" s="1"/>
  <c r="K29" i="2"/>
  <c r="K30" i="2" s="1"/>
  <c r="L29" i="2"/>
  <c r="M29" i="2"/>
  <c r="N29" i="2"/>
  <c r="E30" i="2"/>
  <c r="F30" i="2"/>
  <c r="F34" i="2" s="1"/>
  <c r="G30" i="2"/>
  <c r="G32" i="2" s="1"/>
  <c r="H30" i="2"/>
  <c r="H32" i="2" s="1"/>
  <c r="M30" i="2"/>
  <c r="M34" i="2" s="1"/>
  <c r="N30" i="2"/>
  <c r="N32" i="2" s="1"/>
  <c r="E34" i="2" l="1"/>
  <c r="H31" i="2"/>
  <c r="H35" i="2" s="1"/>
  <c r="H36" i="2"/>
  <c r="G36" i="2"/>
  <c r="F32" i="2"/>
  <c r="M31" i="2"/>
  <c r="M37" i="2" s="1"/>
  <c r="E31" i="2"/>
  <c r="E33" i="2" s="1"/>
  <c r="K31" i="2"/>
  <c r="K36" i="2"/>
  <c r="K32" i="2"/>
  <c r="K34" i="2"/>
  <c r="C31" i="2"/>
  <c r="C36" i="2"/>
  <c r="C32" i="2"/>
  <c r="C34" i="2"/>
  <c r="I32" i="2"/>
  <c r="I34" i="2"/>
  <c r="I31" i="2"/>
  <c r="I36" i="2"/>
  <c r="B36" i="2"/>
  <c r="B32" i="2"/>
  <c r="B34" i="2"/>
  <c r="J36" i="2"/>
  <c r="J32" i="2"/>
  <c r="J34" i="2"/>
  <c r="M32" i="2"/>
  <c r="E32" i="2"/>
  <c r="J31" i="2"/>
  <c r="B31" i="2"/>
  <c r="N36" i="2"/>
  <c r="F36" i="2"/>
  <c r="H34" i="2"/>
  <c r="G31" i="2"/>
  <c r="L30" i="2"/>
  <c r="L31" i="2" s="1"/>
  <c r="D30" i="2"/>
  <c r="D31" i="2" s="1"/>
  <c r="M36" i="2"/>
  <c r="E36" i="2"/>
  <c r="G34" i="2"/>
  <c r="N31" i="2"/>
  <c r="F31" i="2"/>
  <c r="N34" i="2"/>
  <c r="H37" i="2" l="1"/>
  <c r="E35" i="2"/>
  <c r="E37" i="2"/>
  <c r="M35" i="2"/>
  <c r="M33" i="2"/>
  <c r="H33" i="2"/>
  <c r="C33" i="2"/>
  <c r="C35" i="2"/>
  <c r="C37" i="2"/>
  <c r="J33" i="2"/>
  <c r="J35" i="2"/>
  <c r="J37" i="2"/>
  <c r="B33" i="2"/>
  <c r="B35" i="2"/>
  <c r="B37" i="2"/>
  <c r="I33" i="2"/>
  <c r="I35" i="2"/>
  <c r="I37" i="2"/>
  <c r="D34" i="2"/>
  <c r="D36" i="2"/>
  <c r="D32" i="2"/>
  <c r="D33" i="2"/>
  <c r="D35" i="2"/>
  <c r="D37" i="2"/>
  <c r="K33" i="2"/>
  <c r="K35" i="2"/>
  <c r="K37" i="2"/>
  <c r="L33" i="2"/>
  <c r="L35" i="2"/>
  <c r="L37" i="2"/>
  <c r="F37" i="2"/>
  <c r="F33" i="2"/>
  <c r="F35" i="2"/>
  <c r="G35" i="2"/>
  <c r="G37" i="2"/>
  <c r="G33" i="2"/>
  <c r="L34" i="2"/>
  <c r="L36" i="2"/>
  <c r="L32" i="2"/>
  <c r="N37" i="2"/>
  <c r="N33" i="2"/>
  <c r="N35" i="2"/>
  <c r="T8" i="9" l="1"/>
  <c r="S8" i="9"/>
  <c r="AI7" i="9"/>
  <c r="T2" i="9"/>
  <c r="S14" i="9"/>
  <c r="AI13" i="9"/>
  <c r="T14" i="9"/>
  <c r="T9" i="9"/>
  <c r="S9" i="9"/>
  <c r="AI8" i="9"/>
  <c r="T13" i="9"/>
  <c r="S13" i="9"/>
  <c r="AI12" i="9"/>
  <c r="T20" i="9"/>
  <c r="AI19" i="9"/>
  <c r="S20" i="9"/>
  <c r="T16" i="9" l="1"/>
  <c r="AI15" i="9"/>
  <c r="S16" i="9"/>
  <c r="AI17" i="9"/>
  <c r="S18" i="9"/>
  <c r="T18" i="9"/>
  <c r="T17" i="9"/>
  <c r="S17" i="9"/>
  <c r="AI16" i="9"/>
  <c r="T19" i="9"/>
  <c r="AI18" i="9"/>
  <c r="S19" i="9"/>
  <c r="AI4" i="9"/>
  <c r="T5" i="9"/>
  <c r="S5" i="9"/>
  <c r="AI6" i="9"/>
  <c r="T7" i="9"/>
  <c r="S7" i="9"/>
  <c r="S4" i="9"/>
  <c r="T4" i="9"/>
  <c r="AI3" i="9"/>
  <c r="AI9" i="9"/>
  <c r="T10" i="9"/>
  <c r="S10" i="9"/>
  <c r="S6" i="9"/>
  <c r="AI5" i="9"/>
  <c r="T6" i="9"/>
  <c r="T3" i="9"/>
  <c r="AI2" i="9"/>
  <c r="S3" i="9"/>
  <c r="AI11" i="9"/>
  <c r="T12" i="9"/>
  <c r="S12" i="9"/>
  <c r="AI14" i="9"/>
  <c r="T15" i="9"/>
  <c r="S15" i="9"/>
  <c r="T11" i="9"/>
  <c r="AI10" i="9"/>
  <c r="S11" i="9"/>
</calcChain>
</file>

<file path=xl/sharedStrings.xml><?xml version="1.0" encoding="utf-8"?>
<sst xmlns="http://schemas.openxmlformats.org/spreadsheetml/2006/main" count="441" uniqueCount="164">
  <si>
    <t>type</t>
  </si>
  <si>
    <t>order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</si>
  <si>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</si>
  <si>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</si>
  <si>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</si>
  <si>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</si>
  <si>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</si>
  <si>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</si>
  <si>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</si>
  <si>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</si>
  <si>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</si>
  <si>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</si>
  <si>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</si>
  <si>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</si>
  <si>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</si>
  <si>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Obs</t>
  </si>
  <si>
    <t>.</t>
  </si>
  <si>
    <t>Pred</t>
  </si>
  <si>
    <r>
      <t xml:space="preserve">Observed and Predicted </t>
    </r>
    <r>
      <rPr>
        <sz val="10"/>
        <color rgb="FFFF0000"/>
        <rFont val="Arial"/>
        <family val="2"/>
      </rPr>
      <t>mean for mrtot</t>
    </r>
  </si>
  <si>
    <r>
      <t>Observed and Predicted</t>
    </r>
    <r>
      <rPr>
        <sz val="10"/>
        <color rgb="FFFF0000"/>
        <rFont val="Arial"/>
        <family val="2"/>
      </rPr>
      <t xml:space="preserve"> stddev for mrtot</t>
    </r>
  </si>
  <si>
    <t>Power</t>
  </si>
  <si>
    <t>MR</t>
  </si>
  <si>
    <t>Mean</t>
  </si>
  <si>
    <t>SD</t>
  </si>
  <si>
    <t>Skew</t>
  </si>
  <si>
    <r>
      <t xml:space="preserve">Observed and Predicted </t>
    </r>
    <r>
      <rPr>
        <sz val="10"/>
        <color rgb="FFFF0000"/>
        <rFont val="Arial"/>
        <family val="2"/>
      </rPr>
      <t>skew for mrtot</t>
    </r>
  </si>
  <si>
    <t>WAIS5, 2/16/2024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</si>
  <si>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</si>
  <si>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</si>
  <si>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</si>
  <si>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</si>
  <si>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</si>
  <si>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</si>
  <si>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</si>
  <si>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</si>
  <si>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</si>
  <si>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</si>
  <si>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</si>
  <si>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</si>
  <si>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</si>
  <si>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ReverseCross</t>
  </si>
  <si>
    <t>r12</t>
  </si>
  <si>
    <t>r23</t>
  </si>
  <si>
    <t>r34</t>
  </si>
  <si>
    <t>r45</t>
  </si>
  <si>
    <t>r56</t>
  </si>
  <si>
    <t>r67</t>
  </si>
  <si>
    <t>r78</t>
  </si>
  <si>
    <t>r89</t>
  </si>
  <si>
    <t>r910</t>
  </si>
  <si>
    <t>r1011</t>
  </si>
  <si>
    <t>r1112</t>
  </si>
  <si>
    <t>r1213</t>
  </si>
  <si>
    <t>ReverseDown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</si>
  <si>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</si>
  <si>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</si>
  <si>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</si>
  <si>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</si>
  <si>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</si>
  <si>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</si>
  <si>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</si>
  <si>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</si>
  <si>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</si>
  <si>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</si>
  <si>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</si>
  <si>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</si>
  <si>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</si>
  <si>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blank</t>
  </si>
  <si>
    <t>ssq1</t>
  </si>
  <si>
    <t>ssq2</t>
  </si>
  <si>
    <t>ssq3</t>
  </si>
  <si>
    <t>ssq4</t>
  </si>
  <si>
    <t>ssq5</t>
  </si>
  <si>
    <t>ssq6</t>
  </si>
  <si>
    <t>ssq7</t>
  </si>
  <si>
    <t>ssq8</t>
  </si>
  <si>
    <t>ssq9</t>
  </si>
  <si>
    <t>ssq10</t>
  </si>
  <si>
    <t>ssq11</t>
  </si>
  <si>
    <t>ssq12</t>
  </si>
  <si>
    <t>ssq13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</si>
  <si>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</si>
  <si>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</si>
  <si>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</si>
  <si>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</si>
  <si>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</si>
  <si>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</si>
  <si>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</si>
  <si>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</si>
  <si>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</si>
  <si>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</si>
  <si>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</si>
  <si>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</si>
  <si>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</si>
  <si>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N</t>
  </si>
  <si>
    <t>mean</t>
  </si>
  <si>
    <t>sd</t>
  </si>
  <si>
    <t>ideal</t>
  </si>
  <si>
    <t>standard</t>
  </si>
  <si>
    <t>exception</t>
  </si>
  <si>
    <t>rawtot</t>
  </si>
  <si>
    <t>F_1</t>
  </si>
  <si>
    <t>F_2</t>
  </si>
  <si>
    <t>F_3</t>
  </si>
  <si>
    <t>F_4</t>
  </si>
  <si>
    <t>F_5</t>
  </si>
  <si>
    <t>F_6</t>
  </si>
  <si>
    <t>F_7</t>
  </si>
  <si>
    <t>F_8</t>
  </si>
  <si>
    <t>F_9</t>
  </si>
  <si>
    <t>F_10</t>
  </si>
  <si>
    <t>F_11</t>
  </si>
  <si>
    <t>F_12</t>
  </si>
  <si>
    <t>F_13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</si>
  <si>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</si>
  <si>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</si>
  <si>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</si>
  <si>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</si>
  <si>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</si>
  <si>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</si>
  <si>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</si>
  <si>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</si>
  <si>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</si>
  <si>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</si>
  <si>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</si>
  <si>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</si>
  <si>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</si>
  <si>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wais5_mr_raw</t>
  </si>
  <si>
    <t>Overall mean</t>
  </si>
  <si>
    <t>The MEANS Procedure</t>
  </si>
  <si>
    <t>stdz</t>
  </si>
  <si>
    <t>Std Dev</t>
  </si>
  <si>
    <t>Minimum</t>
  </si>
  <si>
    <t>Maximum</t>
  </si>
  <si>
    <t>wais5 overall pct</t>
  </si>
  <si>
    <t>P_02</t>
  </si>
  <si>
    <t>P_16</t>
  </si>
  <si>
    <t>P_50</t>
  </si>
  <si>
    <t>P_84</t>
  </si>
  <si>
    <t>P_98</t>
  </si>
  <si>
    <t>Group mean by agegrp</t>
  </si>
  <si>
    <t>agegrp</t>
  </si>
  <si>
    <t>ageband</t>
  </si>
  <si>
    <t>16-17</t>
  </si>
  <si>
    <t>18-19</t>
  </si>
  <si>
    <t>20-24</t>
  </si>
  <si>
    <t>25-29</t>
  </si>
  <si>
    <t>30-34</t>
  </si>
  <si>
    <t>35-44</t>
  </si>
  <si>
    <t>45-54</t>
  </si>
  <si>
    <t>55-64</t>
  </si>
  <si>
    <t>65-69</t>
  </si>
  <si>
    <t>70-74</t>
  </si>
  <si>
    <t>75-79</t>
  </si>
  <si>
    <t>80-84</t>
  </si>
  <si>
    <t>85-90</t>
  </si>
  <si>
    <t>IDMI</t>
  </si>
  <si>
    <t>IDMO</t>
  </si>
  <si>
    <t>ADHD</t>
  </si>
  <si>
    <t>GT</t>
  </si>
  <si>
    <t>wais5 pct by agegrp: Age Norm</t>
  </si>
  <si>
    <t>Analysis Variable : wais5_mr_ss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</si>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</sst>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1" x14ac:knownFonts="1"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9"/>
      <color rgb="FF0033CC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9" tint="0.39997558519241921"/>
      <name val="Arial"/>
      <family val="2"/>
    </font>
    <font>
      <b/>
      <sz val="9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z val="8"/>
      <color theme="9"/>
      <name val="Calibri"/>
      <family val="2"/>
      <scheme val="minor"/>
    </font>
    <font>
      <b/>
      <sz val="8"/>
      <color theme="9"/>
      <name val="Calibri"/>
      <family val="2"/>
      <scheme val="minor"/>
    </font>
    <font>
      <sz val="10"/>
      <color rgb="FF0033CC"/>
      <name val="Arial"/>
      <family val="2"/>
    </font>
    <font>
      <b/>
      <sz val="9"/>
      <color rgb="FF0033CC"/>
      <name val="Arial"/>
      <family val="2"/>
    </font>
    <font>
      <sz val="9"/>
      <color rgb="FF0033CC"/>
      <name val="Arial"/>
      <family val="2"/>
    </font>
    <font>
      <sz val="9"/>
      <color theme="0" tint="-0.499984740745262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9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7" fillId="0" borderId="0"/>
  </cellStyleXfs>
  <cellXfs count="88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top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3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/>
    </xf>
    <xf numFmtId="0" fontId="0" fillId="3" borderId="4" xfId="0" applyFill="1" applyBorder="1" applyAlignment="1">
      <alignment horizontal="left"/>
    </xf>
    <xf numFmtId="0" fontId="11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horizontal="right" vertical="top"/>
    </xf>
    <xf numFmtId="0" fontId="13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2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 wrapText="1"/>
    </xf>
    <xf numFmtId="0" fontId="17" fillId="0" borderId="3" xfId="0" applyFont="1" applyBorder="1" applyAlignment="1">
      <alignment horizontal="center" vertical="top"/>
    </xf>
    <xf numFmtId="0" fontId="17" fillId="0" borderId="3" xfId="0" applyFont="1" applyBorder="1" applyAlignment="1">
      <alignment vertical="top" wrapText="1"/>
    </xf>
    <xf numFmtId="0" fontId="17" fillId="0" borderId="3" xfId="0" applyFont="1" applyBorder="1" applyAlignment="1">
      <alignment vertical="top"/>
    </xf>
    <xf numFmtId="0" fontId="12" fillId="0" borderId="2" xfId="0" applyFont="1" applyFill="1" applyBorder="1" applyAlignment="1">
      <alignment horizontal="center" vertical="top"/>
    </xf>
    <xf numFmtId="0" fontId="18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top"/>
    </xf>
    <xf numFmtId="0" fontId="19" fillId="0" borderId="2" xfId="0" applyFont="1" applyBorder="1" applyAlignment="1">
      <alignment horizontal="center" vertical="top"/>
    </xf>
    <xf numFmtId="0" fontId="19" fillId="0" borderId="3" xfId="0" applyFont="1" applyBorder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8" fillId="0" borderId="0" xfId="0" applyFont="1" applyAlignment="1">
      <alignment horizontal="left"/>
    </xf>
    <xf numFmtId="0" fontId="20" fillId="0" borderId="3" xfId="0" applyFont="1" applyBorder="1" applyAlignment="1">
      <alignment horizontal="left" vertical="top"/>
    </xf>
    <xf numFmtId="164" fontId="20" fillId="0" borderId="0" xfId="0" applyNumberFormat="1" applyFont="1" applyFill="1" applyAlignment="1">
      <alignment horizontal="center" vertical="top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top"/>
    </xf>
    <xf numFmtId="2" fontId="20" fillId="0" borderId="0" xfId="0" applyNumberFormat="1" applyFont="1" applyFill="1" applyAlignment="1">
      <alignment horizontal="center" vertical="top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2" fontId="25" fillId="0" borderId="0" xfId="0" applyNumberFormat="1" applyFont="1" applyAlignment="1">
      <alignment horizontal="center" vertical="top"/>
    </xf>
    <xf numFmtId="0" fontId="24" fillId="0" borderId="2" xfId="0" applyFont="1" applyBorder="1" applyAlignment="1">
      <alignment horizontal="center" vertical="top"/>
    </xf>
    <xf numFmtId="0" fontId="25" fillId="0" borderId="3" xfId="0" applyFont="1" applyBorder="1" applyAlignment="1">
      <alignment horizontal="center" vertical="top"/>
    </xf>
    <xf numFmtId="0" fontId="25" fillId="0" borderId="0" xfId="0" applyFont="1" applyAlignment="1">
      <alignment horizontal="left" vertical="top"/>
    </xf>
    <xf numFmtId="164" fontId="25" fillId="0" borderId="0" xfId="0" applyNumberFormat="1" applyFont="1" applyAlignment="1">
      <alignment horizontal="center" vertical="top"/>
    </xf>
    <xf numFmtId="0" fontId="24" fillId="0" borderId="2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1" applyAlignment="1">
      <alignment horizontal="center"/>
    </xf>
    <xf numFmtId="0" fontId="7" fillId="0" borderId="0" xfId="1"/>
    <xf numFmtId="0" fontId="26" fillId="0" borderId="0" xfId="1" applyFont="1" applyAlignment="1">
      <alignment horizontal="center"/>
    </xf>
    <xf numFmtId="0" fontId="27" fillId="0" borderId="2" xfId="1" applyFont="1" applyBorder="1" applyAlignment="1">
      <alignment horizontal="center" vertical="top" wrapText="1"/>
    </xf>
    <xf numFmtId="0" fontId="26" fillId="0" borderId="0" xfId="1" applyFont="1"/>
    <xf numFmtId="0" fontId="28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4" fillId="0" borderId="2" xfId="0" applyFont="1" applyBorder="1" applyAlignment="1">
      <alignment horizontal="center" vertical="top"/>
    </xf>
    <xf numFmtId="0" fontId="20" fillId="0" borderId="3" xfId="0" applyFont="1" applyBorder="1" applyAlignment="1">
      <alignment horizontal="center" vertical="top"/>
    </xf>
    <xf numFmtId="0" fontId="22" fillId="2" borderId="0" xfId="0" applyFont="1" applyFill="1" applyAlignment="1">
      <alignment horizontal="left" vertical="top"/>
    </xf>
    <xf numFmtId="0" fontId="23" fillId="0" borderId="0" xfId="0" applyFont="1" applyAlignment="1">
      <alignment horizontal="left" vertical="center"/>
    </xf>
    <xf numFmtId="0" fontId="24" fillId="0" borderId="3" xfId="0" applyFont="1" applyBorder="1" applyAlignment="1">
      <alignment horizontal="left" vertical="top"/>
    </xf>
    <xf numFmtId="0" fontId="23" fillId="0" borderId="0" xfId="0" applyFont="1" applyAlignment="1">
      <alignment horizontal="left"/>
    </xf>
    <xf numFmtId="0" fontId="24" fillId="0" borderId="1" xfId="0" applyFont="1" applyBorder="1" applyAlignment="1">
      <alignment horizontal="left" vertical="top"/>
    </xf>
    <xf numFmtId="0" fontId="25" fillId="0" borderId="3" xfId="0" applyFont="1" applyBorder="1" applyAlignment="1">
      <alignment horizontal="left" vertical="top"/>
    </xf>
    <xf numFmtId="0" fontId="29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top"/>
    </xf>
    <xf numFmtId="0" fontId="30" fillId="0" borderId="0" xfId="0" applyFont="1" applyAlignment="1">
      <alignment horizontal="center"/>
    </xf>
    <xf numFmtId="0" fontId="30" fillId="0" borderId="0" xfId="0" applyFont="1" applyAlignment="1"/>
    <xf numFmtId="0" fontId="30" fillId="0" borderId="0" xfId="0" applyFont="1"/>
    <xf numFmtId="164" fontId="10" fillId="0" borderId="0" xfId="0" applyNumberFormat="1" applyFont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24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2">
    <cellStyle name="Normal" xfId="0" builtinId="0"/>
    <cellStyle name="Normal 3" xfId="1" xr:uid="{D0C3D192-2D1E-4B80-84AF-C88B0AE84738}"/>
  </cellStyles>
  <dxfs count="2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C00000"/>
      </font>
      <fill>
        <patternFill>
          <bgColor rgb="FFC9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EF7FE"/>
        </patternFill>
      </fill>
    </dxf>
    <dxf>
      <fill>
        <patternFill>
          <bgColor rgb="FFCEF7FE"/>
        </patternFill>
      </fill>
    </dxf>
    <dxf>
      <fill>
        <patternFill>
          <bgColor rgb="FFFFFF66"/>
        </patternFill>
      </fill>
    </dxf>
    <dxf>
      <fill>
        <patternFill>
          <bgColor rgb="FFCCFF99"/>
        </patternFill>
      </fill>
    </dxf>
    <dxf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EA6A"/>
        </patternFill>
      </fill>
    </dxf>
    <dxf>
      <fill>
        <patternFill>
          <bgColor rgb="FF00EA6A"/>
        </patternFill>
      </fill>
    </dxf>
    <dxf>
      <fill>
        <patternFill>
          <bgColor rgb="FFFFD5FF"/>
        </patternFill>
      </fill>
    </dxf>
    <dxf>
      <fill>
        <patternFill>
          <bgColor rgb="FFFFD5FF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FF66"/>
      <color rgb="FFE5FFFF"/>
      <color rgb="FFB4DE86"/>
      <color rgb="FF000099"/>
      <color rgb="FFC9FFFF"/>
      <color rgb="FFCCFFFF"/>
      <color rgb="FFFF9900"/>
      <color rgb="FF0033CC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control!$B$20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control!$B$21:$B$33</c:f>
              <c:numCache>
                <c:formatCode>General</c:formatCode>
                <c:ptCount val="13"/>
                <c:pt idx="0">
                  <c:v>17.118099999999998</c:v>
                </c:pt>
                <c:pt idx="1">
                  <c:v>17.134899999999998</c:v>
                </c:pt>
                <c:pt idx="2">
                  <c:v>17.136399999999998</c:v>
                </c:pt>
                <c:pt idx="3">
                  <c:v>17.077100000000002</c:v>
                </c:pt>
                <c:pt idx="4">
                  <c:v>16.9453</c:v>
                </c:pt>
                <c:pt idx="5">
                  <c:v>16.611999999999998</c:v>
                </c:pt>
                <c:pt idx="6">
                  <c:v>15.914099999999999</c:v>
                </c:pt>
                <c:pt idx="7">
                  <c:v>14.9267</c:v>
                </c:pt>
                <c:pt idx="8">
                  <c:v>13.996</c:v>
                </c:pt>
                <c:pt idx="9">
                  <c:v>13.2851</c:v>
                </c:pt>
                <c:pt idx="10">
                  <c:v>12.501799999999999</c:v>
                </c:pt>
                <c:pt idx="11">
                  <c:v>11.646100000000001</c:v>
                </c:pt>
                <c:pt idx="12">
                  <c:v>10.6212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6-4009-B379-E96FA6215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579752"/>
        <c:axId val="610582992"/>
      </c:lineChart>
      <c:catAx>
        <c:axId val="610579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82992"/>
        <c:crosses val="autoZero"/>
        <c:auto val="1"/>
        <c:lblAlgn val="ctr"/>
        <c:lblOffset val="100"/>
        <c:noMultiLvlLbl val="0"/>
      </c:catAx>
      <c:valAx>
        <c:axId val="6105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7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control!$C$20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control!$C$21:$C$33</c:f>
              <c:numCache>
                <c:formatCode>General</c:formatCode>
                <c:ptCount val="13"/>
                <c:pt idx="0">
                  <c:v>3.5527000000000002</c:v>
                </c:pt>
                <c:pt idx="1">
                  <c:v>3.6196999999999999</c:v>
                </c:pt>
                <c:pt idx="2">
                  <c:v>3.7301000000000002</c:v>
                </c:pt>
                <c:pt idx="3">
                  <c:v>3.8725999999999998</c:v>
                </c:pt>
                <c:pt idx="4">
                  <c:v>3.9975000000000001</c:v>
                </c:pt>
                <c:pt idx="5">
                  <c:v>4.1513999999999998</c:v>
                </c:pt>
                <c:pt idx="6">
                  <c:v>4.2944000000000004</c:v>
                </c:pt>
                <c:pt idx="7">
                  <c:v>4.3662999999999998</c:v>
                </c:pt>
                <c:pt idx="8">
                  <c:v>4.3735999999999997</c:v>
                </c:pt>
                <c:pt idx="9">
                  <c:v>4.3562000000000003</c:v>
                </c:pt>
                <c:pt idx="10">
                  <c:v>4.3209999999999997</c:v>
                </c:pt>
                <c:pt idx="11">
                  <c:v>4.2680999999999996</c:v>
                </c:pt>
                <c:pt idx="12">
                  <c:v>4.1894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A0-492C-967F-845EEF171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579752"/>
        <c:axId val="610582992"/>
      </c:lineChart>
      <c:catAx>
        <c:axId val="610579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82992"/>
        <c:crosses val="autoZero"/>
        <c:auto val="1"/>
        <c:lblAlgn val="ctr"/>
        <c:lblOffset val="100"/>
        <c:noMultiLvlLbl val="0"/>
      </c:catAx>
      <c:valAx>
        <c:axId val="6105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7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control!$D$20</c:f>
              <c:strCache>
                <c:ptCount val="1"/>
                <c:pt idx="0">
                  <c:v>Skew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control!$D$21:$D$33</c:f>
              <c:numCache>
                <c:formatCode>General</c:formatCode>
                <c:ptCount val="13"/>
                <c:pt idx="0">
                  <c:v>-0.69479999999999997</c:v>
                </c:pt>
                <c:pt idx="1">
                  <c:v>-0.7621</c:v>
                </c:pt>
                <c:pt idx="2">
                  <c:v>-0.85550000000000004</c:v>
                </c:pt>
                <c:pt idx="3">
                  <c:v>-0.93889999999999996</c:v>
                </c:pt>
                <c:pt idx="4">
                  <c:v>-0.96909999999999996</c:v>
                </c:pt>
                <c:pt idx="5">
                  <c:v>-0.9284</c:v>
                </c:pt>
                <c:pt idx="6">
                  <c:v>-0.74629999999999996</c:v>
                </c:pt>
                <c:pt idx="7">
                  <c:v>-0.4642</c:v>
                </c:pt>
                <c:pt idx="8">
                  <c:v>-0.217</c:v>
                </c:pt>
                <c:pt idx="9">
                  <c:v>-4.7100000000000003E-2</c:v>
                </c:pt>
                <c:pt idx="10">
                  <c:v>0.1196</c:v>
                </c:pt>
                <c:pt idx="11">
                  <c:v>0.27689999999999998</c:v>
                </c:pt>
                <c:pt idx="12">
                  <c:v>0.43159999999999998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8-4F08-83DD-3AA2304A2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579752"/>
        <c:axId val="610582992"/>
      </c:lineChart>
      <c:catAx>
        <c:axId val="610579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82992"/>
        <c:crosses val="autoZero"/>
        <c:auto val="1"/>
        <c:lblAlgn val="ctr"/>
        <c:lblOffset val="100"/>
        <c:noMultiLvlLbl val="0"/>
      </c:catAx>
      <c:valAx>
        <c:axId val="6105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7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WAIS5, </a:t>
            </a:r>
            <a:r>
              <a:rPr lang="en-US" sz="2000">
                <a:solidFill>
                  <a:srgbClr val="C00000"/>
                </a:solidFill>
              </a:rPr>
              <a:t>MR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handsmth!$B$1</c:f>
              <c:strCache>
                <c:ptCount val="1"/>
                <c:pt idx="0">
                  <c:v>ss1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handsmth!$B$2:$B$28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BF-401B-997A-584AF2BB2D7B}"/>
            </c:ext>
          </c:extLst>
        </c:ser>
        <c:ser>
          <c:idx val="1"/>
          <c:order val="1"/>
          <c:tx>
            <c:strRef>
              <c:f>handsmth!$C$1</c:f>
              <c:strCache>
                <c:ptCount val="1"/>
                <c:pt idx="0">
                  <c:v>ss2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handsmth!$C$2:$C$28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BF-401B-997A-584AF2BB2D7B}"/>
            </c:ext>
          </c:extLst>
        </c:ser>
        <c:ser>
          <c:idx val="2"/>
          <c:order val="2"/>
          <c:tx>
            <c:strRef>
              <c:f>handsmth!$D$1</c:f>
              <c:strCache>
                <c:ptCount val="1"/>
                <c:pt idx="0">
                  <c:v>ss3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handsmth!$D$2:$D$28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BF-401B-997A-584AF2BB2D7B}"/>
            </c:ext>
          </c:extLst>
        </c:ser>
        <c:ser>
          <c:idx val="3"/>
          <c:order val="3"/>
          <c:tx>
            <c:strRef>
              <c:f>handsmth!$E$1</c:f>
              <c:strCache>
                <c:ptCount val="1"/>
                <c:pt idx="0">
                  <c:v>ss4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handsmth!$E$2:$E$28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BF-401B-997A-584AF2BB2D7B}"/>
            </c:ext>
          </c:extLst>
        </c:ser>
        <c:ser>
          <c:idx val="4"/>
          <c:order val="4"/>
          <c:tx>
            <c:strRef>
              <c:f>handsmth!$F$1</c:f>
              <c:strCache>
                <c:ptCount val="1"/>
                <c:pt idx="0">
                  <c:v>ss5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handsmth!$F$2:$F$28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BF-401B-997A-584AF2BB2D7B}"/>
            </c:ext>
          </c:extLst>
        </c:ser>
        <c:ser>
          <c:idx val="5"/>
          <c:order val="5"/>
          <c:tx>
            <c:strRef>
              <c:f>handsmth!$G$1</c:f>
              <c:strCache>
                <c:ptCount val="1"/>
                <c:pt idx="0">
                  <c:v>ss6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handsmth!$G$2:$G$28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BF-401B-997A-584AF2BB2D7B}"/>
            </c:ext>
          </c:extLst>
        </c:ser>
        <c:ser>
          <c:idx val="6"/>
          <c:order val="6"/>
          <c:tx>
            <c:strRef>
              <c:f>handsmth!$H$1</c:f>
              <c:strCache>
                <c:ptCount val="1"/>
                <c:pt idx="0">
                  <c:v>ss7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handsmth!$H$2:$H$28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BF-401B-997A-584AF2BB2D7B}"/>
            </c:ext>
          </c:extLst>
        </c:ser>
        <c:ser>
          <c:idx val="7"/>
          <c:order val="7"/>
          <c:tx>
            <c:strRef>
              <c:f>handsmth!$I$1</c:f>
              <c:strCache>
                <c:ptCount val="1"/>
                <c:pt idx="0">
                  <c:v>ss8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handsmth!$I$2:$I$28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7BF-401B-997A-584AF2BB2D7B}"/>
            </c:ext>
          </c:extLst>
        </c:ser>
        <c:ser>
          <c:idx val="8"/>
          <c:order val="8"/>
          <c:tx>
            <c:strRef>
              <c:f>handsmth!$J$1</c:f>
              <c:strCache>
                <c:ptCount val="1"/>
                <c:pt idx="0">
                  <c:v>ss9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handsmth!$J$2:$J$28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18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7BF-401B-997A-584AF2BB2D7B}"/>
            </c:ext>
          </c:extLst>
        </c:ser>
        <c:ser>
          <c:idx val="9"/>
          <c:order val="9"/>
          <c:tx>
            <c:strRef>
              <c:f>handsmth!$K$1</c:f>
              <c:strCache>
                <c:ptCount val="1"/>
                <c:pt idx="0">
                  <c:v>ss10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handsmth!$K$2:$K$28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7BF-401B-997A-584AF2BB2D7B}"/>
            </c:ext>
          </c:extLst>
        </c:ser>
        <c:ser>
          <c:idx val="10"/>
          <c:order val="10"/>
          <c:tx>
            <c:strRef>
              <c:f>handsmth!$L$1</c:f>
              <c:strCache>
                <c:ptCount val="1"/>
                <c:pt idx="0">
                  <c:v>ss11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handsmth!$L$2:$L$28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18</c:v>
                </c:pt>
                <c:pt idx="25">
                  <c:v>19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7BF-401B-997A-584AF2BB2D7B}"/>
            </c:ext>
          </c:extLst>
        </c:ser>
        <c:ser>
          <c:idx val="11"/>
          <c:order val="11"/>
          <c:tx>
            <c:strRef>
              <c:f>handsmth!$M$1</c:f>
              <c:strCache>
                <c:ptCount val="1"/>
                <c:pt idx="0">
                  <c:v>ss12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handsmth!$M$2:$M$28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7BF-401B-997A-584AF2BB2D7B}"/>
            </c:ext>
          </c:extLst>
        </c:ser>
        <c:ser>
          <c:idx val="12"/>
          <c:order val="12"/>
          <c:tx>
            <c:strRef>
              <c:f>handsmth!$N$1</c:f>
              <c:strCache>
                <c:ptCount val="1"/>
                <c:pt idx="0">
                  <c:v>ss13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handsmth!$A$2:$A$28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handsmth!$N$2:$N$28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7BF-401B-997A-584AF2BB2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400448"/>
        <c:axId val="663500888"/>
      </c:scatterChart>
      <c:valAx>
        <c:axId val="665400448"/>
        <c:scaling>
          <c:orientation val="minMax"/>
          <c:max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00888"/>
        <c:crosses val="autoZero"/>
        <c:crossBetween val="midCat"/>
        <c:majorUnit val="2"/>
      </c:valAx>
      <c:valAx>
        <c:axId val="66350088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0044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94852495289955"/>
          <c:y val="0.12269207681156644"/>
          <c:w val="0.10426370314821758"/>
          <c:h val="0.77561210414391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7CCD6C-CB34-432C-BB24-571B451730C6}">
  <sheetPr>
    <tabColor rgb="FFFFFF66"/>
  </sheetPr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207981</xdr:colOff>
      <xdr:row>18</xdr:row>
      <xdr:rowOff>151055</xdr:rowOff>
    </xdr:from>
    <xdr:to>
      <xdr:col>9</xdr:col>
      <xdr:colOff>314661</xdr:colOff>
      <xdr:row>31</xdr:row>
      <xdr:rowOff>29135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5D784D-282F-A4EC-B3B6-D686EEF6A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476922</xdr:colOff>
      <xdr:row>18</xdr:row>
      <xdr:rowOff>144779</xdr:rowOff>
    </xdr:from>
    <xdr:to>
      <xdr:col>15</xdr:col>
      <xdr:colOff>152848</xdr:colOff>
      <xdr:row>31</xdr:row>
      <xdr:rowOff>60959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912519-759F-432A-8E94-E891AF840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482750</xdr:colOff>
      <xdr:row>19</xdr:row>
      <xdr:rowOff>2690</xdr:rowOff>
    </xdr:from>
    <xdr:to>
      <xdr:col>21</xdr:col>
      <xdr:colOff>155090</xdr:colOff>
      <xdr:row>31</xdr:row>
      <xdr:rowOff>78890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22F301-85D2-4461-95E3-A620D03FB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274320</xdr:colOff>
      <xdr:row>0</xdr:row>
      <xdr:rowOff>30480</xdr:rowOff>
    </xdr:from>
    <xdr:to>
      <xdr:col>23</xdr:col>
      <xdr:colOff>0</xdr:colOff>
      <xdr:row>17</xdr:row>
      <xdr:rowOff>77367</xdr:rowOff>
    </xdr:to>
    <xdr:pic>
      <xdr:nvPicPr>
        <xdr:cNvPr id="6" name="Picture 5" descr="Side-by-side Box Plots for MR_Total">
          <a:extLst>
            <a:ext uri="{FF2B5EF4-FFF2-40B4-BE49-F238E27FC236}">
              <a16:creationId xmlns:a16="http://schemas.microsoft.com/office/drawing/2014/main" id="{23A44009-8C1A-431B-828A-2D7FE0637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9520" y="30480"/>
          <a:ext cx="3627120" cy="2751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761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440F0-8326-2FFD-80D4-CE30880E0D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FEF7-2169-460C-B690-E86BA06EC94A}">
  <dimension ref="A1:O35"/>
  <sheetViews>
    <sheetView zoomScale="85" zoomScaleNormal="85" workbookViewId="0">
      <selection activeCell="X4" sqref="X4"/>
    </sheetView>
  </sheetViews>
  <sheetFormatPr defaultRowHeight="12" x14ac:dyDescent="0.25"/>
  <sheetData>
    <row r="1" spans="1:15" ht="13.2" x14ac:dyDescent="0.25">
      <c r="A1" s="2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3.8" thickBot="1" x14ac:dyDescent="0.3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 x14ac:dyDescent="0.25">
      <c r="A4" s="6" t="s">
        <v>15</v>
      </c>
      <c r="B4" s="7" t="s">
        <v>16</v>
      </c>
      <c r="C4" s="7">
        <v>16.788888888999999</v>
      </c>
      <c r="D4" s="7">
        <v>17.311111110999999</v>
      </c>
      <c r="E4" s="7">
        <v>17.066666667</v>
      </c>
      <c r="F4" s="7">
        <v>17.327777778000002</v>
      </c>
      <c r="G4" s="7">
        <v>17.272222222</v>
      </c>
      <c r="H4" s="7">
        <v>16.383333332999999</v>
      </c>
      <c r="I4" s="7">
        <v>15.972222221999999</v>
      </c>
      <c r="J4" s="7">
        <v>14.188888888999999</v>
      </c>
      <c r="K4" s="7">
        <v>14.288888889000001</v>
      </c>
      <c r="L4" s="7">
        <v>13.48</v>
      </c>
      <c r="M4" s="7">
        <v>12.93</v>
      </c>
      <c r="N4" s="7">
        <v>11.44</v>
      </c>
      <c r="O4" s="7">
        <v>10.72</v>
      </c>
    </row>
    <row r="5" spans="1:15" x14ac:dyDescent="0.25">
      <c r="A5" s="8" t="s">
        <v>17</v>
      </c>
      <c r="B5" s="9">
        <v>2</v>
      </c>
      <c r="C5" s="7">
        <v>17.118099999999998</v>
      </c>
      <c r="D5" s="7">
        <v>17.134899999999998</v>
      </c>
      <c r="E5" s="7">
        <v>17.136399999999998</v>
      </c>
      <c r="F5" s="7">
        <v>17.077100000000002</v>
      </c>
      <c r="G5" s="7">
        <v>16.9453</v>
      </c>
      <c r="H5" s="7">
        <v>16.611999999999998</v>
      </c>
      <c r="I5" s="7">
        <v>15.914099999999999</v>
      </c>
      <c r="J5" s="7">
        <v>14.9267</v>
      </c>
      <c r="K5" s="7">
        <v>13.996</v>
      </c>
      <c r="L5" s="7">
        <v>13.2851</v>
      </c>
      <c r="M5" s="7">
        <v>12.501799999999999</v>
      </c>
      <c r="N5" s="7">
        <v>11.646100000000001</v>
      </c>
      <c r="O5" s="7">
        <v>10.6212</v>
      </c>
    </row>
    <row r="7" spans="1:15" ht="13.2" x14ac:dyDescent="0.25">
      <c r="A7" s="2" t="s">
        <v>19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3.8" thickBot="1" x14ac:dyDescent="0.3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4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5" t="s">
        <v>7</v>
      </c>
      <c r="I9" s="5" t="s">
        <v>8</v>
      </c>
      <c r="J9" s="5" t="s">
        <v>9</v>
      </c>
      <c r="K9" s="5" t="s">
        <v>10</v>
      </c>
      <c r="L9" s="5" t="s">
        <v>11</v>
      </c>
      <c r="M9" s="5" t="s">
        <v>12</v>
      </c>
      <c r="N9" s="5" t="s">
        <v>13</v>
      </c>
      <c r="O9" s="5" t="s">
        <v>14</v>
      </c>
    </row>
    <row r="10" spans="1:15" x14ac:dyDescent="0.25">
      <c r="A10" s="6" t="s">
        <v>15</v>
      </c>
      <c r="B10" s="7" t="s">
        <v>16</v>
      </c>
      <c r="C10" s="7">
        <v>3.5783159625000001</v>
      </c>
      <c r="D10" s="7">
        <v>3.7718286673999999</v>
      </c>
      <c r="E10" s="7">
        <v>3.6702031363000001</v>
      </c>
      <c r="F10" s="7">
        <v>3.5545714614000001</v>
      </c>
      <c r="G10" s="7">
        <v>4.1505610518999996</v>
      </c>
      <c r="H10" s="7">
        <v>4.2613961570000001</v>
      </c>
      <c r="I10" s="7">
        <v>4.0574513226000004</v>
      </c>
      <c r="J10" s="7">
        <v>4.5314406170000003</v>
      </c>
      <c r="K10" s="7">
        <v>4.2904192199000004</v>
      </c>
      <c r="L10" s="7">
        <v>4.2911230900000001</v>
      </c>
      <c r="M10" s="7">
        <v>4.6237310571999997</v>
      </c>
      <c r="N10" s="7">
        <v>4.2576609503</v>
      </c>
      <c r="O10" s="7">
        <v>4.0528827501000002</v>
      </c>
    </row>
    <row r="11" spans="1:15" x14ac:dyDescent="0.25">
      <c r="A11" s="8" t="s">
        <v>17</v>
      </c>
      <c r="B11" s="9">
        <v>2</v>
      </c>
      <c r="C11" s="7">
        <v>3.5527000000000002</v>
      </c>
      <c r="D11" s="7">
        <v>3.6196999999999999</v>
      </c>
      <c r="E11" s="7">
        <v>3.7301000000000002</v>
      </c>
      <c r="F11" s="7">
        <v>3.8725999999999998</v>
      </c>
      <c r="G11" s="7">
        <v>3.9975000000000001</v>
      </c>
      <c r="H11" s="7">
        <v>4.1513999999999998</v>
      </c>
      <c r="I11" s="7">
        <v>4.2944000000000004</v>
      </c>
      <c r="J11" s="7">
        <v>4.3662999999999998</v>
      </c>
      <c r="K11" s="7">
        <v>4.3735999999999997</v>
      </c>
      <c r="L11" s="7">
        <v>4.3562000000000003</v>
      </c>
      <c r="M11" s="7">
        <v>4.3209999999999997</v>
      </c>
      <c r="N11" s="7">
        <v>4.2680999999999996</v>
      </c>
      <c r="O11" s="7">
        <v>4.1894</v>
      </c>
    </row>
    <row r="13" spans="1:15" ht="13.2" x14ac:dyDescent="0.25">
      <c r="A13" s="2" t="s">
        <v>25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3.8" thickBot="1" x14ac:dyDescent="0.3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4" t="s">
        <v>0</v>
      </c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5" t="s">
        <v>11</v>
      </c>
      <c r="M15" s="5" t="s">
        <v>12</v>
      </c>
      <c r="N15" s="5" t="s">
        <v>13</v>
      </c>
      <c r="O15" s="5" t="s">
        <v>14</v>
      </c>
    </row>
    <row r="16" spans="1:15" x14ac:dyDescent="0.25">
      <c r="A16" s="6" t="s">
        <v>15</v>
      </c>
      <c r="B16" s="7" t="s">
        <v>16</v>
      </c>
      <c r="C16" s="7">
        <v>-0.69254217600000001</v>
      </c>
      <c r="D16" s="7">
        <v>-0.60622287500000005</v>
      </c>
      <c r="E16" s="7">
        <v>-0.91624391999999999</v>
      </c>
      <c r="F16" s="7">
        <v>-1.0429431739999999</v>
      </c>
      <c r="G16" s="7">
        <v>-1.125960104</v>
      </c>
      <c r="H16" s="7">
        <v>-0.86255630500000002</v>
      </c>
      <c r="I16" s="7">
        <v>-0.48456328999999998</v>
      </c>
      <c r="J16" s="7">
        <v>-0.51352353500000003</v>
      </c>
      <c r="K16" s="7">
        <v>-0.27554029200000002</v>
      </c>
      <c r="L16" s="7">
        <v>-0.11767681200000001</v>
      </c>
      <c r="M16" s="7">
        <v>7.4554794999999998E-3</v>
      </c>
      <c r="N16" s="7">
        <v>0.41032258939999999</v>
      </c>
      <c r="O16" s="7">
        <v>0.40257637670000002</v>
      </c>
    </row>
    <row r="17" spans="1:15" x14ac:dyDescent="0.25">
      <c r="A17" s="8" t="s">
        <v>17</v>
      </c>
      <c r="B17" s="9">
        <v>3</v>
      </c>
      <c r="C17" s="7">
        <v>-0.69479999999999997</v>
      </c>
      <c r="D17" s="7">
        <v>-0.7621</v>
      </c>
      <c r="E17" s="7">
        <v>-0.85550000000000004</v>
      </c>
      <c r="F17" s="7">
        <v>-0.93889999999999996</v>
      </c>
      <c r="G17" s="7">
        <v>-0.96909999999999996</v>
      </c>
      <c r="H17" s="7">
        <v>-0.9284</v>
      </c>
      <c r="I17" s="7">
        <v>-0.74629999999999996</v>
      </c>
      <c r="J17" s="7">
        <v>-0.4642</v>
      </c>
      <c r="K17" s="7">
        <v>-0.217</v>
      </c>
      <c r="L17" s="7">
        <v>-4.7100000000000003E-2</v>
      </c>
      <c r="M17" s="7">
        <v>0.1196</v>
      </c>
      <c r="N17" s="7">
        <v>0.27689999999999998</v>
      </c>
      <c r="O17" s="7">
        <v>0.43159999999999998</v>
      </c>
    </row>
    <row r="19" spans="1:15" x14ac:dyDescent="0.25">
      <c r="A19" s="11" t="s">
        <v>20</v>
      </c>
      <c r="B19" s="10">
        <v>2</v>
      </c>
      <c r="C19" s="10">
        <v>2</v>
      </c>
      <c r="D19" s="10">
        <v>3</v>
      </c>
    </row>
    <row r="20" spans="1:15" x14ac:dyDescent="0.25">
      <c r="A20" s="11" t="s">
        <v>21</v>
      </c>
      <c r="B20" s="12" t="s">
        <v>22</v>
      </c>
      <c r="C20" s="12" t="s">
        <v>23</v>
      </c>
      <c r="D20" s="12" t="s">
        <v>24</v>
      </c>
    </row>
    <row r="21" spans="1:15" x14ac:dyDescent="0.25">
      <c r="A21" s="14">
        <v>1</v>
      </c>
      <c r="B21" s="7">
        <v>17.118099999999998</v>
      </c>
      <c r="C21" s="7">
        <v>3.5527000000000002</v>
      </c>
      <c r="D21" s="7">
        <v>-0.69479999999999997</v>
      </c>
    </row>
    <row r="22" spans="1:15" x14ac:dyDescent="0.25">
      <c r="A22" s="14">
        <v>2</v>
      </c>
      <c r="B22" s="7">
        <v>17.134899999999998</v>
      </c>
      <c r="C22" s="7">
        <v>3.6196999999999999</v>
      </c>
      <c r="D22" s="7">
        <v>-0.7621</v>
      </c>
    </row>
    <row r="23" spans="1:15" x14ac:dyDescent="0.25">
      <c r="A23" s="14">
        <v>3</v>
      </c>
      <c r="B23" s="7">
        <v>17.136399999999998</v>
      </c>
      <c r="C23" s="7">
        <v>3.7301000000000002</v>
      </c>
      <c r="D23" s="7">
        <v>-0.85550000000000004</v>
      </c>
    </row>
    <row r="24" spans="1:15" x14ac:dyDescent="0.25">
      <c r="A24" s="14">
        <v>4</v>
      </c>
      <c r="B24" s="7">
        <v>17.077100000000002</v>
      </c>
      <c r="C24" s="7">
        <v>3.8725999999999998</v>
      </c>
      <c r="D24" s="7">
        <v>-0.93889999999999996</v>
      </c>
    </row>
    <row r="25" spans="1:15" x14ac:dyDescent="0.25">
      <c r="A25" s="14">
        <v>5</v>
      </c>
      <c r="B25" s="7">
        <v>16.9453</v>
      </c>
      <c r="C25" s="7">
        <v>3.9975000000000001</v>
      </c>
      <c r="D25" s="7">
        <v>-0.96909999999999996</v>
      </c>
    </row>
    <row r="26" spans="1:15" x14ac:dyDescent="0.25">
      <c r="A26" s="14">
        <v>6</v>
      </c>
      <c r="B26" s="7">
        <v>16.611999999999998</v>
      </c>
      <c r="C26" s="7">
        <v>4.1513999999999998</v>
      </c>
      <c r="D26" s="7">
        <v>-0.9284</v>
      </c>
    </row>
    <row r="27" spans="1:15" x14ac:dyDescent="0.25">
      <c r="A27" s="14">
        <v>7</v>
      </c>
      <c r="B27" s="7">
        <v>15.914099999999999</v>
      </c>
      <c r="C27" s="7">
        <v>4.2944000000000004</v>
      </c>
      <c r="D27" s="7">
        <v>-0.74629999999999996</v>
      </c>
    </row>
    <row r="28" spans="1:15" x14ac:dyDescent="0.25">
      <c r="A28" s="14">
        <v>8</v>
      </c>
      <c r="B28" s="7">
        <v>14.9267</v>
      </c>
      <c r="C28" s="7">
        <v>4.3662999999999998</v>
      </c>
      <c r="D28" s="7">
        <v>-0.4642</v>
      </c>
    </row>
    <row r="29" spans="1:15" x14ac:dyDescent="0.25">
      <c r="A29" s="14">
        <v>9</v>
      </c>
      <c r="B29" s="7">
        <v>13.996</v>
      </c>
      <c r="C29" s="7">
        <v>4.3735999999999997</v>
      </c>
      <c r="D29" s="7">
        <v>-0.217</v>
      </c>
    </row>
    <row r="30" spans="1:15" x14ac:dyDescent="0.25">
      <c r="A30" s="14">
        <v>10</v>
      </c>
      <c r="B30" s="7">
        <v>13.2851</v>
      </c>
      <c r="C30" s="7">
        <v>4.3562000000000003</v>
      </c>
      <c r="D30" s="7">
        <v>-4.7100000000000003E-2</v>
      </c>
    </row>
    <row r="31" spans="1:15" x14ac:dyDescent="0.25">
      <c r="A31" s="14">
        <v>11</v>
      </c>
      <c r="B31" s="7">
        <v>12.501799999999999</v>
      </c>
      <c r="C31" s="7">
        <v>4.3209999999999997</v>
      </c>
      <c r="D31" s="7">
        <v>0.1196</v>
      </c>
    </row>
    <row r="32" spans="1:15" x14ac:dyDescent="0.25">
      <c r="A32" s="14">
        <v>12</v>
      </c>
      <c r="B32" s="7">
        <v>11.646100000000001</v>
      </c>
      <c r="C32" s="7">
        <v>4.2680999999999996</v>
      </c>
      <c r="D32" s="7">
        <v>0.27689999999999998</v>
      </c>
    </row>
    <row r="33" spans="1:4" x14ac:dyDescent="0.25">
      <c r="A33" s="14">
        <v>13</v>
      </c>
      <c r="B33" s="7">
        <v>10.6212</v>
      </c>
      <c r="C33" s="7">
        <v>4.1894</v>
      </c>
      <c r="D33" s="7">
        <v>0.43159999999999998</v>
      </c>
    </row>
    <row r="35" spans="1:4" x14ac:dyDescent="0.25">
      <c r="A35" s="1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BD1B-EE53-4AA1-BC62-897C3667D215}">
  <sheetPr>
    <tabColor rgb="FFFFFF66"/>
  </sheetPr>
  <dimension ref="A1:BQ13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31" sqref="T31"/>
    </sheetView>
  </sheetViews>
  <sheetFormatPr defaultColWidth="4.28515625" defaultRowHeight="13.8" x14ac:dyDescent="0.3"/>
  <cols>
    <col min="1" max="1" width="10.42578125" style="21" customWidth="1"/>
    <col min="2" max="14" width="5.42578125" style="21" customWidth="1"/>
    <col min="15" max="15" width="5.7109375" style="21" customWidth="1"/>
    <col min="16" max="27" width="4.5703125" style="21" bestFit="1" customWidth="1"/>
    <col min="28" max="28" width="5.5703125" style="21" customWidth="1"/>
    <col min="29" max="41" width="4.5703125" style="21" bestFit="1" customWidth="1"/>
    <col min="42" max="42" width="4.28515625" style="21"/>
    <col min="43" max="55" width="5.140625" style="21" bestFit="1" customWidth="1"/>
    <col min="56" max="56" width="4.28515625" style="21"/>
    <col min="57" max="61" width="9.5703125" style="21" bestFit="1" customWidth="1"/>
    <col min="62" max="69" width="10.85546875" style="21" bestFit="1" customWidth="1"/>
    <col min="70" max="16384" width="4.28515625" style="21"/>
  </cols>
  <sheetData>
    <row r="1" spans="1:69" x14ac:dyDescent="0.3">
      <c r="A1" s="25" t="s">
        <v>127</v>
      </c>
      <c r="B1" s="19" t="s">
        <v>114</v>
      </c>
      <c r="C1" s="34" t="s">
        <v>115</v>
      </c>
      <c r="D1" s="34" t="s">
        <v>116</v>
      </c>
      <c r="E1" s="34" t="s">
        <v>117</v>
      </c>
      <c r="F1" s="34" t="s">
        <v>118</v>
      </c>
      <c r="G1" s="34" t="s">
        <v>119</v>
      </c>
      <c r="H1" s="34" t="s">
        <v>120</v>
      </c>
      <c r="I1" s="34" t="s">
        <v>121</v>
      </c>
      <c r="J1" s="34" t="s">
        <v>122</v>
      </c>
      <c r="K1" s="34" t="s">
        <v>123</v>
      </c>
      <c r="L1" s="34" t="s">
        <v>124</v>
      </c>
      <c r="M1" s="19" t="s">
        <v>125</v>
      </c>
      <c r="N1" s="19" t="s">
        <v>126</v>
      </c>
      <c r="O1" s="20" t="s">
        <v>40</v>
      </c>
      <c r="P1" s="19" t="s">
        <v>41</v>
      </c>
      <c r="Q1" s="19" t="s">
        <v>42</v>
      </c>
      <c r="R1" s="19" t="s">
        <v>43</v>
      </c>
      <c r="S1" s="19" t="s">
        <v>44</v>
      </c>
      <c r="T1" s="19" t="s">
        <v>45</v>
      </c>
      <c r="U1" s="19" t="s">
        <v>46</v>
      </c>
      <c r="V1" s="19" t="s">
        <v>47</v>
      </c>
      <c r="W1" s="19" t="s">
        <v>48</v>
      </c>
      <c r="X1" s="19" t="s">
        <v>49</v>
      </c>
      <c r="Y1" s="19" t="s">
        <v>50</v>
      </c>
      <c r="Z1" s="19" t="s">
        <v>51</v>
      </c>
      <c r="AA1" s="19" t="s">
        <v>52</v>
      </c>
      <c r="AB1" s="20" t="s">
        <v>53</v>
      </c>
      <c r="AC1" s="19" t="s">
        <v>54</v>
      </c>
      <c r="AD1" s="19" t="s">
        <v>55</v>
      </c>
      <c r="AE1" s="19" t="s">
        <v>56</v>
      </c>
      <c r="AF1" s="19" t="s">
        <v>57</v>
      </c>
      <c r="AG1" s="19" t="s">
        <v>58</v>
      </c>
      <c r="AH1" s="19" t="s">
        <v>59</v>
      </c>
      <c r="AI1" s="19" t="s">
        <v>60</v>
      </c>
      <c r="AJ1" s="19" t="s">
        <v>61</v>
      </c>
      <c r="AK1" s="19" t="s">
        <v>62</v>
      </c>
      <c r="AL1" s="19" t="s">
        <v>63</v>
      </c>
      <c r="AM1" s="19" t="s">
        <v>64</v>
      </c>
      <c r="AN1" s="19" t="s">
        <v>65</v>
      </c>
      <c r="AO1" s="19" t="s">
        <v>66</v>
      </c>
      <c r="AP1" s="19" t="s">
        <v>67</v>
      </c>
      <c r="AQ1" s="19" t="s">
        <v>68</v>
      </c>
      <c r="AR1" s="19" t="s">
        <v>69</v>
      </c>
      <c r="AS1" s="19" t="s">
        <v>70</v>
      </c>
      <c r="AT1" s="19" t="s">
        <v>71</v>
      </c>
      <c r="AU1" s="19" t="s">
        <v>72</v>
      </c>
      <c r="AV1" s="19" t="s">
        <v>73</v>
      </c>
      <c r="AW1" s="19" t="s">
        <v>74</v>
      </c>
      <c r="AX1" s="19" t="s">
        <v>75</v>
      </c>
      <c r="AY1" s="19" t="s">
        <v>76</v>
      </c>
      <c r="AZ1" s="19" t="s">
        <v>77</v>
      </c>
      <c r="BA1" s="19" t="s">
        <v>78</v>
      </c>
      <c r="BB1" s="19" t="s">
        <v>79</v>
      </c>
      <c r="BC1" s="19" t="s">
        <v>80</v>
      </c>
      <c r="BD1" s="19" t="s">
        <v>67</v>
      </c>
      <c r="BE1" s="19" t="s">
        <v>81</v>
      </c>
      <c r="BF1" s="19" t="s">
        <v>82</v>
      </c>
      <c r="BG1" s="19" t="s">
        <v>83</v>
      </c>
      <c r="BH1" s="19" t="s">
        <v>84</v>
      </c>
      <c r="BI1" s="19" t="s">
        <v>85</v>
      </c>
      <c r="BJ1" s="19" t="s">
        <v>86</v>
      </c>
      <c r="BK1" s="19" t="s">
        <v>87</v>
      </c>
      <c r="BL1" s="19" t="s">
        <v>88</v>
      </c>
      <c r="BM1" s="19" t="s">
        <v>89</v>
      </c>
      <c r="BN1" s="19" t="s">
        <v>90</v>
      </c>
      <c r="BO1" s="19" t="s">
        <v>91</v>
      </c>
      <c r="BP1" s="19" t="s">
        <v>92</v>
      </c>
      <c r="BQ1" s="19" t="s">
        <v>93</v>
      </c>
    </row>
    <row r="2" spans="1:69" x14ac:dyDescent="0.3">
      <c r="A2" s="22">
        <v>0</v>
      </c>
      <c r="B2" s="17">
        <v>1</v>
      </c>
      <c r="C2" s="17">
        <v>1</v>
      </c>
      <c r="D2" s="17">
        <v>1</v>
      </c>
      <c r="E2" s="17">
        <v>1</v>
      </c>
      <c r="F2" s="17">
        <v>1</v>
      </c>
      <c r="G2" s="17">
        <v>1</v>
      </c>
      <c r="H2" s="17">
        <v>1</v>
      </c>
      <c r="I2" s="17">
        <v>1</v>
      </c>
      <c r="J2" s="17">
        <v>1</v>
      </c>
      <c r="K2" s="17">
        <v>1</v>
      </c>
      <c r="L2" s="17">
        <v>1</v>
      </c>
      <c r="M2" s="17">
        <v>1</v>
      </c>
      <c r="N2" s="17">
        <v>1</v>
      </c>
      <c r="O2" s="23"/>
      <c r="P2" s="23">
        <f t="shared" ref="P2:P28" si="0">(B2-C2)</f>
        <v>0</v>
      </c>
      <c r="Q2" s="23">
        <f t="shared" ref="Q2:Q28" si="1">(C2-D2)</f>
        <v>0</v>
      </c>
      <c r="R2" s="23">
        <f t="shared" ref="R2:R28" si="2">(D2-E2)</f>
        <v>0</v>
      </c>
      <c r="S2" s="23">
        <f t="shared" ref="S2:S28" si="3">(E2-F2)</f>
        <v>0</v>
      </c>
      <c r="T2" s="23">
        <f t="shared" ref="T2:T28" si="4">(F2-G2)</f>
        <v>0</v>
      </c>
      <c r="U2" s="23">
        <f t="shared" ref="U2:U28" si="5">(G2-H2)</f>
        <v>0</v>
      </c>
      <c r="V2" s="23">
        <f t="shared" ref="V2:V28" si="6">(H2-I2)</f>
        <v>0</v>
      </c>
      <c r="W2" s="23">
        <f t="shared" ref="W2:W28" si="7">(I2-J2)</f>
        <v>0</v>
      </c>
      <c r="X2" s="23">
        <f t="shared" ref="X2:X28" si="8">(J2-K2)</f>
        <v>0</v>
      </c>
      <c r="Y2" s="23">
        <f t="shared" ref="Y2:Y28" si="9">(K2-L2)</f>
        <v>0</v>
      </c>
      <c r="Z2" s="23">
        <f t="shared" ref="Z2:Z28" si="10">(L2-M2)</f>
        <v>0</v>
      </c>
      <c r="AA2" s="23">
        <f t="shared" ref="AA2:AA28" si="11">(M2-N2)</f>
        <v>0</v>
      </c>
      <c r="AB2" s="23"/>
      <c r="AC2" s="23">
        <f t="shared" ref="AC2:AC27" si="12">(B3-B2)</f>
        <v>0</v>
      </c>
      <c r="AD2" s="23">
        <f t="shared" ref="AD2:AD27" si="13">(C3-C2)</f>
        <v>0</v>
      </c>
      <c r="AE2" s="23">
        <f t="shared" ref="AE2:AE27" si="14">(D3-D2)</f>
        <v>0</v>
      </c>
      <c r="AF2" s="23">
        <f t="shared" ref="AF2:AF27" si="15">(E3-E2)</f>
        <v>0</v>
      </c>
      <c r="AG2" s="23">
        <f t="shared" ref="AG2:AG27" si="16">(F3-F2)</f>
        <v>0</v>
      </c>
      <c r="AH2" s="23">
        <f t="shared" ref="AH2:AH27" si="17">(G3-G2)</f>
        <v>0</v>
      </c>
      <c r="AI2" s="23">
        <f t="shared" ref="AI2:AI27" si="18">(H3-H2)</f>
        <v>0</v>
      </c>
      <c r="AJ2" s="23">
        <f t="shared" ref="AJ2:AJ27" si="19">(I3-I2)</f>
        <v>1</v>
      </c>
      <c r="AK2" s="23">
        <f t="shared" ref="AK2:AK27" si="20">(J3-J2)</f>
        <v>1</v>
      </c>
      <c r="AL2" s="23">
        <f t="shared" ref="AL2:AL27" si="21">(K3-K2)</f>
        <v>1</v>
      </c>
      <c r="AM2" s="23">
        <f t="shared" ref="AM2:AM27" si="22">(L3-L2)</f>
        <v>1</v>
      </c>
      <c r="AN2" s="23">
        <f t="shared" ref="AN2:AN27" si="23">(M3-M2)</f>
        <v>1</v>
      </c>
      <c r="AO2" s="23">
        <f t="shared" ref="AO2:AO27" si="24">(N3-N2)</f>
        <v>1</v>
      </c>
      <c r="AP2" s="23"/>
      <c r="AQ2" s="23">
        <f t="shared" ref="AQ2:AQ28" si="25">B2^2</f>
        <v>1</v>
      </c>
      <c r="AR2" s="23">
        <f t="shared" ref="AR2:AR28" si="26">C2^2</f>
        <v>1</v>
      </c>
      <c r="AS2" s="23">
        <f t="shared" ref="AS2:AS28" si="27">D2^2</f>
        <v>1</v>
      </c>
      <c r="AT2" s="23">
        <f t="shared" ref="AT2:AT28" si="28">E2^2</f>
        <v>1</v>
      </c>
      <c r="AU2" s="23">
        <f t="shared" ref="AU2:AU28" si="29">F2^2</f>
        <v>1</v>
      </c>
      <c r="AV2" s="23">
        <f t="shared" ref="AV2:AV28" si="30">G2^2</f>
        <v>1</v>
      </c>
      <c r="AW2" s="23">
        <f t="shared" ref="AW2:AW28" si="31">H2^2</f>
        <v>1</v>
      </c>
      <c r="AX2" s="23">
        <f t="shared" ref="AX2:AX28" si="32">I2^2</f>
        <v>1</v>
      </c>
      <c r="AY2" s="23">
        <f t="shared" ref="AY2:AY28" si="33">J2^2</f>
        <v>1</v>
      </c>
      <c r="AZ2" s="23">
        <f t="shared" ref="AZ2:AZ28" si="34">K2^2</f>
        <v>1</v>
      </c>
      <c r="BA2" s="23">
        <f t="shared" ref="BA2:BA28" si="35">L2^2</f>
        <v>1</v>
      </c>
      <c r="BB2" s="23">
        <f t="shared" ref="BB2:BB28" si="36">M2^2</f>
        <v>1</v>
      </c>
      <c r="BC2" s="23">
        <f t="shared" ref="BC2:BC28" si="37">N2^2</f>
        <v>1</v>
      </c>
      <c r="BD2" s="23"/>
      <c r="BE2" s="23">
        <v>8.0000000000000007E-5</v>
      </c>
      <c r="BF2" s="23">
        <v>1.2E-4</v>
      </c>
      <c r="BG2" s="23">
        <v>2.4000000000000001E-4</v>
      </c>
      <c r="BH2" s="23">
        <v>4.8999999999999998E-4</v>
      </c>
      <c r="BI2" s="23">
        <v>7.6000000000000004E-4</v>
      </c>
      <c r="BJ2" s="23">
        <v>1.054E-3</v>
      </c>
      <c r="BK2" s="23">
        <v>1.276E-3</v>
      </c>
      <c r="BL2" s="23">
        <v>1.48E-3</v>
      </c>
      <c r="BM2" s="23">
        <v>1.743E-3</v>
      </c>
      <c r="BN2" s="23">
        <v>1.926E-3</v>
      </c>
      <c r="BO2" s="23">
        <v>1.5989999999999999E-3</v>
      </c>
      <c r="BP2" s="23">
        <v>7.2199999999999999E-4</v>
      </c>
      <c r="BQ2" s="23">
        <v>0</v>
      </c>
    </row>
    <row r="3" spans="1:69" x14ac:dyDescent="0.3">
      <c r="A3" s="22">
        <v>1</v>
      </c>
      <c r="B3">
        <v>1</v>
      </c>
      <c r="C3">
        <v>1</v>
      </c>
      <c r="D3" s="18">
        <v>1</v>
      </c>
      <c r="E3">
        <v>1</v>
      </c>
      <c r="F3" s="18">
        <v>1</v>
      </c>
      <c r="G3">
        <v>1</v>
      </c>
      <c r="H3">
        <v>1</v>
      </c>
      <c r="I3" s="18">
        <v>2</v>
      </c>
      <c r="J3">
        <v>2</v>
      </c>
      <c r="K3">
        <v>2</v>
      </c>
      <c r="L3">
        <v>2</v>
      </c>
      <c r="M3">
        <v>2</v>
      </c>
      <c r="N3">
        <v>2</v>
      </c>
      <c r="O3" s="23"/>
      <c r="P3" s="23">
        <f t="shared" si="0"/>
        <v>0</v>
      </c>
      <c r="Q3" s="23">
        <f t="shared" si="1"/>
        <v>0</v>
      </c>
      <c r="R3" s="23">
        <f t="shared" si="2"/>
        <v>0</v>
      </c>
      <c r="S3" s="23">
        <f t="shared" si="3"/>
        <v>0</v>
      </c>
      <c r="T3" s="23">
        <f t="shared" si="4"/>
        <v>0</v>
      </c>
      <c r="U3" s="23">
        <f t="shared" si="5"/>
        <v>0</v>
      </c>
      <c r="V3" s="23">
        <f t="shared" si="6"/>
        <v>-1</v>
      </c>
      <c r="W3" s="23">
        <f t="shared" si="7"/>
        <v>0</v>
      </c>
      <c r="X3" s="23">
        <f t="shared" si="8"/>
        <v>0</v>
      </c>
      <c r="Y3" s="23">
        <f t="shared" si="9"/>
        <v>0</v>
      </c>
      <c r="Z3" s="23">
        <f t="shared" si="10"/>
        <v>0</v>
      </c>
      <c r="AA3" s="23">
        <f t="shared" si="11"/>
        <v>0</v>
      </c>
      <c r="AB3" s="23"/>
      <c r="AC3" s="23">
        <f t="shared" si="12"/>
        <v>0</v>
      </c>
      <c r="AD3" s="23">
        <f t="shared" si="13"/>
        <v>0</v>
      </c>
      <c r="AE3" s="23">
        <f t="shared" si="14"/>
        <v>0</v>
      </c>
      <c r="AF3" s="23">
        <f t="shared" si="15"/>
        <v>0</v>
      </c>
      <c r="AG3" s="23">
        <f t="shared" si="16"/>
        <v>0</v>
      </c>
      <c r="AH3" s="23">
        <f t="shared" si="17"/>
        <v>0</v>
      </c>
      <c r="AI3" s="23">
        <f t="shared" si="18"/>
        <v>1</v>
      </c>
      <c r="AJ3" s="23">
        <f t="shared" si="19"/>
        <v>0</v>
      </c>
      <c r="AK3" s="23">
        <f t="shared" si="20"/>
        <v>0</v>
      </c>
      <c r="AL3" s="23">
        <f t="shared" si="21"/>
        <v>0</v>
      </c>
      <c r="AM3" s="23">
        <f t="shared" si="22"/>
        <v>0</v>
      </c>
      <c r="AN3" s="23">
        <f t="shared" si="23"/>
        <v>0</v>
      </c>
      <c r="AO3" s="23">
        <f t="shared" si="24"/>
        <v>1</v>
      </c>
      <c r="AP3" s="23"/>
      <c r="AQ3" s="23">
        <f t="shared" si="25"/>
        <v>1</v>
      </c>
      <c r="AR3" s="23">
        <f t="shared" si="26"/>
        <v>1</v>
      </c>
      <c r="AS3" s="23">
        <f t="shared" si="27"/>
        <v>1</v>
      </c>
      <c r="AT3" s="23">
        <f t="shared" si="28"/>
        <v>1</v>
      </c>
      <c r="AU3" s="23">
        <f t="shared" si="29"/>
        <v>1</v>
      </c>
      <c r="AV3" s="23">
        <f t="shared" si="30"/>
        <v>1</v>
      </c>
      <c r="AW3" s="23">
        <f t="shared" si="31"/>
        <v>1</v>
      </c>
      <c r="AX3" s="23">
        <f t="shared" si="32"/>
        <v>4</v>
      </c>
      <c r="AY3" s="23">
        <f t="shared" si="33"/>
        <v>4</v>
      </c>
      <c r="AZ3" s="23">
        <f t="shared" si="34"/>
        <v>4</v>
      </c>
      <c r="BA3" s="23">
        <f t="shared" si="35"/>
        <v>4</v>
      </c>
      <c r="BB3" s="23">
        <f t="shared" si="36"/>
        <v>4</v>
      </c>
      <c r="BC3" s="23">
        <f t="shared" si="37"/>
        <v>4</v>
      </c>
      <c r="BD3" s="23"/>
      <c r="BE3" s="23">
        <v>1.2999999999999999E-4</v>
      </c>
      <c r="BF3" s="23">
        <v>1.8000000000000001E-4</v>
      </c>
      <c r="BG3" s="23">
        <v>2.9999999999999997E-4</v>
      </c>
      <c r="BH3" s="23">
        <v>5.1999999999999995E-4</v>
      </c>
      <c r="BI3" s="23">
        <v>8.3000000000000001E-4</v>
      </c>
      <c r="BJ3" s="23">
        <v>1.4239999999999999E-3</v>
      </c>
      <c r="BK3" s="23">
        <v>1.8240000000000001E-3</v>
      </c>
      <c r="BL3" s="23">
        <v>2.2009999999999998E-3</v>
      </c>
      <c r="BM3" s="23">
        <v>2.1389999999999998E-3</v>
      </c>
      <c r="BN3" s="23">
        <v>1.9910000000000001E-3</v>
      </c>
      <c r="BO3" s="23">
        <v>2.0820000000000001E-3</v>
      </c>
      <c r="BP3" s="23">
        <v>2.3530000000000001E-3</v>
      </c>
      <c r="BQ3" s="23">
        <v>2.6150000000000001E-3</v>
      </c>
    </row>
    <row r="4" spans="1:69" x14ac:dyDescent="0.3">
      <c r="A4" s="22">
        <v>2</v>
      </c>
      <c r="B4">
        <v>1</v>
      </c>
      <c r="C4">
        <v>1</v>
      </c>
      <c r="D4">
        <v>1</v>
      </c>
      <c r="E4">
        <v>1</v>
      </c>
      <c r="F4">
        <v>1</v>
      </c>
      <c r="G4" s="18">
        <v>1</v>
      </c>
      <c r="H4">
        <v>2</v>
      </c>
      <c r="I4" s="18">
        <v>2</v>
      </c>
      <c r="J4">
        <v>2</v>
      </c>
      <c r="K4">
        <v>2</v>
      </c>
      <c r="L4">
        <v>2</v>
      </c>
      <c r="M4">
        <v>2</v>
      </c>
      <c r="N4" s="18">
        <v>3</v>
      </c>
      <c r="O4" s="23"/>
      <c r="P4" s="23">
        <f t="shared" si="0"/>
        <v>0</v>
      </c>
      <c r="Q4" s="23">
        <f t="shared" si="1"/>
        <v>0</v>
      </c>
      <c r="R4" s="23">
        <f t="shared" si="2"/>
        <v>0</v>
      </c>
      <c r="S4" s="23">
        <f t="shared" si="3"/>
        <v>0</v>
      </c>
      <c r="T4" s="23">
        <f t="shared" si="4"/>
        <v>0</v>
      </c>
      <c r="U4" s="23">
        <f t="shared" si="5"/>
        <v>-1</v>
      </c>
      <c r="V4" s="23">
        <f t="shared" si="6"/>
        <v>0</v>
      </c>
      <c r="W4" s="23">
        <f t="shared" si="7"/>
        <v>0</v>
      </c>
      <c r="X4" s="23">
        <f t="shared" si="8"/>
        <v>0</v>
      </c>
      <c r="Y4" s="23">
        <f t="shared" si="9"/>
        <v>0</v>
      </c>
      <c r="Z4" s="23">
        <f t="shared" si="10"/>
        <v>0</v>
      </c>
      <c r="AA4" s="23">
        <f t="shared" si="11"/>
        <v>-1</v>
      </c>
      <c r="AB4" s="23"/>
      <c r="AC4" s="23">
        <f t="shared" si="12"/>
        <v>1</v>
      </c>
      <c r="AD4" s="23">
        <f t="shared" si="13"/>
        <v>1</v>
      </c>
      <c r="AE4" s="23">
        <f t="shared" si="14"/>
        <v>1</v>
      </c>
      <c r="AF4" s="23">
        <f t="shared" si="15"/>
        <v>1</v>
      </c>
      <c r="AG4" s="23">
        <f t="shared" si="16"/>
        <v>1</v>
      </c>
      <c r="AH4" s="23">
        <f t="shared" si="17"/>
        <v>1</v>
      </c>
      <c r="AI4" s="23">
        <f t="shared" si="18"/>
        <v>0</v>
      </c>
      <c r="AJ4" s="23">
        <f t="shared" si="19"/>
        <v>1</v>
      </c>
      <c r="AK4" s="23">
        <f t="shared" si="20"/>
        <v>1</v>
      </c>
      <c r="AL4" s="23">
        <f t="shared" si="21"/>
        <v>1</v>
      </c>
      <c r="AM4" s="23">
        <f t="shared" si="22"/>
        <v>1</v>
      </c>
      <c r="AN4" s="23">
        <f t="shared" si="23"/>
        <v>1</v>
      </c>
      <c r="AO4" s="23">
        <f t="shared" si="24"/>
        <v>1</v>
      </c>
      <c r="AP4" s="23"/>
      <c r="AQ4" s="23">
        <f t="shared" si="25"/>
        <v>1</v>
      </c>
      <c r="AR4" s="23">
        <f t="shared" si="26"/>
        <v>1</v>
      </c>
      <c r="AS4" s="23">
        <f t="shared" si="27"/>
        <v>1</v>
      </c>
      <c r="AT4" s="23">
        <f t="shared" si="28"/>
        <v>1</v>
      </c>
      <c r="AU4" s="23">
        <f t="shared" si="29"/>
        <v>1</v>
      </c>
      <c r="AV4" s="23">
        <f t="shared" si="30"/>
        <v>1</v>
      </c>
      <c r="AW4" s="23">
        <f t="shared" si="31"/>
        <v>4</v>
      </c>
      <c r="AX4" s="23">
        <f t="shared" si="32"/>
        <v>4</v>
      </c>
      <c r="AY4" s="23">
        <f t="shared" si="33"/>
        <v>4</v>
      </c>
      <c r="AZ4" s="23">
        <f t="shared" si="34"/>
        <v>4</v>
      </c>
      <c r="BA4" s="23">
        <f t="shared" si="35"/>
        <v>4</v>
      </c>
      <c r="BB4" s="23">
        <f t="shared" si="36"/>
        <v>4</v>
      </c>
      <c r="BC4" s="23">
        <f t="shared" si="37"/>
        <v>9</v>
      </c>
      <c r="BD4" s="23"/>
      <c r="BE4" s="23">
        <v>2.7999999999999998E-4</v>
      </c>
      <c r="BF4" s="23">
        <v>3.8000000000000002E-4</v>
      </c>
      <c r="BG4" s="23">
        <v>5.8E-4</v>
      </c>
      <c r="BH4" s="23">
        <v>8.9999999999999998E-4</v>
      </c>
      <c r="BI4" s="23">
        <v>1.1999999999999999E-3</v>
      </c>
      <c r="BJ4" s="23">
        <v>1.534E-3</v>
      </c>
      <c r="BK4" s="23">
        <v>2.026E-3</v>
      </c>
      <c r="BL4" s="23">
        <v>2.3280000000000002E-3</v>
      </c>
      <c r="BM4" s="23">
        <v>2.9629999999999999E-3</v>
      </c>
      <c r="BN4" s="23">
        <v>3.467E-3</v>
      </c>
      <c r="BO4" s="23">
        <v>4.1339999999999997E-3</v>
      </c>
      <c r="BP4" s="23">
        <v>5.4330000000000003E-3</v>
      </c>
      <c r="BQ4" s="23">
        <v>8.9969999999999998E-3</v>
      </c>
    </row>
    <row r="5" spans="1:69" x14ac:dyDescent="0.3">
      <c r="A5" s="22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 s="18">
        <v>3</v>
      </c>
      <c r="J5">
        <v>3</v>
      </c>
      <c r="K5">
        <v>3</v>
      </c>
      <c r="L5" s="18">
        <v>3</v>
      </c>
      <c r="M5">
        <v>3</v>
      </c>
      <c r="N5">
        <v>4</v>
      </c>
      <c r="O5" s="23"/>
      <c r="P5" s="23">
        <f t="shared" si="0"/>
        <v>0</v>
      </c>
      <c r="Q5" s="23">
        <f t="shared" si="1"/>
        <v>0</v>
      </c>
      <c r="R5" s="23">
        <f t="shared" si="2"/>
        <v>0</v>
      </c>
      <c r="S5" s="23">
        <f t="shared" si="3"/>
        <v>0</v>
      </c>
      <c r="T5" s="23">
        <f t="shared" si="4"/>
        <v>0</v>
      </c>
      <c r="U5" s="23">
        <f t="shared" si="5"/>
        <v>0</v>
      </c>
      <c r="V5" s="23">
        <f t="shared" si="6"/>
        <v>-1</v>
      </c>
      <c r="W5" s="23">
        <f t="shared" si="7"/>
        <v>0</v>
      </c>
      <c r="X5" s="23">
        <f t="shared" si="8"/>
        <v>0</v>
      </c>
      <c r="Y5" s="23">
        <f t="shared" si="9"/>
        <v>0</v>
      </c>
      <c r="Z5" s="23">
        <f t="shared" si="10"/>
        <v>0</v>
      </c>
      <c r="AA5" s="23">
        <f t="shared" si="11"/>
        <v>-1</v>
      </c>
      <c r="AB5" s="23"/>
      <c r="AC5" s="23">
        <f t="shared" si="12"/>
        <v>0</v>
      </c>
      <c r="AD5" s="23">
        <f t="shared" si="13"/>
        <v>0</v>
      </c>
      <c r="AE5" s="23">
        <f t="shared" si="14"/>
        <v>0</v>
      </c>
      <c r="AF5" s="23">
        <f t="shared" si="15"/>
        <v>0</v>
      </c>
      <c r="AG5" s="23">
        <f t="shared" si="16"/>
        <v>0</v>
      </c>
      <c r="AH5" s="23">
        <f t="shared" si="17"/>
        <v>0</v>
      </c>
      <c r="AI5" s="23">
        <f t="shared" si="18"/>
        <v>1</v>
      </c>
      <c r="AJ5" s="23">
        <f t="shared" si="19"/>
        <v>0</v>
      </c>
      <c r="AK5" s="23">
        <f t="shared" si="20"/>
        <v>0</v>
      </c>
      <c r="AL5" s="23">
        <f t="shared" si="21"/>
        <v>1</v>
      </c>
      <c r="AM5" s="23">
        <f t="shared" si="22"/>
        <v>1</v>
      </c>
      <c r="AN5" s="23">
        <f t="shared" si="23"/>
        <v>1</v>
      </c>
      <c r="AO5" s="23">
        <f t="shared" si="24"/>
        <v>0</v>
      </c>
      <c r="AP5" s="23"/>
      <c r="AQ5" s="23">
        <f t="shared" si="25"/>
        <v>4</v>
      </c>
      <c r="AR5" s="23">
        <f t="shared" si="26"/>
        <v>4</v>
      </c>
      <c r="AS5" s="23">
        <f t="shared" si="27"/>
        <v>4</v>
      </c>
      <c r="AT5" s="23">
        <f t="shared" si="28"/>
        <v>4</v>
      </c>
      <c r="AU5" s="23">
        <f t="shared" si="29"/>
        <v>4</v>
      </c>
      <c r="AV5" s="23">
        <f t="shared" si="30"/>
        <v>4</v>
      </c>
      <c r="AW5" s="23">
        <f t="shared" si="31"/>
        <v>4</v>
      </c>
      <c r="AX5" s="23">
        <f t="shared" si="32"/>
        <v>9</v>
      </c>
      <c r="AY5" s="23">
        <f t="shared" si="33"/>
        <v>9</v>
      </c>
      <c r="AZ5" s="23">
        <f t="shared" si="34"/>
        <v>9</v>
      </c>
      <c r="BA5" s="23">
        <f t="shared" si="35"/>
        <v>9</v>
      </c>
      <c r="BB5" s="23">
        <f t="shared" si="36"/>
        <v>9</v>
      </c>
      <c r="BC5" s="23">
        <f t="shared" si="37"/>
        <v>16</v>
      </c>
      <c r="BD5" s="23"/>
      <c r="BE5" s="23">
        <v>5.4000000000000001E-4</v>
      </c>
      <c r="BF5" s="23">
        <v>6.9999999999999999E-4</v>
      </c>
      <c r="BG5" s="23">
        <v>1E-3</v>
      </c>
      <c r="BH5" s="23">
        <v>1.41E-3</v>
      </c>
      <c r="BI5" s="23">
        <v>1.74E-3</v>
      </c>
      <c r="BJ5" s="23">
        <v>2.078E-3</v>
      </c>
      <c r="BK5" s="23">
        <v>2.5630000000000002E-3</v>
      </c>
      <c r="BL5" s="23">
        <v>3.6359999999999999E-3</v>
      </c>
      <c r="BM5" s="23">
        <v>4.8809999999999999E-3</v>
      </c>
      <c r="BN5" s="23">
        <v>5.9540000000000001E-3</v>
      </c>
      <c r="BO5" s="23">
        <v>7.5919999999999998E-3</v>
      </c>
      <c r="BP5" s="23">
        <v>1.0718E-2</v>
      </c>
      <c r="BQ5" s="23">
        <v>1.7905999999999998E-2</v>
      </c>
    </row>
    <row r="6" spans="1:69" x14ac:dyDescent="0.3">
      <c r="A6" s="22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 s="18">
        <v>3</v>
      </c>
      <c r="I6" s="18">
        <v>3</v>
      </c>
      <c r="J6" s="18">
        <v>3</v>
      </c>
      <c r="K6" s="18">
        <v>4</v>
      </c>
      <c r="L6" s="18">
        <v>4</v>
      </c>
      <c r="M6">
        <v>4</v>
      </c>
      <c r="N6" s="18">
        <v>4</v>
      </c>
      <c r="O6" s="23"/>
      <c r="P6" s="23">
        <f t="shared" si="0"/>
        <v>0</v>
      </c>
      <c r="Q6" s="23">
        <f t="shared" si="1"/>
        <v>0</v>
      </c>
      <c r="R6" s="23">
        <f t="shared" si="2"/>
        <v>0</v>
      </c>
      <c r="S6" s="23">
        <f t="shared" si="3"/>
        <v>0</v>
      </c>
      <c r="T6" s="23">
        <f t="shared" si="4"/>
        <v>0</v>
      </c>
      <c r="U6" s="23">
        <f t="shared" si="5"/>
        <v>-1</v>
      </c>
      <c r="V6" s="23">
        <f t="shared" si="6"/>
        <v>0</v>
      </c>
      <c r="W6" s="23">
        <f t="shared" si="7"/>
        <v>0</v>
      </c>
      <c r="X6" s="23">
        <f t="shared" si="8"/>
        <v>-1</v>
      </c>
      <c r="Y6" s="23">
        <f t="shared" si="9"/>
        <v>0</v>
      </c>
      <c r="Z6" s="23">
        <f t="shared" si="10"/>
        <v>0</v>
      </c>
      <c r="AA6" s="23">
        <f t="shared" si="11"/>
        <v>0</v>
      </c>
      <c r="AB6" s="23"/>
      <c r="AC6" s="23">
        <f t="shared" si="12"/>
        <v>0</v>
      </c>
      <c r="AD6" s="23">
        <f t="shared" si="13"/>
        <v>0</v>
      </c>
      <c r="AE6" s="23">
        <f t="shared" si="14"/>
        <v>0</v>
      </c>
      <c r="AF6" s="23">
        <f t="shared" si="15"/>
        <v>0</v>
      </c>
      <c r="AG6" s="23">
        <f t="shared" si="16"/>
        <v>1</v>
      </c>
      <c r="AH6" s="23">
        <f t="shared" si="17"/>
        <v>1</v>
      </c>
      <c r="AI6" s="23">
        <f t="shared" si="18"/>
        <v>0</v>
      </c>
      <c r="AJ6" s="23">
        <f t="shared" si="19"/>
        <v>1</v>
      </c>
      <c r="AK6" s="23">
        <f t="shared" si="20"/>
        <v>1</v>
      </c>
      <c r="AL6" s="23">
        <f t="shared" si="21"/>
        <v>0</v>
      </c>
      <c r="AM6" s="23">
        <f t="shared" si="22"/>
        <v>0</v>
      </c>
      <c r="AN6" s="23">
        <f t="shared" si="23"/>
        <v>0</v>
      </c>
      <c r="AO6" s="23">
        <f t="shared" si="24"/>
        <v>1</v>
      </c>
      <c r="AP6" s="23"/>
      <c r="AQ6" s="23">
        <f t="shared" si="25"/>
        <v>4</v>
      </c>
      <c r="AR6" s="23">
        <f t="shared" si="26"/>
        <v>4</v>
      </c>
      <c r="AS6" s="23">
        <f t="shared" si="27"/>
        <v>4</v>
      </c>
      <c r="AT6" s="23">
        <f t="shared" si="28"/>
        <v>4</v>
      </c>
      <c r="AU6" s="23">
        <f t="shared" si="29"/>
        <v>4</v>
      </c>
      <c r="AV6" s="23">
        <f t="shared" si="30"/>
        <v>4</v>
      </c>
      <c r="AW6" s="23">
        <f t="shared" si="31"/>
        <v>9</v>
      </c>
      <c r="AX6" s="23">
        <f t="shared" si="32"/>
        <v>9</v>
      </c>
      <c r="AY6" s="23">
        <f t="shared" si="33"/>
        <v>9</v>
      </c>
      <c r="AZ6" s="23">
        <f t="shared" si="34"/>
        <v>16</v>
      </c>
      <c r="BA6" s="23">
        <f t="shared" si="35"/>
        <v>16</v>
      </c>
      <c r="BB6" s="23">
        <f t="shared" si="36"/>
        <v>16</v>
      </c>
      <c r="BC6" s="23">
        <f t="shared" si="37"/>
        <v>16</v>
      </c>
      <c r="BD6" s="23"/>
      <c r="BE6" s="23">
        <v>9.7000000000000005E-4</v>
      </c>
      <c r="BF6" s="23">
        <v>1.1900000000000001E-3</v>
      </c>
      <c r="BG6" s="23">
        <v>1.56E-3</v>
      </c>
      <c r="BH6" s="23">
        <v>2E-3</v>
      </c>
      <c r="BI6" s="23">
        <v>2.32E-3</v>
      </c>
      <c r="BJ6" s="23">
        <v>2.7100000000000002E-3</v>
      </c>
      <c r="BK6" s="23">
        <v>3.6649999999999999E-3</v>
      </c>
      <c r="BL6" s="23">
        <v>5.6449999999999998E-3</v>
      </c>
      <c r="BM6" s="23">
        <v>7.7749999999999998E-3</v>
      </c>
      <c r="BN6" s="23">
        <v>9.7529999999999995E-3</v>
      </c>
      <c r="BO6" s="23">
        <v>1.2952999999999999E-2</v>
      </c>
      <c r="BP6" s="23">
        <v>1.8752999999999999E-2</v>
      </c>
      <c r="BQ6" s="23">
        <v>3.0377000000000001E-2</v>
      </c>
    </row>
    <row r="7" spans="1:69" x14ac:dyDescent="0.3">
      <c r="A7" s="22">
        <v>5</v>
      </c>
      <c r="B7">
        <v>2</v>
      </c>
      <c r="C7">
        <v>2</v>
      </c>
      <c r="D7" s="18">
        <v>2</v>
      </c>
      <c r="E7">
        <v>2</v>
      </c>
      <c r="F7" s="18">
        <v>3</v>
      </c>
      <c r="G7" s="18">
        <v>3</v>
      </c>
      <c r="H7" s="18">
        <v>3</v>
      </c>
      <c r="I7">
        <v>4</v>
      </c>
      <c r="J7">
        <v>4</v>
      </c>
      <c r="K7" s="18">
        <v>4</v>
      </c>
      <c r="L7">
        <v>4</v>
      </c>
      <c r="M7" s="18">
        <v>4</v>
      </c>
      <c r="N7">
        <v>5</v>
      </c>
      <c r="O7" s="23"/>
      <c r="P7" s="23">
        <f t="shared" si="0"/>
        <v>0</v>
      </c>
      <c r="Q7" s="23">
        <f t="shared" si="1"/>
        <v>0</v>
      </c>
      <c r="R7" s="23">
        <f t="shared" si="2"/>
        <v>0</v>
      </c>
      <c r="S7" s="23">
        <f t="shared" si="3"/>
        <v>-1</v>
      </c>
      <c r="T7" s="23">
        <f t="shared" si="4"/>
        <v>0</v>
      </c>
      <c r="U7" s="23">
        <f t="shared" si="5"/>
        <v>0</v>
      </c>
      <c r="V7" s="23">
        <f t="shared" si="6"/>
        <v>-1</v>
      </c>
      <c r="W7" s="23">
        <f t="shared" si="7"/>
        <v>0</v>
      </c>
      <c r="X7" s="23">
        <f t="shared" si="8"/>
        <v>0</v>
      </c>
      <c r="Y7" s="23">
        <f t="shared" si="9"/>
        <v>0</v>
      </c>
      <c r="Z7" s="23">
        <f t="shared" si="10"/>
        <v>0</v>
      </c>
      <c r="AA7" s="23">
        <f t="shared" si="11"/>
        <v>-1</v>
      </c>
      <c r="AB7" s="23"/>
      <c r="AC7" s="23">
        <f t="shared" si="12"/>
        <v>1</v>
      </c>
      <c r="AD7" s="23">
        <f t="shared" si="13"/>
        <v>1</v>
      </c>
      <c r="AE7" s="23">
        <f t="shared" si="14"/>
        <v>1</v>
      </c>
      <c r="AF7" s="23">
        <f t="shared" si="15"/>
        <v>1</v>
      </c>
      <c r="AG7" s="23">
        <f t="shared" si="16"/>
        <v>0</v>
      </c>
      <c r="AH7" s="23">
        <f t="shared" si="17"/>
        <v>0</v>
      </c>
      <c r="AI7" s="23">
        <f t="shared" si="18"/>
        <v>1</v>
      </c>
      <c r="AJ7" s="23">
        <f t="shared" si="19"/>
        <v>0</v>
      </c>
      <c r="AK7" s="23">
        <f t="shared" si="20"/>
        <v>0</v>
      </c>
      <c r="AL7" s="23">
        <f t="shared" si="21"/>
        <v>1</v>
      </c>
      <c r="AM7" s="23">
        <f t="shared" si="22"/>
        <v>1</v>
      </c>
      <c r="AN7" s="23">
        <f t="shared" si="23"/>
        <v>1</v>
      </c>
      <c r="AO7" s="23">
        <f t="shared" si="24"/>
        <v>1</v>
      </c>
      <c r="AP7" s="23"/>
      <c r="AQ7" s="23">
        <f t="shared" si="25"/>
        <v>4</v>
      </c>
      <c r="AR7" s="23">
        <f t="shared" si="26"/>
        <v>4</v>
      </c>
      <c r="AS7" s="23">
        <f t="shared" si="27"/>
        <v>4</v>
      </c>
      <c r="AT7" s="23">
        <f t="shared" si="28"/>
        <v>4</v>
      </c>
      <c r="AU7" s="23">
        <f t="shared" si="29"/>
        <v>9</v>
      </c>
      <c r="AV7" s="23">
        <f t="shared" si="30"/>
        <v>9</v>
      </c>
      <c r="AW7" s="23">
        <f t="shared" si="31"/>
        <v>9</v>
      </c>
      <c r="AX7" s="23">
        <f t="shared" si="32"/>
        <v>16</v>
      </c>
      <c r="AY7" s="23">
        <f t="shared" si="33"/>
        <v>16</v>
      </c>
      <c r="AZ7" s="23">
        <f t="shared" si="34"/>
        <v>16</v>
      </c>
      <c r="BA7" s="23">
        <f t="shared" si="35"/>
        <v>16</v>
      </c>
      <c r="BB7" s="23">
        <f t="shared" si="36"/>
        <v>16</v>
      </c>
      <c r="BC7" s="23">
        <f t="shared" si="37"/>
        <v>25</v>
      </c>
      <c r="BD7" s="23"/>
      <c r="BE7" s="23">
        <v>1.6000000000000001E-3</v>
      </c>
      <c r="BF7" s="23">
        <v>1.8600000000000001E-3</v>
      </c>
      <c r="BG7" s="23">
        <v>2.2599999999999999E-3</v>
      </c>
      <c r="BH7" s="23">
        <v>2.6700000000000001E-3</v>
      </c>
      <c r="BI7" s="23">
        <v>2.99E-3</v>
      </c>
      <c r="BJ7" s="23">
        <v>3.6120000000000002E-3</v>
      </c>
      <c r="BK7" s="23">
        <v>5.45E-3</v>
      </c>
      <c r="BL7" s="23">
        <v>8.6470000000000002E-3</v>
      </c>
      <c r="BM7" s="23">
        <v>1.1946999999999999E-2</v>
      </c>
      <c r="BN7" s="23">
        <v>1.5228E-2</v>
      </c>
      <c r="BO7" s="23">
        <v>2.0604000000000001E-2</v>
      </c>
      <c r="BP7" s="23">
        <v>2.9675E-2</v>
      </c>
      <c r="BQ7" s="23">
        <v>4.5584E-2</v>
      </c>
    </row>
    <row r="8" spans="1:69" x14ac:dyDescent="0.3">
      <c r="A8" s="22">
        <v>6</v>
      </c>
      <c r="B8" s="18">
        <v>3</v>
      </c>
      <c r="C8" s="15">
        <v>3</v>
      </c>
      <c r="D8" s="18">
        <v>3</v>
      </c>
      <c r="E8">
        <v>3</v>
      </c>
      <c r="F8" s="18">
        <v>3</v>
      </c>
      <c r="G8" s="18">
        <v>3</v>
      </c>
      <c r="H8" s="18">
        <v>4</v>
      </c>
      <c r="I8" s="18">
        <v>4</v>
      </c>
      <c r="J8" s="18">
        <v>4</v>
      </c>
      <c r="K8" s="18">
        <v>5</v>
      </c>
      <c r="L8" s="18">
        <v>5</v>
      </c>
      <c r="M8" s="18">
        <v>5</v>
      </c>
      <c r="N8" s="18">
        <v>6</v>
      </c>
      <c r="O8" s="23"/>
      <c r="P8" s="23">
        <f t="shared" si="0"/>
        <v>0</v>
      </c>
      <c r="Q8" s="23">
        <f t="shared" si="1"/>
        <v>0</v>
      </c>
      <c r="R8" s="23">
        <f t="shared" si="2"/>
        <v>0</v>
      </c>
      <c r="S8" s="23">
        <f t="shared" si="3"/>
        <v>0</v>
      </c>
      <c r="T8" s="23">
        <f t="shared" si="4"/>
        <v>0</v>
      </c>
      <c r="U8" s="23">
        <f t="shared" si="5"/>
        <v>-1</v>
      </c>
      <c r="V8" s="23">
        <f t="shared" si="6"/>
        <v>0</v>
      </c>
      <c r="W8" s="23">
        <f t="shared" si="7"/>
        <v>0</v>
      </c>
      <c r="X8" s="23">
        <f t="shared" si="8"/>
        <v>-1</v>
      </c>
      <c r="Y8" s="23">
        <f t="shared" si="9"/>
        <v>0</v>
      </c>
      <c r="Z8" s="23">
        <f t="shared" si="10"/>
        <v>0</v>
      </c>
      <c r="AA8" s="23">
        <f t="shared" si="11"/>
        <v>-1</v>
      </c>
      <c r="AB8" s="23"/>
      <c r="AC8" s="23">
        <f t="shared" si="12"/>
        <v>0</v>
      </c>
      <c r="AD8" s="23">
        <f t="shared" si="13"/>
        <v>0</v>
      </c>
      <c r="AE8" s="23">
        <f t="shared" si="14"/>
        <v>0</v>
      </c>
      <c r="AF8" s="23">
        <f t="shared" si="15"/>
        <v>0</v>
      </c>
      <c r="AG8" s="23">
        <f t="shared" si="16"/>
        <v>1</v>
      </c>
      <c r="AH8" s="23">
        <f t="shared" si="17"/>
        <v>1</v>
      </c>
      <c r="AI8" s="23">
        <f t="shared" si="18"/>
        <v>0</v>
      </c>
      <c r="AJ8" s="23">
        <f t="shared" si="19"/>
        <v>1</v>
      </c>
      <c r="AK8" s="23">
        <f t="shared" si="20"/>
        <v>1</v>
      </c>
      <c r="AL8" s="23">
        <f t="shared" si="21"/>
        <v>0</v>
      </c>
      <c r="AM8" s="23">
        <f t="shared" si="22"/>
        <v>1</v>
      </c>
      <c r="AN8" s="23">
        <f>(M9-M8)</f>
        <v>1</v>
      </c>
      <c r="AO8" s="23">
        <f t="shared" si="24"/>
        <v>1</v>
      </c>
      <c r="AP8" s="23"/>
      <c r="AQ8" s="23">
        <f t="shared" si="25"/>
        <v>9</v>
      </c>
      <c r="AR8" s="23">
        <f t="shared" si="26"/>
        <v>9</v>
      </c>
      <c r="AS8" s="23">
        <f t="shared" si="27"/>
        <v>9</v>
      </c>
      <c r="AT8" s="23">
        <f t="shared" si="28"/>
        <v>9</v>
      </c>
      <c r="AU8" s="23">
        <f t="shared" si="29"/>
        <v>9</v>
      </c>
      <c r="AV8" s="23">
        <f t="shared" si="30"/>
        <v>9</v>
      </c>
      <c r="AW8" s="23">
        <f t="shared" si="31"/>
        <v>16</v>
      </c>
      <c r="AX8" s="23">
        <f t="shared" si="32"/>
        <v>16</v>
      </c>
      <c r="AY8" s="23">
        <f t="shared" si="33"/>
        <v>16</v>
      </c>
      <c r="AZ8" s="23">
        <f t="shared" si="34"/>
        <v>25</v>
      </c>
      <c r="BA8" s="23">
        <f t="shared" si="35"/>
        <v>25</v>
      </c>
      <c r="BB8" s="23">
        <f t="shared" si="36"/>
        <v>25</v>
      </c>
      <c r="BC8" s="23">
        <f t="shared" si="37"/>
        <v>36</v>
      </c>
      <c r="BD8" s="23"/>
      <c r="BE8" s="23">
        <v>2.5100000000000001E-3</v>
      </c>
      <c r="BF8" s="23">
        <v>2.7799999999999999E-3</v>
      </c>
      <c r="BG8" s="23">
        <v>3.15E-3</v>
      </c>
      <c r="BH8" s="23">
        <v>3.5699999999999998E-3</v>
      </c>
      <c r="BI8" s="23">
        <v>4.0200000000000001E-3</v>
      </c>
      <c r="BJ8" s="23">
        <v>5.2269999999999999E-3</v>
      </c>
      <c r="BK8" s="23">
        <v>8.3660000000000002E-3</v>
      </c>
      <c r="BL8" s="23">
        <v>1.2935E-2</v>
      </c>
      <c r="BM8" s="23">
        <v>1.7669000000000001E-2</v>
      </c>
      <c r="BN8" s="23">
        <v>2.2655999999999999E-2</v>
      </c>
      <c r="BO8" s="23">
        <v>3.0648999999999999E-2</v>
      </c>
      <c r="BP8" s="23">
        <v>4.2978000000000002E-2</v>
      </c>
      <c r="BQ8" s="23">
        <v>6.1724000000000001E-2</v>
      </c>
    </row>
    <row r="9" spans="1:69" x14ac:dyDescent="0.3">
      <c r="A9" s="22">
        <v>7</v>
      </c>
      <c r="B9" s="18">
        <v>3</v>
      </c>
      <c r="C9" s="18">
        <v>3</v>
      </c>
      <c r="D9">
        <v>3</v>
      </c>
      <c r="E9" s="18">
        <v>3</v>
      </c>
      <c r="F9">
        <v>4</v>
      </c>
      <c r="G9" s="18">
        <v>4</v>
      </c>
      <c r="H9" s="18">
        <v>4</v>
      </c>
      <c r="I9" s="18">
        <v>5</v>
      </c>
      <c r="J9" s="18">
        <v>5</v>
      </c>
      <c r="K9" s="18">
        <v>5</v>
      </c>
      <c r="L9" s="18">
        <v>6</v>
      </c>
      <c r="M9" s="18">
        <v>6</v>
      </c>
      <c r="N9" s="18">
        <v>7</v>
      </c>
      <c r="O9" s="23"/>
      <c r="P9" s="23">
        <f t="shared" si="0"/>
        <v>0</v>
      </c>
      <c r="Q9" s="23">
        <f t="shared" si="1"/>
        <v>0</v>
      </c>
      <c r="R9" s="23">
        <f t="shared" si="2"/>
        <v>0</v>
      </c>
      <c r="S9" s="23">
        <f t="shared" si="3"/>
        <v>-1</v>
      </c>
      <c r="T9" s="23">
        <f t="shared" si="4"/>
        <v>0</v>
      </c>
      <c r="U9" s="23">
        <f t="shared" si="5"/>
        <v>0</v>
      </c>
      <c r="V9" s="23">
        <f t="shared" si="6"/>
        <v>-1</v>
      </c>
      <c r="W9" s="23">
        <f t="shared" si="7"/>
        <v>0</v>
      </c>
      <c r="X9" s="23">
        <f t="shared" si="8"/>
        <v>0</v>
      </c>
      <c r="Y9" s="23">
        <f t="shared" si="9"/>
        <v>-1</v>
      </c>
      <c r="Z9" s="23">
        <f t="shared" si="10"/>
        <v>0</v>
      </c>
      <c r="AA9" s="23">
        <f t="shared" si="11"/>
        <v>-1</v>
      </c>
      <c r="AB9" s="23"/>
      <c r="AC9" s="23">
        <f t="shared" si="12"/>
        <v>1</v>
      </c>
      <c r="AD9" s="23">
        <f t="shared" si="13"/>
        <v>1</v>
      </c>
      <c r="AE9" s="23">
        <f t="shared" si="14"/>
        <v>1</v>
      </c>
      <c r="AF9" s="23">
        <f t="shared" si="15"/>
        <v>1</v>
      </c>
      <c r="AG9" s="23">
        <f t="shared" si="16"/>
        <v>0</v>
      </c>
      <c r="AH9" s="23">
        <f t="shared" si="17"/>
        <v>0</v>
      </c>
      <c r="AI9" s="23">
        <f t="shared" si="18"/>
        <v>1</v>
      </c>
      <c r="AJ9" s="23">
        <f t="shared" si="19"/>
        <v>0</v>
      </c>
      <c r="AK9" s="23">
        <f t="shared" si="20"/>
        <v>1</v>
      </c>
      <c r="AL9" s="23">
        <f t="shared" si="21"/>
        <v>1</v>
      </c>
      <c r="AM9" s="23">
        <f t="shared" si="22"/>
        <v>1</v>
      </c>
      <c r="AN9" s="23">
        <f t="shared" si="23"/>
        <v>1</v>
      </c>
      <c r="AO9" s="23">
        <f t="shared" si="24"/>
        <v>1</v>
      </c>
      <c r="AP9" s="23"/>
      <c r="AQ9" s="23">
        <f t="shared" si="25"/>
        <v>9</v>
      </c>
      <c r="AR9" s="23">
        <f t="shared" si="26"/>
        <v>9</v>
      </c>
      <c r="AS9" s="23">
        <f t="shared" si="27"/>
        <v>9</v>
      </c>
      <c r="AT9" s="23">
        <f t="shared" si="28"/>
        <v>9</v>
      </c>
      <c r="AU9" s="23">
        <f t="shared" si="29"/>
        <v>16</v>
      </c>
      <c r="AV9" s="23">
        <f t="shared" si="30"/>
        <v>16</v>
      </c>
      <c r="AW9" s="23">
        <f t="shared" si="31"/>
        <v>16</v>
      </c>
      <c r="AX9" s="23">
        <f t="shared" si="32"/>
        <v>25</v>
      </c>
      <c r="AY9" s="23">
        <f t="shared" si="33"/>
        <v>25</v>
      </c>
      <c r="AZ9" s="23">
        <f t="shared" si="34"/>
        <v>25</v>
      </c>
      <c r="BA9" s="23">
        <f t="shared" si="35"/>
        <v>36</v>
      </c>
      <c r="BB9" s="23">
        <f t="shared" si="36"/>
        <v>36</v>
      </c>
      <c r="BC9" s="23">
        <f t="shared" si="37"/>
        <v>49</v>
      </c>
      <c r="BD9" s="23"/>
      <c r="BE9" s="23">
        <v>3.9199999999999999E-3</v>
      </c>
      <c r="BF9" s="23">
        <v>4.1900000000000001E-3</v>
      </c>
      <c r="BG9" s="23">
        <v>4.5900000000000003E-3</v>
      </c>
      <c r="BH9" s="23">
        <v>5.1700000000000001E-3</v>
      </c>
      <c r="BI9" s="23">
        <v>6.0299999999999998E-3</v>
      </c>
      <c r="BJ9" s="23">
        <v>8.2419999999999993E-3</v>
      </c>
      <c r="BK9" s="23">
        <v>1.2858E-2</v>
      </c>
      <c r="BL9" s="23">
        <v>1.8703000000000001E-2</v>
      </c>
      <c r="BM9" s="23">
        <v>2.5111999999999999E-2</v>
      </c>
      <c r="BN9" s="23">
        <v>3.2104000000000001E-2</v>
      </c>
      <c r="BO9" s="23">
        <v>4.2737999999999998E-2</v>
      </c>
      <c r="BP9" s="23">
        <v>5.7452000000000003E-2</v>
      </c>
      <c r="BQ9" s="23">
        <v>7.6412999999999995E-2</v>
      </c>
    </row>
    <row r="10" spans="1:69" x14ac:dyDescent="0.3">
      <c r="A10" s="22">
        <v>8</v>
      </c>
      <c r="B10" s="18">
        <v>4</v>
      </c>
      <c r="C10">
        <v>4</v>
      </c>
      <c r="D10" s="18">
        <v>4</v>
      </c>
      <c r="E10">
        <v>4</v>
      </c>
      <c r="F10" s="18">
        <v>4</v>
      </c>
      <c r="G10" s="18">
        <v>4</v>
      </c>
      <c r="H10" s="18">
        <v>5</v>
      </c>
      <c r="I10" s="18">
        <v>5</v>
      </c>
      <c r="J10" s="18">
        <v>6</v>
      </c>
      <c r="K10" s="18">
        <v>6</v>
      </c>
      <c r="L10" s="18">
        <v>7</v>
      </c>
      <c r="M10" s="18">
        <v>7</v>
      </c>
      <c r="N10" s="18">
        <v>8</v>
      </c>
      <c r="O10" s="23"/>
      <c r="P10" s="23">
        <f t="shared" si="0"/>
        <v>0</v>
      </c>
      <c r="Q10" s="23">
        <f t="shared" si="1"/>
        <v>0</v>
      </c>
      <c r="R10" s="23">
        <f t="shared" si="2"/>
        <v>0</v>
      </c>
      <c r="S10" s="23">
        <f t="shared" si="3"/>
        <v>0</v>
      </c>
      <c r="T10" s="23">
        <f t="shared" si="4"/>
        <v>0</v>
      </c>
      <c r="U10" s="23">
        <f t="shared" si="5"/>
        <v>-1</v>
      </c>
      <c r="V10" s="23">
        <f>(H10-I10)</f>
        <v>0</v>
      </c>
      <c r="W10" s="23">
        <f t="shared" si="7"/>
        <v>-1</v>
      </c>
      <c r="X10" s="23">
        <f t="shared" si="8"/>
        <v>0</v>
      </c>
      <c r="Y10" s="23">
        <f t="shared" si="9"/>
        <v>-1</v>
      </c>
      <c r="Z10" s="23">
        <f t="shared" si="10"/>
        <v>0</v>
      </c>
      <c r="AA10" s="23">
        <f t="shared" si="11"/>
        <v>-1</v>
      </c>
      <c r="AB10" s="23"/>
      <c r="AC10" s="23">
        <f t="shared" si="12"/>
        <v>0</v>
      </c>
      <c r="AD10" s="23">
        <f t="shared" si="13"/>
        <v>0</v>
      </c>
      <c r="AE10" s="23">
        <f t="shared" si="14"/>
        <v>0</v>
      </c>
      <c r="AF10" s="23">
        <f t="shared" si="15"/>
        <v>0</v>
      </c>
      <c r="AG10" s="23">
        <f t="shared" si="16"/>
        <v>1</v>
      </c>
      <c r="AH10" s="23">
        <f t="shared" si="17"/>
        <v>1</v>
      </c>
      <c r="AI10" s="23">
        <f t="shared" si="18"/>
        <v>0</v>
      </c>
      <c r="AJ10" s="23">
        <f t="shared" si="19"/>
        <v>1</v>
      </c>
      <c r="AK10" s="23">
        <f t="shared" si="20"/>
        <v>1</v>
      </c>
      <c r="AL10" s="23">
        <f t="shared" si="21"/>
        <v>1</v>
      </c>
      <c r="AM10" s="23">
        <f t="shared" si="22"/>
        <v>0</v>
      </c>
      <c r="AN10" s="23">
        <f t="shared" si="23"/>
        <v>1</v>
      </c>
      <c r="AO10" s="23">
        <f t="shared" si="24"/>
        <v>1</v>
      </c>
      <c r="AP10" s="23"/>
      <c r="AQ10" s="23">
        <f t="shared" si="25"/>
        <v>16</v>
      </c>
      <c r="AR10" s="23">
        <f t="shared" si="26"/>
        <v>16</v>
      </c>
      <c r="AS10" s="23">
        <f t="shared" si="27"/>
        <v>16</v>
      </c>
      <c r="AT10" s="23">
        <f t="shared" si="28"/>
        <v>16</v>
      </c>
      <c r="AU10" s="23">
        <f t="shared" si="29"/>
        <v>16</v>
      </c>
      <c r="AV10" s="23">
        <f t="shared" si="30"/>
        <v>16</v>
      </c>
      <c r="AW10" s="23">
        <f t="shared" si="31"/>
        <v>25</v>
      </c>
      <c r="AX10" s="23">
        <f t="shared" si="32"/>
        <v>25</v>
      </c>
      <c r="AY10" s="23">
        <f t="shared" si="33"/>
        <v>36</v>
      </c>
      <c r="AZ10" s="23">
        <f t="shared" si="34"/>
        <v>36</v>
      </c>
      <c r="BA10" s="23">
        <f t="shared" si="35"/>
        <v>49</v>
      </c>
      <c r="BB10" s="23">
        <f t="shared" si="36"/>
        <v>49</v>
      </c>
      <c r="BC10" s="23">
        <f t="shared" si="37"/>
        <v>64</v>
      </c>
      <c r="BD10" s="23"/>
      <c r="BE10" s="23">
        <v>6.3499999999999997E-3</v>
      </c>
      <c r="BF10" s="23">
        <v>6.6800000000000002E-3</v>
      </c>
      <c r="BG10" s="23">
        <v>7.26E-3</v>
      </c>
      <c r="BH10" s="23">
        <v>8.3300000000000006E-3</v>
      </c>
      <c r="BI10" s="23">
        <v>9.9100000000000004E-3</v>
      </c>
      <c r="BJ10" s="23">
        <v>1.3351999999999999E-2</v>
      </c>
      <c r="BK10" s="23">
        <v>1.9139E-2</v>
      </c>
      <c r="BL10" s="23">
        <v>2.5964999999999998E-2</v>
      </c>
      <c r="BM10" s="23">
        <v>3.4263000000000002E-2</v>
      </c>
      <c r="BN10" s="23">
        <v>4.3309E-2</v>
      </c>
      <c r="BO10" s="23">
        <v>5.5994000000000002E-2</v>
      </c>
      <c r="BP10" s="23">
        <v>7.1350999999999998E-2</v>
      </c>
      <c r="BQ10" s="23">
        <v>8.7391999999999997E-2</v>
      </c>
    </row>
    <row r="11" spans="1:69" x14ac:dyDescent="0.3">
      <c r="A11" s="22">
        <v>9</v>
      </c>
      <c r="B11" s="18">
        <v>4</v>
      </c>
      <c r="C11" s="18">
        <v>4</v>
      </c>
      <c r="D11" s="18">
        <v>4</v>
      </c>
      <c r="E11" s="18">
        <v>4</v>
      </c>
      <c r="F11" s="18">
        <v>5</v>
      </c>
      <c r="G11" s="18">
        <v>5</v>
      </c>
      <c r="H11" s="18">
        <v>5</v>
      </c>
      <c r="I11" s="18">
        <v>6</v>
      </c>
      <c r="J11" s="18">
        <v>7</v>
      </c>
      <c r="K11" s="18">
        <v>7</v>
      </c>
      <c r="L11" s="18">
        <v>7</v>
      </c>
      <c r="M11" s="18">
        <v>8</v>
      </c>
      <c r="N11" s="18">
        <v>9</v>
      </c>
      <c r="O11" s="23"/>
      <c r="P11" s="23">
        <f t="shared" si="0"/>
        <v>0</v>
      </c>
      <c r="Q11" s="23">
        <f t="shared" si="1"/>
        <v>0</v>
      </c>
      <c r="R11" s="23">
        <f t="shared" si="2"/>
        <v>0</v>
      </c>
      <c r="S11" s="23">
        <f t="shared" si="3"/>
        <v>-1</v>
      </c>
      <c r="T11" s="23">
        <f t="shared" si="4"/>
        <v>0</v>
      </c>
      <c r="U11" s="23">
        <f t="shared" si="5"/>
        <v>0</v>
      </c>
      <c r="V11" s="23">
        <f t="shared" si="6"/>
        <v>-1</v>
      </c>
      <c r="W11" s="23">
        <f t="shared" si="7"/>
        <v>-1</v>
      </c>
      <c r="X11" s="23">
        <f t="shared" si="8"/>
        <v>0</v>
      </c>
      <c r="Y11" s="23">
        <f t="shared" si="9"/>
        <v>0</v>
      </c>
      <c r="Z11" s="23">
        <f t="shared" si="10"/>
        <v>-1</v>
      </c>
      <c r="AA11" s="23">
        <f t="shared" si="11"/>
        <v>-1</v>
      </c>
      <c r="AB11" s="23"/>
      <c r="AC11" s="23">
        <f t="shared" si="12"/>
        <v>1</v>
      </c>
      <c r="AD11" s="23">
        <f t="shared" si="13"/>
        <v>1</v>
      </c>
      <c r="AE11" s="23">
        <f t="shared" si="14"/>
        <v>1</v>
      </c>
      <c r="AF11" s="23">
        <f t="shared" si="15"/>
        <v>1</v>
      </c>
      <c r="AG11" s="23">
        <f t="shared" si="16"/>
        <v>0</v>
      </c>
      <c r="AH11" s="23">
        <f t="shared" si="17"/>
        <v>1</v>
      </c>
      <c r="AI11" s="23">
        <f t="shared" si="18"/>
        <v>1</v>
      </c>
      <c r="AJ11" s="23">
        <f t="shared" si="19"/>
        <v>1</v>
      </c>
      <c r="AK11" s="23">
        <f t="shared" si="20"/>
        <v>0</v>
      </c>
      <c r="AL11" s="23">
        <f t="shared" si="21"/>
        <v>1</v>
      </c>
      <c r="AM11" s="23">
        <f t="shared" si="22"/>
        <v>1</v>
      </c>
      <c r="AN11" s="23">
        <f>(M12-M11)</f>
        <v>1</v>
      </c>
      <c r="AO11" s="23">
        <f t="shared" si="24"/>
        <v>1</v>
      </c>
      <c r="AP11" s="23"/>
      <c r="AQ11" s="23">
        <f t="shared" si="25"/>
        <v>16</v>
      </c>
      <c r="AR11" s="23">
        <f t="shared" si="26"/>
        <v>16</v>
      </c>
      <c r="AS11" s="23">
        <f t="shared" si="27"/>
        <v>16</v>
      </c>
      <c r="AT11" s="23">
        <f t="shared" si="28"/>
        <v>16</v>
      </c>
      <c r="AU11" s="23">
        <f t="shared" si="29"/>
        <v>25</v>
      </c>
      <c r="AV11" s="23">
        <f t="shared" si="30"/>
        <v>25</v>
      </c>
      <c r="AW11" s="23">
        <f t="shared" si="31"/>
        <v>25</v>
      </c>
      <c r="AX11" s="23">
        <f t="shared" si="32"/>
        <v>36</v>
      </c>
      <c r="AY11" s="23">
        <f t="shared" si="33"/>
        <v>49</v>
      </c>
      <c r="AZ11" s="23">
        <f t="shared" si="34"/>
        <v>49</v>
      </c>
      <c r="BA11" s="23">
        <f t="shared" si="35"/>
        <v>49</v>
      </c>
      <c r="BB11" s="23">
        <f t="shared" si="36"/>
        <v>64</v>
      </c>
      <c r="BC11" s="23">
        <f t="shared" si="37"/>
        <v>81</v>
      </c>
      <c r="BD11" s="23"/>
      <c r="BE11" s="23">
        <v>1.064E-2</v>
      </c>
      <c r="BF11" s="23">
        <v>1.115E-2</v>
      </c>
      <c r="BG11" s="23">
        <v>1.2149999999999999E-2</v>
      </c>
      <c r="BH11" s="23">
        <v>1.401E-2</v>
      </c>
      <c r="BI11" s="23">
        <v>1.644E-2</v>
      </c>
      <c r="BJ11" s="23">
        <v>2.0825E-2</v>
      </c>
      <c r="BK11" s="23">
        <v>2.6970000000000001E-2</v>
      </c>
      <c r="BL11" s="23">
        <v>3.4514999999999997E-2</v>
      </c>
      <c r="BM11" s="23">
        <v>4.4846999999999998E-2</v>
      </c>
      <c r="BN11" s="23">
        <v>5.5594999999999999E-2</v>
      </c>
      <c r="BO11" s="23">
        <v>6.9065000000000001E-2</v>
      </c>
      <c r="BP11" s="23">
        <v>8.2792000000000004E-2</v>
      </c>
      <c r="BQ11" s="23">
        <v>9.3219999999999997E-2</v>
      </c>
    </row>
    <row r="12" spans="1:69" x14ac:dyDescent="0.3">
      <c r="A12" s="22">
        <v>10</v>
      </c>
      <c r="B12" s="18">
        <v>5</v>
      </c>
      <c r="C12" s="18">
        <v>5</v>
      </c>
      <c r="D12" s="18">
        <v>5</v>
      </c>
      <c r="E12" s="18">
        <v>5</v>
      </c>
      <c r="F12" s="18">
        <v>5</v>
      </c>
      <c r="G12" s="18">
        <v>6</v>
      </c>
      <c r="H12" s="18">
        <v>6</v>
      </c>
      <c r="I12" s="18">
        <v>7</v>
      </c>
      <c r="J12" s="18">
        <v>7</v>
      </c>
      <c r="K12" s="18">
        <v>8</v>
      </c>
      <c r="L12" s="18">
        <v>8</v>
      </c>
      <c r="M12" s="18">
        <v>9</v>
      </c>
      <c r="N12" s="18">
        <v>10</v>
      </c>
      <c r="O12" s="23"/>
      <c r="P12" s="23">
        <f t="shared" si="0"/>
        <v>0</v>
      </c>
      <c r="Q12" s="23">
        <f t="shared" si="1"/>
        <v>0</v>
      </c>
      <c r="R12" s="23">
        <f t="shared" si="2"/>
        <v>0</v>
      </c>
      <c r="S12" s="23">
        <f t="shared" si="3"/>
        <v>0</v>
      </c>
      <c r="T12" s="23">
        <f t="shared" si="4"/>
        <v>-1</v>
      </c>
      <c r="U12" s="23">
        <f t="shared" si="5"/>
        <v>0</v>
      </c>
      <c r="V12" s="23">
        <f t="shared" si="6"/>
        <v>-1</v>
      </c>
      <c r="W12" s="23">
        <f t="shared" si="7"/>
        <v>0</v>
      </c>
      <c r="X12" s="23">
        <f t="shared" si="8"/>
        <v>-1</v>
      </c>
      <c r="Y12" s="23">
        <f t="shared" si="9"/>
        <v>0</v>
      </c>
      <c r="Z12" s="23">
        <f>(L12-M12)</f>
        <v>-1</v>
      </c>
      <c r="AA12" s="23">
        <f t="shared" si="11"/>
        <v>-1</v>
      </c>
      <c r="AB12" s="23"/>
      <c r="AC12" s="23">
        <f t="shared" si="12"/>
        <v>0</v>
      </c>
      <c r="AD12" s="23">
        <f t="shared" si="13"/>
        <v>0</v>
      </c>
      <c r="AE12" s="23">
        <f t="shared" si="14"/>
        <v>0</v>
      </c>
      <c r="AF12" s="23">
        <f t="shared" si="15"/>
        <v>1</v>
      </c>
      <c r="AG12" s="23">
        <f t="shared" si="16"/>
        <v>1</v>
      </c>
      <c r="AH12" s="23">
        <f t="shared" si="17"/>
        <v>1</v>
      </c>
      <c r="AI12" s="23">
        <f t="shared" si="18"/>
        <v>1</v>
      </c>
      <c r="AJ12" s="23">
        <f t="shared" si="19"/>
        <v>0</v>
      </c>
      <c r="AK12" s="23">
        <f t="shared" si="20"/>
        <v>1</v>
      </c>
      <c r="AL12" s="23">
        <f t="shared" si="21"/>
        <v>0</v>
      </c>
      <c r="AM12" s="23">
        <f t="shared" si="22"/>
        <v>1</v>
      </c>
      <c r="AN12" s="23">
        <f t="shared" si="23"/>
        <v>1</v>
      </c>
      <c r="AO12" s="23">
        <f t="shared" si="24"/>
        <v>0</v>
      </c>
      <c r="AP12" s="23"/>
      <c r="AQ12" s="23">
        <f t="shared" si="25"/>
        <v>25</v>
      </c>
      <c r="AR12" s="23">
        <f t="shared" si="26"/>
        <v>25</v>
      </c>
      <c r="AS12" s="23">
        <f t="shared" si="27"/>
        <v>25</v>
      </c>
      <c r="AT12" s="23">
        <f t="shared" si="28"/>
        <v>25</v>
      </c>
      <c r="AU12" s="23">
        <f t="shared" si="29"/>
        <v>25</v>
      </c>
      <c r="AV12" s="23">
        <f t="shared" si="30"/>
        <v>36</v>
      </c>
      <c r="AW12" s="23">
        <f t="shared" si="31"/>
        <v>36</v>
      </c>
      <c r="AX12" s="23">
        <f t="shared" si="32"/>
        <v>49</v>
      </c>
      <c r="AY12" s="23">
        <f t="shared" si="33"/>
        <v>49</v>
      </c>
      <c r="AZ12" s="23">
        <f t="shared" si="34"/>
        <v>64</v>
      </c>
      <c r="BA12" s="23">
        <f t="shared" si="35"/>
        <v>64</v>
      </c>
      <c r="BB12" s="23">
        <f t="shared" si="36"/>
        <v>81</v>
      </c>
      <c r="BC12" s="23">
        <f t="shared" si="37"/>
        <v>100</v>
      </c>
      <c r="BD12" s="23"/>
      <c r="BE12" s="23">
        <v>1.762E-2</v>
      </c>
      <c r="BF12" s="23">
        <v>1.8409999999999999E-2</v>
      </c>
      <c r="BG12" s="23">
        <v>1.9980000000000001E-2</v>
      </c>
      <c r="BH12" s="23">
        <v>2.2620000000000001E-2</v>
      </c>
      <c r="BI12" s="23">
        <v>2.5600000000000001E-2</v>
      </c>
      <c r="BJ12" s="23">
        <v>3.0096000000000001E-2</v>
      </c>
      <c r="BK12" s="23">
        <v>3.5645000000000003E-2</v>
      </c>
      <c r="BL12" s="23">
        <v>4.3973999999999999E-2</v>
      </c>
      <c r="BM12" s="23">
        <v>5.629E-2</v>
      </c>
      <c r="BN12" s="23">
        <v>6.7877999999999994E-2</v>
      </c>
      <c r="BO12" s="23">
        <v>8.0350000000000005E-2</v>
      </c>
      <c r="BP12" s="23">
        <v>9.0227000000000002E-2</v>
      </c>
      <c r="BQ12" s="23">
        <v>9.3612000000000001E-2</v>
      </c>
    </row>
    <row r="13" spans="1:69" x14ac:dyDescent="0.3">
      <c r="A13" s="22">
        <v>11</v>
      </c>
      <c r="B13" s="18">
        <v>5</v>
      </c>
      <c r="C13" s="18">
        <v>5</v>
      </c>
      <c r="D13" s="18">
        <v>5</v>
      </c>
      <c r="E13" s="18">
        <v>6</v>
      </c>
      <c r="F13" s="18">
        <v>6</v>
      </c>
      <c r="G13" s="18">
        <v>7</v>
      </c>
      <c r="H13" s="18">
        <v>7</v>
      </c>
      <c r="I13" s="18">
        <v>7</v>
      </c>
      <c r="J13" s="18">
        <v>8</v>
      </c>
      <c r="K13" s="18">
        <v>8</v>
      </c>
      <c r="L13" s="18">
        <v>9</v>
      </c>
      <c r="M13" s="18">
        <v>10</v>
      </c>
      <c r="N13" s="18">
        <v>10</v>
      </c>
      <c r="O13" s="23"/>
      <c r="P13" s="23">
        <f t="shared" si="0"/>
        <v>0</v>
      </c>
      <c r="Q13" s="23">
        <f t="shared" si="1"/>
        <v>0</v>
      </c>
      <c r="R13" s="23">
        <f t="shared" si="2"/>
        <v>-1</v>
      </c>
      <c r="S13" s="23">
        <f t="shared" si="3"/>
        <v>0</v>
      </c>
      <c r="T13" s="23">
        <f t="shared" si="4"/>
        <v>-1</v>
      </c>
      <c r="U13" s="23">
        <f t="shared" si="5"/>
        <v>0</v>
      </c>
      <c r="V13" s="23">
        <f t="shared" si="6"/>
        <v>0</v>
      </c>
      <c r="W13" s="23">
        <f t="shared" si="7"/>
        <v>-1</v>
      </c>
      <c r="X13" s="23">
        <f t="shared" si="8"/>
        <v>0</v>
      </c>
      <c r="Y13" s="23">
        <f t="shared" si="9"/>
        <v>-1</v>
      </c>
      <c r="Z13" s="23">
        <f t="shared" si="10"/>
        <v>-1</v>
      </c>
      <c r="AA13" s="23">
        <f t="shared" si="11"/>
        <v>0</v>
      </c>
      <c r="AB13" s="23"/>
      <c r="AC13" s="23">
        <f t="shared" si="12"/>
        <v>1</v>
      </c>
      <c r="AD13" s="23">
        <f t="shared" si="13"/>
        <v>1</v>
      </c>
      <c r="AE13" s="23">
        <f t="shared" si="14"/>
        <v>1</v>
      </c>
      <c r="AF13" s="23">
        <f t="shared" si="15"/>
        <v>0</v>
      </c>
      <c r="AG13" s="23">
        <f t="shared" si="16"/>
        <v>1</v>
      </c>
      <c r="AH13" s="23">
        <f t="shared" si="17"/>
        <v>0</v>
      </c>
      <c r="AI13" s="23">
        <f t="shared" si="18"/>
        <v>0</v>
      </c>
      <c r="AJ13" s="23">
        <f t="shared" si="19"/>
        <v>1</v>
      </c>
      <c r="AK13" s="23">
        <f t="shared" si="20"/>
        <v>0</v>
      </c>
      <c r="AL13" s="23">
        <f t="shared" si="21"/>
        <v>1</v>
      </c>
      <c r="AM13" s="23">
        <f t="shared" si="22"/>
        <v>1</v>
      </c>
      <c r="AN13" s="23">
        <f t="shared" si="23"/>
        <v>0</v>
      </c>
      <c r="AO13" s="23">
        <f t="shared" si="24"/>
        <v>1</v>
      </c>
      <c r="AP13" s="23"/>
      <c r="AQ13" s="23">
        <f t="shared" si="25"/>
        <v>25</v>
      </c>
      <c r="AR13" s="23">
        <f t="shared" si="26"/>
        <v>25</v>
      </c>
      <c r="AS13" s="23">
        <f t="shared" si="27"/>
        <v>25</v>
      </c>
      <c r="AT13" s="23">
        <f t="shared" si="28"/>
        <v>36</v>
      </c>
      <c r="AU13" s="23">
        <f t="shared" si="29"/>
        <v>36</v>
      </c>
      <c r="AV13" s="23">
        <f t="shared" si="30"/>
        <v>49</v>
      </c>
      <c r="AW13" s="23">
        <f t="shared" si="31"/>
        <v>49</v>
      </c>
      <c r="AX13" s="23">
        <f t="shared" si="32"/>
        <v>49</v>
      </c>
      <c r="AY13" s="23">
        <f t="shared" si="33"/>
        <v>64</v>
      </c>
      <c r="AZ13" s="23">
        <f t="shared" si="34"/>
        <v>64</v>
      </c>
      <c r="BA13" s="23">
        <f t="shared" si="35"/>
        <v>81</v>
      </c>
      <c r="BB13" s="23">
        <f t="shared" si="36"/>
        <v>100</v>
      </c>
      <c r="BC13" s="23">
        <f t="shared" si="37"/>
        <v>100</v>
      </c>
      <c r="BD13" s="23"/>
      <c r="BE13" s="23">
        <v>2.7570000000000001E-2</v>
      </c>
      <c r="BF13" s="23">
        <v>2.8570000000000002E-2</v>
      </c>
      <c r="BG13" s="23">
        <v>3.049E-2</v>
      </c>
      <c r="BH13" s="23">
        <v>3.3399999999999999E-2</v>
      </c>
      <c r="BI13" s="23">
        <v>3.6209999999999999E-2</v>
      </c>
      <c r="BJ13" s="23">
        <v>3.9753999999999998E-2</v>
      </c>
      <c r="BK13" s="23">
        <v>4.4259E-2</v>
      </c>
      <c r="BL13" s="23">
        <v>5.3892000000000002E-2</v>
      </c>
      <c r="BM13" s="23">
        <v>6.7707000000000003E-2</v>
      </c>
      <c r="BN13" s="23">
        <v>7.8785999999999995E-2</v>
      </c>
      <c r="BO13" s="23">
        <v>8.8331000000000007E-2</v>
      </c>
      <c r="BP13" s="23">
        <v>9.2802999999999997E-2</v>
      </c>
      <c r="BQ13" s="23">
        <v>8.9306999999999997E-2</v>
      </c>
    </row>
    <row r="14" spans="1:69" x14ac:dyDescent="0.3">
      <c r="A14" s="22">
        <v>12</v>
      </c>
      <c r="B14" s="18">
        <v>6</v>
      </c>
      <c r="C14" s="18">
        <v>6</v>
      </c>
      <c r="D14" s="18">
        <v>6</v>
      </c>
      <c r="E14" s="18">
        <v>6</v>
      </c>
      <c r="F14" s="18">
        <v>7</v>
      </c>
      <c r="G14" s="18">
        <v>7</v>
      </c>
      <c r="H14" s="18">
        <v>7</v>
      </c>
      <c r="I14" s="18">
        <v>8</v>
      </c>
      <c r="J14" s="18">
        <v>8</v>
      </c>
      <c r="K14" s="18">
        <v>9</v>
      </c>
      <c r="L14" s="18">
        <v>10</v>
      </c>
      <c r="M14" s="18">
        <v>10</v>
      </c>
      <c r="N14" s="18">
        <v>11</v>
      </c>
      <c r="O14" s="23"/>
      <c r="P14" s="23">
        <f t="shared" si="0"/>
        <v>0</v>
      </c>
      <c r="Q14" s="23">
        <f t="shared" si="1"/>
        <v>0</v>
      </c>
      <c r="R14" s="23">
        <f t="shared" si="2"/>
        <v>0</v>
      </c>
      <c r="S14" s="23">
        <f t="shared" si="3"/>
        <v>-1</v>
      </c>
      <c r="T14" s="23">
        <f t="shared" si="4"/>
        <v>0</v>
      </c>
      <c r="U14" s="23">
        <f t="shared" si="5"/>
        <v>0</v>
      </c>
      <c r="V14" s="23">
        <f t="shared" si="6"/>
        <v>-1</v>
      </c>
      <c r="W14" s="23">
        <f t="shared" si="7"/>
        <v>0</v>
      </c>
      <c r="X14" s="23">
        <f t="shared" si="8"/>
        <v>-1</v>
      </c>
      <c r="Y14" s="23">
        <f t="shared" si="9"/>
        <v>-1</v>
      </c>
      <c r="Z14" s="23">
        <f t="shared" si="10"/>
        <v>0</v>
      </c>
      <c r="AA14" s="23">
        <f>(M14-N14)</f>
        <v>-1</v>
      </c>
      <c r="AB14" s="23"/>
      <c r="AC14" s="23">
        <f t="shared" si="12"/>
        <v>1</v>
      </c>
      <c r="AD14" s="23">
        <f t="shared" si="13"/>
        <v>1</v>
      </c>
      <c r="AE14" s="23">
        <f t="shared" si="14"/>
        <v>1</v>
      </c>
      <c r="AF14" s="23">
        <f t="shared" si="15"/>
        <v>1</v>
      </c>
      <c r="AG14" s="23">
        <f t="shared" si="16"/>
        <v>0</v>
      </c>
      <c r="AH14" s="23">
        <f t="shared" si="17"/>
        <v>1</v>
      </c>
      <c r="AI14" s="23">
        <f t="shared" si="18"/>
        <v>1</v>
      </c>
      <c r="AJ14" s="23">
        <f t="shared" si="19"/>
        <v>1</v>
      </c>
      <c r="AK14" s="23">
        <f t="shared" si="20"/>
        <v>1</v>
      </c>
      <c r="AL14" s="23">
        <f t="shared" si="21"/>
        <v>1</v>
      </c>
      <c r="AM14" s="23">
        <f t="shared" si="22"/>
        <v>0</v>
      </c>
      <c r="AN14" s="23">
        <f t="shared" si="23"/>
        <v>1</v>
      </c>
      <c r="AO14" s="23">
        <f t="shared" si="24"/>
        <v>1</v>
      </c>
      <c r="AP14" s="23"/>
      <c r="AQ14" s="23">
        <f t="shared" si="25"/>
        <v>36</v>
      </c>
      <c r="AR14" s="23">
        <f t="shared" si="26"/>
        <v>36</v>
      </c>
      <c r="AS14" s="23">
        <f t="shared" si="27"/>
        <v>36</v>
      </c>
      <c r="AT14" s="23">
        <f t="shared" si="28"/>
        <v>36</v>
      </c>
      <c r="AU14" s="23">
        <f t="shared" si="29"/>
        <v>49</v>
      </c>
      <c r="AV14" s="23">
        <f t="shared" si="30"/>
        <v>49</v>
      </c>
      <c r="AW14" s="23">
        <f t="shared" si="31"/>
        <v>49</v>
      </c>
      <c r="AX14" s="23">
        <f t="shared" si="32"/>
        <v>64</v>
      </c>
      <c r="AY14" s="23">
        <f t="shared" si="33"/>
        <v>64</v>
      </c>
      <c r="AZ14" s="23">
        <f t="shared" si="34"/>
        <v>81</v>
      </c>
      <c r="BA14" s="23">
        <f t="shared" si="35"/>
        <v>100</v>
      </c>
      <c r="BB14" s="23">
        <f t="shared" si="36"/>
        <v>100</v>
      </c>
      <c r="BC14" s="23">
        <f t="shared" si="37"/>
        <v>121</v>
      </c>
      <c r="BD14" s="23"/>
      <c r="BE14" s="23">
        <v>3.9730000000000001E-2</v>
      </c>
      <c r="BF14" s="23">
        <v>4.0590000000000001E-2</v>
      </c>
      <c r="BG14" s="23">
        <v>4.2200000000000001E-2</v>
      </c>
      <c r="BH14" s="23">
        <v>4.4409999999999998E-2</v>
      </c>
      <c r="BI14" s="23">
        <v>4.6210000000000001E-2</v>
      </c>
      <c r="BJ14" s="23">
        <v>4.8159E-2</v>
      </c>
      <c r="BK14" s="23">
        <v>5.2191000000000001E-2</v>
      </c>
      <c r="BL14" s="23">
        <v>6.3809000000000005E-2</v>
      </c>
      <c r="BM14" s="23">
        <v>7.7969999999999998E-2</v>
      </c>
      <c r="BN14" s="23">
        <v>8.6889999999999995E-2</v>
      </c>
      <c r="BO14" s="23">
        <v>9.1911999999999994E-2</v>
      </c>
      <c r="BP14" s="23">
        <v>9.0506000000000003E-2</v>
      </c>
      <c r="BQ14" s="23">
        <v>8.1583000000000003E-2</v>
      </c>
    </row>
    <row r="15" spans="1:69" x14ac:dyDescent="0.3">
      <c r="A15" s="22">
        <v>13</v>
      </c>
      <c r="B15" s="18">
        <v>7</v>
      </c>
      <c r="C15" s="18">
        <v>7</v>
      </c>
      <c r="D15" s="18">
        <v>7</v>
      </c>
      <c r="E15" s="18">
        <v>7</v>
      </c>
      <c r="F15" s="18">
        <v>7</v>
      </c>
      <c r="G15" s="18">
        <v>8</v>
      </c>
      <c r="H15" s="18">
        <v>8</v>
      </c>
      <c r="I15" s="18">
        <v>9</v>
      </c>
      <c r="J15" s="18">
        <v>9</v>
      </c>
      <c r="K15" s="18">
        <v>10</v>
      </c>
      <c r="L15" s="18">
        <v>10</v>
      </c>
      <c r="M15" s="18">
        <v>11</v>
      </c>
      <c r="N15" s="18">
        <v>12</v>
      </c>
      <c r="O15" s="23"/>
      <c r="P15" s="23">
        <f t="shared" si="0"/>
        <v>0</v>
      </c>
      <c r="Q15" s="23">
        <f t="shared" si="1"/>
        <v>0</v>
      </c>
      <c r="R15" s="23">
        <f t="shared" si="2"/>
        <v>0</v>
      </c>
      <c r="S15" s="23">
        <f t="shared" si="3"/>
        <v>0</v>
      </c>
      <c r="T15" s="23">
        <f t="shared" si="4"/>
        <v>-1</v>
      </c>
      <c r="U15" s="23">
        <f t="shared" si="5"/>
        <v>0</v>
      </c>
      <c r="V15" s="23">
        <f>(H15-I15)</f>
        <v>-1</v>
      </c>
      <c r="W15" s="23">
        <f t="shared" si="7"/>
        <v>0</v>
      </c>
      <c r="X15" s="23">
        <f t="shared" si="8"/>
        <v>-1</v>
      </c>
      <c r="Y15" s="23">
        <f t="shared" si="9"/>
        <v>0</v>
      </c>
      <c r="Z15" s="23">
        <f t="shared" si="10"/>
        <v>-1</v>
      </c>
      <c r="AA15" s="23">
        <f t="shared" si="11"/>
        <v>-1</v>
      </c>
      <c r="AB15" s="23"/>
      <c r="AC15" s="23">
        <f t="shared" si="12"/>
        <v>0</v>
      </c>
      <c r="AD15" s="23">
        <f t="shared" si="13"/>
        <v>0</v>
      </c>
      <c r="AE15" s="23">
        <f t="shared" si="14"/>
        <v>0</v>
      </c>
      <c r="AF15" s="23">
        <f t="shared" si="15"/>
        <v>0</v>
      </c>
      <c r="AG15" s="23">
        <f t="shared" si="16"/>
        <v>1</v>
      </c>
      <c r="AH15" s="23">
        <f t="shared" si="17"/>
        <v>0</v>
      </c>
      <c r="AI15" s="23">
        <f t="shared" si="18"/>
        <v>1</v>
      </c>
      <c r="AJ15" s="23">
        <f t="shared" si="19"/>
        <v>0</v>
      </c>
      <c r="AK15" s="23">
        <f t="shared" si="20"/>
        <v>1</v>
      </c>
      <c r="AL15" s="23">
        <f t="shared" si="21"/>
        <v>0</v>
      </c>
      <c r="AM15" s="23">
        <f t="shared" si="22"/>
        <v>1</v>
      </c>
      <c r="AN15" s="23">
        <f t="shared" si="23"/>
        <v>1</v>
      </c>
      <c r="AO15" s="23">
        <f t="shared" si="24"/>
        <v>1</v>
      </c>
      <c r="AP15" s="23"/>
      <c r="AQ15" s="23">
        <f t="shared" si="25"/>
        <v>49</v>
      </c>
      <c r="AR15" s="23">
        <f t="shared" si="26"/>
        <v>49</v>
      </c>
      <c r="AS15" s="23">
        <f t="shared" si="27"/>
        <v>49</v>
      </c>
      <c r="AT15" s="23">
        <f t="shared" si="28"/>
        <v>49</v>
      </c>
      <c r="AU15" s="23">
        <f t="shared" si="29"/>
        <v>49</v>
      </c>
      <c r="AV15" s="23">
        <f t="shared" si="30"/>
        <v>64</v>
      </c>
      <c r="AW15" s="23">
        <f t="shared" si="31"/>
        <v>64</v>
      </c>
      <c r="AX15" s="23">
        <f t="shared" si="32"/>
        <v>81</v>
      </c>
      <c r="AY15" s="23">
        <f t="shared" si="33"/>
        <v>81</v>
      </c>
      <c r="AZ15" s="23">
        <f t="shared" si="34"/>
        <v>100</v>
      </c>
      <c r="BA15" s="23">
        <f t="shared" si="35"/>
        <v>100</v>
      </c>
      <c r="BB15" s="23">
        <f t="shared" si="36"/>
        <v>121</v>
      </c>
      <c r="BC15" s="23">
        <f t="shared" si="37"/>
        <v>144</v>
      </c>
      <c r="BD15" s="23"/>
      <c r="BE15" s="23">
        <v>5.2569999999999999E-2</v>
      </c>
      <c r="BF15" s="23">
        <v>5.2659999999999998E-2</v>
      </c>
      <c r="BG15" s="23">
        <v>5.3019999999999998E-2</v>
      </c>
      <c r="BH15" s="23">
        <v>5.3530000000000001E-2</v>
      </c>
      <c r="BI15" s="23">
        <v>5.382E-2</v>
      </c>
      <c r="BJ15" s="23">
        <v>5.4467000000000002E-2</v>
      </c>
      <c r="BK15" s="23">
        <v>5.9480999999999999E-2</v>
      </c>
      <c r="BL15" s="23">
        <v>7.3219000000000006E-2</v>
      </c>
      <c r="BM15" s="23">
        <v>8.5834999999999995E-2</v>
      </c>
      <c r="BN15" s="23">
        <v>9.1005000000000003E-2</v>
      </c>
      <c r="BO15" s="23">
        <v>9.0671000000000002E-2</v>
      </c>
      <c r="BP15" s="23">
        <v>8.4030999999999995E-2</v>
      </c>
      <c r="BQ15" s="23">
        <v>7.1758000000000002E-2</v>
      </c>
    </row>
    <row r="16" spans="1:69" x14ac:dyDescent="0.3">
      <c r="A16" s="22">
        <v>14</v>
      </c>
      <c r="B16" s="18">
        <v>7</v>
      </c>
      <c r="C16" s="18">
        <v>7</v>
      </c>
      <c r="D16" s="18">
        <v>7</v>
      </c>
      <c r="E16" s="18">
        <v>7</v>
      </c>
      <c r="F16" s="18">
        <v>8</v>
      </c>
      <c r="G16" s="18">
        <v>8</v>
      </c>
      <c r="H16" s="18">
        <v>9</v>
      </c>
      <c r="I16" s="18">
        <v>9</v>
      </c>
      <c r="J16" s="18">
        <v>10</v>
      </c>
      <c r="K16" s="18">
        <v>10</v>
      </c>
      <c r="L16" s="18">
        <v>11</v>
      </c>
      <c r="M16" s="18">
        <v>12</v>
      </c>
      <c r="N16" s="18">
        <v>13</v>
      </c>
      <c r="O16" s="23"/>
      <c r="P16" s="23">
        <f t="shared" si="0"/>
        <v>0</v>
      </c>
      <c r="Q16" s="23">
        <f t="shared" si="1"/>
        <v>0</v>
      </c>
      <c r="R16" s="23">
        <f t="shared" si="2"/>
        <v>0</v>
      </c>
      <c r="S16" s="23">
        <f t="shared" si="3"/>
        <v>-1</v>
      </c>
      <c r="T16" s="23">
        <f t="shared" si="4"/>
        <v>0</v>
      </c>
      <c r="U16" s="23">
        <f>(G16-H16)</f>
        <v>-1</v>
      </c>
      <c r="V16" s="23">
        <f>(H16-I16)</f>
        <v>0</v>
      </c>
      <c r="W16" s="23">
        <f t="shared" si="7"/>
        <v>-1</v>
      </c>
      <c r="X16" s="23">
        <f t="shared" si="8"/>
        <v>0</v>
      </c>
      <c r="Y16" s="23">
        <f t="shared" si="9"/>
        <v>-1</v>
      </c>
      <c r="Z16" s="23">
        <f t="shared" si="10"/>
        <v>-1</v>
      </c>
      <c r="AA16" s="23">
        <f t="shared" si="11"/>
        <v>-1</v>
      </c>
      <c r="AB16" s="23"/>
      <c r="AC16" s="23">
        <f t="shared" si="12"/>
        <v>1</v>
      </c>
      <c r="AD16" s="23">
        <f t="shared" si="13"/>
        <v>1</v>
      </c>
      <c r="AE16" s="23">
        <f t="shared" si="14"/>
        <v>1</v>
      </c>
      <c r="AF16" s="23">
        <f t="shared" si="15"/>
        <v>1</v>
      </c>
      <c r="AG16" s="23">
        <f t="shared" si="16"/>
        <v>0</v>
      </c>
      <c r="AH16" s="23">
        <f t="shared" si="17"/>
        <v>1</v>
      </c>
      <c r="AI16" s="23">
        <f t="shared" si="18"/>
        <v>0</v>
      </c>
      <c r="AJ16" s="23">
        <f t="shared" si="19"/>
        <v>1</v>
      </c>
      <c r="AK16" s="23">
        <f t="shared" si="20"/>
        <v>0</v>
      </c>
      <c r="AL16" s="23">
        <f t="shared" si="21"/>
        <v>1</v>
      </c>
      <c r="AM16" s="23">
        <f t="shared" si="22"/>
        <v>1</v>
      </c>
      <c r="AN16" s="23">
        <f t="shared" si="23"/>
        <v>1</v>
      </c>
      <c r="AO16" s="23">
        <f t="shared" si="24"/>
        <v>0</v>
      </c>
      <c r="AP16" s="23"/>
      <c r="AQ16" s="23">
        <f t="shared" si="25"/>
        <v>49</v>
      </c>
      <c r="AR16" s="23">
        <f t="shared" si="26"/>
        <v>49</v>
      </c>
      <c r="AS16" s="23">
        <f t="shared" si="27"/>
        <v>49</v>
      </c>
      <c r="AT16" s="23">
        <f t="shared" si="28"/>
        <v>49</v>
      </c>
      <c r="AU16" s="23">
        <f t="shared" si="29"/>
        <v>64</v>
      </c>
      <c r="AV16" s="23">
        <f t="shared" si="30"/>
        <v>64</v>
      </c>
      <c r="AW16" s="23">
        <f t="shared" si="31"/>
        <v>81</v>
      </c>
      <c r="AX16" s="23">
        <f t="shared" si="32"/>
        <v>81</v>
      </c>
      <c r="AY16" s="23">
        <f t="shared" si="33"/>
        <v>100</v>
      </c>
      <c r="AZ16" s="23">
        <f t="shared" si="34"/>
        <v>100</v>
      </c>
      <c r="BA16" s="23">
        <f t="shared" si="35"/>
        <v>121</v>
      </c>
      <c r="BB16" s="23">
        <f t="shared" si="36"/>
        <v>144</v>
      </c>
      <c r="BC16" s="23">
        <f t="shared" si="37"/>
        <v>169</v>
      </c>
      <c r="BD16" s="23"/>
      <c r="BE16" s="23">
        <v>6.4799999999999996E-2</v>
      </c>
      <c r="BF16" s="23">
        <v>6.3509999999999997E-2</v>
      </c>
      <c r="BG16" s="23">
        <v>6.1780000000000002E-2</v>
      </c>
      <c r="BH16" s="23">
        <v>6.0019999999999997E-2</v>
      </c>
      <c r="BI16" s="23">
        <v>5.8930000000000003E-2</v>
      </c>
      <c r="BJ16" s="23">
        <v>5.9373000000000002E-2</v>
      </c>
      <c r="BK16" s="23">
        <v>6.6755999999999996E-2</v>
      </c>
      <c r="BL16" s="23">
        <v>8.1433000000000005E-2</v>
      </c>
      <c r="BM16" s="23">
        <v>9.0145000000000003E-2</v>
      </c>
      <c r="BN16" s="23">
        <v>9.0467000000000006E-2</v>
      </c>
      <c r="BO16" s="23">
        <v>8.4927000000000002E-2</v>
      </c>
      <c r="BP16" s="23">
        <v>7.4520000000000003E-2</v>
      </c>
      <c r="BQ16" s="23">
        <v>6.0893000000000003E-2</v>
      </c>
    </row>
    <row r="17" spans="1:69" x14ac:dyDescent="0.3">
      <c r="A17" s="22">
        <v>15</v>
      </c>
      <c r="B17" s="18">
        <v>8</v>
      </c>
      <c r="C17" s="18">
        <v>8</v>
      </c>
      <c r="D17" s="18">
        <v>8</v>
      </c>
      <c r="E17" s="18">
        <v>8</v>
      </c>
      <c r="F17" s="18">
        <v>8</v>
      </c>
      <c r="G17" s="18">
        <v>9</v>
      </c>
      <c r="H17" s="18">
        <v>9</v>
      </c>
      <c r="I17" s="18">
        <v>10</v>
      </c>
      <c r="J17" s="18">
        <v>10</v>
      </c>
      <c r="K17" s="18">
        <v>11</v>
      </c>
      <c r="L17" s="18">
        <v>12</v>
      </c>
      <c r="M17" s="18">
        <v>13</v>
      </c>
      <c r="N17" s="18">
        <v>13</v>
      </c>
      <c r="O17" s="23"/>
      <c r="P17" s="23">
        <f t="shared" si="0"/>
        <v>0</v>
      </c>
      <c r="Q17" s="23">
        <f t="shared" si="1"/>
        <v>0</v>
      </c>
      <c r="R17" s="23">
        <f t="shared" si="2"/>
        <v>0</v>
      </c>
      <c r="S17" s="23">
        <f t="shared" si="3"/>
        <v>0</v>
      </c>
      <c r="T17" s="23">
        <f t="shared" si="4"/>
        <v>-1</v>
      </c>
      <c r="U17" s="23">
        <f t="shared" si="5"/>
        <v>0</v>
      </c>
      <c r="V17" s="23">
        <f t="shared" si="6"/>
        <v>-1</v>
      </c>
      <c r="W17" s="23">
        <f t="shared" si="7"/>
        <v>0</v>
      </c>
      <c r="X17" s="23">
        <f t="shared" si="8"/>
        <v>-1</v>
      </c>
      <c r="Y17" s="23">
        <f t="shared" si="9"/>
        <v>-1</v>
      </c>
      <c r="Z17" s="23">
        <f>(L17-M17)</f>
        <v>-1</v>
      </c>
      <c r="AA17" s="23">
        <f t="shared" si="11"/>
        <v>0</v>
      </c>
      <c r="AB17" s="23"/>
      <c r="AC17" s="23">
        <f t="shared" si="12"/>
        <v>1</v>
      </c>
      <c r="AD17" s="23">
        <f t="shared" si="13"/>
        <v>1</v>
      </c>
      <c r="AE17" s="23">
        <f t="shared" si="14"/>
        <v>1</v>
      </c>
      <c r="AF17" s="23">
        <f t="shared" si="15"/>
        <v>1</v>
      </c>
      <c r="AG17" s="23">
        <f t="shared" si="16"/>
        <v>1</v>
      </c>
      <c r="AH17" s="23">
        <f t="shared" si="17"/>
        <v>1</v>
      </c>
      <c r="AI17" s="23">
        <f t="shared" si="18"/>
        <v>1</v>
      </c>
      <c r="AJ17" s="23">
        <f t="shared" si="19"/>
        <v>1</v>
      </c>
      <c r="AK17" s="23">
        <f t="shared" si="20"/>
        <v>1</v>
      </c>
      <c r="AL17" s="23">
        <f t="shared" si="21"/>
        <v>1</v>
      </c>
      <c r="AM17" s="23">
        <f t="shared" si="22"/>
        <v>0</v>
      </c>
      <c r="AN17" s="23">
        <f t="shared" si="23"/>
        <v>0</v>
      </c>
      <c r="AO17" s="23">
        <f t="shared" si="24"/>
        <v>1</v>
      </c>
      <c r="AP17" s="23"/>
      <c r="AQ17" s="23">
        <f t="shared" si="25"/>
        <v>64</v>
      </c>
      <c r="AR17" s="23">
        <f t="shared" si="26"/>
        <v>64</v>
      </c>
      <c r="AS17" s="23">
        <f t="shared" si="27"/>
        <v>64</v>
      </c>
      <c r="AT17" s="23">
        <f t="shared" si="28"/>
        <v>64</v>
      </c>
      <c r="AU17" s="23">
        <f t="shared" si="29"/>
        <v>64</v>
      </c>
      <c r="AV17" s="23">
        <f t="shared" si="30"/>
        <v>81</v>
      </c>
      <c r="AW17" s="23">
        <f t="shared" si="31"/>
        <v>81</v>
      </c>
      <c r="AX17" s="23">
        <f t="shared" si="32"/>
        <v>100</v>
      </c>
      <c r="AY17" s="23">
        <f t="shared" si="33"/>
        <v>100</v>
      </c>
      <c r="AZ17" s="23">
        <f t="shared" si="34"/>
        <v>121</v>
      </c>
      <c r="BA17" s="23">
        <f t="shared" si="35"/>
        <v>144</v>
      </c>
      <c r="BB17" s="23">
        <f t="shared" si="36"/>
        <v>169</v>
      </c>
      <c r="BC17" s="23">
        <f t="shared" si="37"/>
        <v>169</v>
      </c>
      <c r="BD17" s="23"/>
      <c r="BE17" s="23">
        <v>7.6310000000000003E-2</v>
      </c>
      <c r="BF17" s="23">
        <v>7.3410000000000003E-2</v>
      </c>
      <c r="BG17" s="23">
        <v>6.9339999999999999E-2</v>
      </c>
      <c r="BH17" s="23">
        <v>6.5409999999999996E-2</v>
      </c>
      <c r="BI17" s="23">
        <v>6.3519999999999993E-2</v>
      </c>
      <c r="BJ17" s="23">
        <v>6.4849000000000004E-2</v>
      </c>
      <c r="BK17" s="23">
        <v>7.4605000000000005E-2</v>
      </c>
      <c r="BL17" s="23">
        <v>8.7472999999999995E-2</v>
      </c>
      <c r="BM17" s="23">
        <v>9.0085999999999999E-2</v>
      </c>
      <c r="BN17" s="23">
        <v>8.5310999999999998E-2</v>
      </c>
      <c r="BO17" s="23">
        <v>7.5631000000000004E-2</v>
      </c>
      <c r="BP17" s="23">
        <v>6.3263E-2</v>
      </c>
      <c r="BQ17" s="23">
        <v>4.9787999999999999E-2</v>
      </c>
    </row>
    <row r="18" spans="1:69" x14ac:dyDescent="0.3">
      <c r="A18" s="22">
        <v>16</v>
      </c>
      <c r="B18" s="18">
        <v>9</v>
      </c>
      <c r="C18" s="18">
        <v>9</v>
      </c>
      <c r="D18" s="18">
        <v>9</v>
      </c>
      <c r="E18" s="18">
        <v>9</v>
      </c>
      <c r="F18" s="18">
        <v>9</v>
      </c>
      <c r="G18" s="18">
        <v>10</v>
      </c>
      <c r="H18" s="18">
        <v>10</v>
      </c>
      <c r="I18" s="18">
        <v>11</v>
      </c>
      <c r="J18" s="18">
        <v>11</v>
      </c>
      <c r="K18" s="18">
        <v>12</v>
      </c>
      <c r="L18" s="18">
        <v>12</v>
      </c>
      <c r="M18" s="18">
        <v>13</v>
      </c>
      <c r="N18" s="18">
        <v>14</v>
      </c>
      <c r="O18" s="23"/>
      <c r="P18" s="23">
        <f t="shared" si="0"/>
        <v>0</v>
      </c>
      <c r="Q18" s="23">
        <f t="shared" si="1"/>
        <v>0</v>
      </c>
      <c r="R18" s="23">
        <f t="shared" si="2"/>
        <v>0</v>
      </c>
      <c r="S18" s="23">
        <f t="shared" si="3"/>
        <v>0</v>
      </c>
      <c r="T18" s="23">
        <f t="shared" si="4"/>
        <v>-1</v>
      </c>
      <c r="U18" s="23">
        <f t="shared" si="5"/>
        <v>0</v>
      </c>
      <c r="V18" s="23">
        <f t="shared" si="6"/>
        <v>-1</v>
      </c>
      <c r="W18" s="23">
        <f t="shared" si="7"/>
        <v>0</v>
      </c>
      <c r="X18" s="23">
        <f t="shared" si="8"/>
        <v>-1</v>
      </c>
      <c r="Y18" s="23">
        <f t="shared" si="9"/>
        <v>0</v>
      </c>
      <c r="Z18" s="23">
        <f t="shared" si="10"/>
        <v>-1</v>
      </c>
      <c r="AA18" s="23">
        <f t="shared" si="11"/>
        <v>-1</v>
      </c>
      <c r="AB18" s="23"/>
      <c r="AC18" s="23">
        <f t="shared" si="12"/>
        <v>1</v>
      </c>
      <c r="AD18" s="23">
        <f t="shared" si="13"/>
        <v>1</v>
      </c>
      <c r="AE18" s="23">
        <f t="shared" si="14"/>
        <v>1</v>
      </c>
      <c r="AF18" s="23">
        <f t="shared" si="15"/>
        <v>1</v>
      </c>
      <c r="AG18" s="23">
        <f t="shared" si="16"/>
        <v>1</v>
      </c>
      <c r="AH18" s="23">
        <f t="shared" si="17"/>
        <v>0</v>
      </c>
      <c r="AI18" s="23">
        <f t="shared" si="18"/>
        <v>1</v>
      </c>
      <c r="AJ18" s="23">
        <f t="shared" si="19"/>
        <v>1</v>
      </c>
      <c r="AK18" s="23">
        <f t="shared" si="20"/>
        <v>1</v>
      </c>
      <c r="AL18" s="23">
        <f t="shared" si="21"/>
        <v>1</v>
      </c>
      <c r="AM18" s="23">
        <f t="shared" si="22"/>
        <v>1</v>
      </c>
      <c r="AN18" s="23">
        <f t="shared" si="23"/>
        <v>1</v>
      </c>
      <c r="AO18" s="23">
        <f t="shared" si="24"/>
        <v>1</v>
      </c>
      <c r="AP18" s="23"/>
      <c r="AQ18" s="23">
        <f t="shared" si="25"/>
        <v>81</v>
      </c>
      <c r="AR18" s="23">
        <f t="shared" si="26"/>
        <v>81</v>
      </c>
      <c r="AS18" s="23">
        <f t="shared" si="27"/>
        <v>81</v>
      </c>
      <c r="AT18" s="23">
        <f t="shared" si="28"/>
        <v>81</v>
      </c>
      <c r="AU18" s="23">
        <f t="shared" si="29"/>
        <v>81</v>
      </c>
      <c r="AV18" s="23">
        <f t="shared" si="30"/>
        <v>100</v>
      </c>
      <c r="AW18" s="23">
        <f t="shared" si="31"/>
        <v>100</v>
      </c>
      <c r="AX18" s="23">
        <f t="shared" si="32"/>
        <v>121</v>
      </c>
      <c r="AY18" s="23">
        <f t="shared" si="33"/>
        <v>121</v>
      </c>
      <c r="AZ18" s="23">
        <f t="shared" si="34"/>
        <v>144</v>
      </c>
      <c r="BA18" s="23">
        <f t="shared" si="35"/>
        <v>144</v>
      </c>
      <c r="BB18" s="23">
        <f t="shared" si="36"/>
        <v>169</v>
      </c>
      <c r="BC18" s="23">
        <f t="shared" si="37"/>
        <v>196</v>
      </c>
      <c r="BD18" s="23"/>
      <c r="BE18" s="23">
        <v>8.7929999999999994E-2</v>
      </c>
      <c r="BF18" s="23">
        <v>8.3790000000000003E-2</v>
      </c>
      <c r="BG18" s="23">
        <v>7.7960000000000002E-2</v>
      </c>
      <c r="BH18" s="23">
        <v>7.2580000000000006E-2</v>
      </c>
      <c r="BI18" s="23">
        <v>7.0440000000000003E-2</v>
      </c>
      <c r="BJ18" s="23">
        <v>7.2751999999999997E-2</v>
      </c>
      <c r="BK18" s="23">
        <v>8.2761000000000001E-2</v>
      </c>
      <c r="BL18" s="23">
        <v>9.0144000000000002E-2</v>
      </c>
      <c r="BM18" s="23">
        <v>8.5414000000000004E-2</v>
      </c>
      <c r="BN18" s="23">
        <v>7.6269000000000003E-2</v>
      </c>
      <c r="BO18" s="23">
        <v>6.4115000000000005E-2</v>
      </c>
      <c r="BP18" s="23">
        <v>5.1470000000000002E-2</v>
      </c>
      <c r="BQ18" s="23">
        <v>3.9086999999999997E-2</v>
      </c>
    </row>
    <row r="19" spans="1:69" x14ac:dyDescent="0.3">
      <c r="A19" s="22">
        <v>17</v>
      </c>
      <c r="B19" s="18">
        <v>10</v>
      </c>
      <c r="C19" s="18">
        <v>10</v>
      </c>
      <c r="D19" s="18">
        <v>10</v>
      </c>
      <c r="E19" s="18">
        <v>10</v>
      </c>
      <c r="F19" s="18">
        <v>10</v>
      </c>
      <c r="G19" s="18">
        <v>10</v>
      </c>
      <c r="H19" s="18">
        <v>11</v>
      </c>
      <c r="I19" s="18">
        <v>12</v>
      </c>
      <c r="J19" s="18">
        <v>12</v>
      </c>
      <c r="K19" s="18">
        <v>13</v>
      </c>
      <c r="L19" s="18">
        <v>13</v>
      </c>
      <c r="M19" s="18">
        <v>14</v>
      </c>
      <c r="N19" s="18">
        <v>15</v>
      </c>
      <c r="O19" s="23"/>
      <c r="P19" s="23">
        <f t="shared" si="0"/>
        <v>0</v>
      </c>
      <c r="Q19" s="23">
        <f>(C19-D19)</f>
        <v>0</v>
      </c>
      <c r="R19" s="23">
        <f t="shared" si="2"/>
        <v>0</v>
      </c>
      <c r="S19" s="23">
        <f t="shared" si="3"/>
        <v>0</v>
      </c>
      <c r="T19" s="23">
        <f t="shared" si="4"/>
        <v>0</v>
      </c>
      <c r="U19" s="23">
        <f t="shared" si="5"/>
        <v>-1</v>
      </c>
      <c r="V19" s="23">
        <f t="shared" si="6"/>
        <v>-1</v>
      </c>
      <c r="W19" s="23">
        <f t="shared" si="7"/>
        <v>0</v>
      </c>
      <c r="X19" s="23">
        <f t="shared" si="8"/>
        <v>-1</v>
      </c>
      <c r="Y19" s="23">
        <f t="shared" si="9"/>
        <v>0</v>
      </c>
      <c r="Z19" s="23">
        <f t="shared" si="10"/>
        <v>-1</v>
      </c>
      <c r="AA19" s="23">
        <f t="shared" si="11"/>
        <v>-1</v>
      </c>
      <c r="AB19" s="23"/>
      <c r="AC19" s="23">
        <f t="shared" si="12"/>
        <v>0</v>
      </c>
      <c r="AD19" s="23">
        <f t="shared" si="13"/>
        <v>0</v>
      </c>
      <c r="AE19" s="23">
        <f t="shared" si="14"/>
        <v>0</v>
      </c>
      <c r="AF19" s="23">
        <f t="shared" si="15"/>
        <v>0</v>
      </c>
      <c r="AG19" s="23">
        <f t="shared" si="16"/>
        <v>0</v>
      </c>
      <c r="AH19" s="23">
        <f t="shared" si="17"/>
        <v>1</v>
      </c>
      <c r="AI19" s="23">
        <f t="shared" si="18"/>
        <v>1</v>
      </c>
      <c r="AJ19" s="23">
        <f t="shared" si="19"/>
        <v>1</v>
      </c>
      <c r="AK19" s="23">
        <f t="shared" si="20"/>
        <v>1</v>
      </c>
      <c r="AL19" s="23">
        <f t="shared" si="21"/>
        <v>0</v>
      </c>
      <c r="AM19" s="23">
        <f t="shared" si="22"/>
        <v>1</v>
      </c>
      <c r="AN19" s="23">
        <f t="shared" si="23"/>
        <v>1</v>
      </c>
      <c r="AO19" s="23">
        <f t="shared" si="24"/>
        <v>1</v>
      </c>
      <c r="AP19" s="23"/>
      <c r="AQ19" s="23">
        <f t="shared" si="25"/>
        <v>100</v>
      </c>
      <c r="AR19" s="23">
        <f t="shared" si="26"/>
        <v>100</v>
      </c>
      <c r="AS19" s="23">
        <f t="shared" si="27"/>
        <v>100</v>
      </c>
      <c r="AT19" s="23">
        <f t="shared" si="28"/>
        <v>100</v>
      </c>
      <c r="AU19" s="23">
        <f t="shared" si="29"/>
        <v>100</v>
      </c>
      <c r="AV19" s="23">
        <f t="shared" si="30"/>
        <v>100</v>
      </c>
      <c r="AW19" s="23">
        <f t="shared" si="31"/>
        <v>121</v>
      </c>
      <c r="AX19" s="23">
        <f t="shared" si="32"/>
        <v>144</v>
      </c>
      <c r="AY19" s="23">
        <f t="shared" si="33"/>
        <v>144</v>
      </c>
      <c r="AZ19" s="23">
        <f t="shared" si="34"/>
        <v>169</v>
      </c>
      <c r="BA19" s="23">
        <f t="shared" si="35"/>
        <v>169</v>
      </c>
      <c r="BB19" s="23">
        <f t="shared" si="36"/>
        <v>196</v>
      </c>
      <c r="BC19" s="23">
        <f t="shared" si="37"/>
        <v>225</v>
      </c>
      <c r="BD19" s="23"/>
      <c r="BE19" s="23">
        <v>9.9589999999999998E-2</v>
      </c>
      <c r="BF19" s="23">
        <v>9.5269999999999994E-2</v>
      </c>
      <c r="BG19" s="23">
        <v>8.9020000000000002E-2</v>
      </c>
      <c r="BH19" s="23">
        <v>8.3229999999999998E-2</v>
      </c>
      <c r="BI19" s="23">
        <v>8.1019999999999995E-2</v>
      </c>
      <c r="BJ19" s="23">
        <v>8.3086999999999994E-2</v>
      </c>
      <c r="BK19" s="23">
        <v>8.9646000000000003E-2</v>
      </c>
      <c r="BL19" s="23">
        <v>8.8368000000000002E-2</v>
      </c>
      <c r="BM19" s="23">
        <v>7.6587000000000002E-2</v>
      </c>
      <c r="BN19" s="23">
        <v>6.4604999999999996E-2</v>
      </c>
      <c r="BO19" s="23">
        <v>5.1796000000000002E-2</v>
      </c>
      <c r="BP19" s="23">
        <v>4.0142999999999998E-2</v>
      </c>
      <c r="BQ19" s="23">
        <v>2.9359E-2</v>
      </c>
    </row>
    <row r="20" spans="1:69" x14ac:dyDescent="0.3">
      <c r="A20" s="22">
        <v>18</v>
      </c>
      <c r="B20" s="18">
        <v>10</v>
      </c>
      <c r="C20" s="18">
        <v>10</v>
      </c>
      <c r="D20" s="18">
        <v>10</v>
      </c>
      <c r="E20" s="18">
        <v>10</v>
      </c>
      <c r="F20" s="18">
        <v>10</v>
      </c>
      <c r="G20" s="18">
        <v>11</v>
      </c>
      <c r="H20" s="18">
        <v>12</v>
      </c>
      <c r="I20" s="18">
        <v>13</v>
      </c>
      <c r="J20" s="18">
        <v>13</v>
      </c>
      <c r="K20" s="18">
        <v>13</v>
      </c>
      <c r="L20" s="18">
        <v>14</v>
      </c>
      <c r="M20" s="18">
        <v>15</v>
      </c>
      <c r="N20">
        <v>16</v>
      </c>
      <c r="O20" s="23"/>
      <c r="P20" s="23">
        <f t="shared" si="0"/>
        <v>0</v>
      </c>
      <c r="Q20" s="23">
        <f t="shared" si="1"/>
        <v>0</v>
      </c>
      <c r="R20" s="23">
        <f t="shared" si="2"/>
        <v>0</v>
      </c>
      <c r="S20" s="23">
        <f t="shared" si="3"/>
        <v>0</v>
      </c>
      <c r="T20" s="23">
        <f t="shared" si="4"/>
        <v>-1</v>
      </c>
      <c r="U20" s="23">
        <f>(G20-H20)</f>
        <v>-1</v>
      </c>
      <c r="V20" s="23">
        <f t="shared" si="6"/>
        <v>-1</v>
      </c>
      <c r="W20" s="23">
        <f t="shared" si="7"/>
        <v>0</v>
      </c>
      <c r="X20" s="23">
        <f t="shared" si="8"/>
        <v>0</v>
      </c>
      <c r="Y20" s="23">
        <f t="shared" si="9"/>
        <v>-1</v>
      </c>
      <c r="Z20" s="23">
        <f>(L20-M20)</f>
        <v>-1</v>
      </c>
      <c r="AA20" s="23">
        <f t="shared" si="11"/>
        <v>-1</v>
      </c>
      <c r="AB20" s="23"/>
      <c r="AC20" s="23">
        <f t="shared" si="12"/>
        <v>1</v>
      </c>
      <c r="AD20" s="23">
        <f t="shared" si="13"/>
        <v>1</v>
      </c>
      <c r="AE20" s="23">
        <f t="shared" si="14"/>
        <v>1</v>
      </c>
      <c r="AF20" s="23">
        <f t="shared" si="15"/>
        <v>1</v>
      </c>
      <c r="AG20" s="23">
        <f t="shared" si="16"/>
        <v>1</v>
      </c>
      <c r="AH20" s="23">
        <f t="shared" si="17"/>
        <v>1</v>
      </c>
      <c r="AI20" s="23">
        <f t="shared" si="18"/>
        <v>1</v>
      </c>
      <c r="AJ20" s="23">
        <f t="shared" si="19"/>
        <v>0</v>
      </c>
      <c r="AK20" s="23">
        <f t="shared" si="20"/>
        <v>0</v>
      </c>
      <c r="AL20" s="23">
        <f t="shared" si="21"/>
        <v>1</v>
      </c>
      <c r="AM20" s="23">
        <f t="shared" si="22"/>
        <v>1</v>
      </c>
      <c r="AN20" s="23">
        <f t="shared" si="23"/>
        <v>1</v>
      </c>
      <c r="AO20" s="23">
        <f t="shared" si="24"/>
        <v>0</v>
      </c>
      <c r="AP20" s="23"/>
      <c r="AQ20" s="23">
        <f t="shared" si="25"/>
        <v>100</v>
      </c>
      <c r="AR20" s="23">
        <f t="shared" si="26"/>
        <v>100</v>
      </c>
      <c r="AS20" s="23">
        <f t="shared" si="27"/>
        <v>100</v>
      </c>
      <c r="AT20" s="23">
        <f t="shared" si="28"/>
        <v>100</v>
      </c>
      <c r="AU20" s="23">
        <f t="shared" si="29"/>
        <v>100</v>
      </c>
      <c r="AV20" s="23">
        <f t="shared" si="30"/>
        <v>121</v>
      </c>
      <c r="AW20" s="23">
        <f t="shared" si="31"/>
        <v>144</v>
      </c>
      <c r="AX20" s="23">
        <f t="shared" si="32"/>
        <v>169</v>
      </c>
      <c r="AY20" s="23">
        <f t="shared" si="33"/>
        <v>169</v>
      </c>
      <c r="AZ20" s="23">
        <f t="shared" si="34"/>
        <v>169</v>
      </c>
      <c r="BA20" s="23">
        <f t="shared" si="35"/>
        <v>196</v>
      </c>
      <c r="BB20" s="23">
        <f t="shared" si="36"/>
        <v>225</v>
      </c>
      <c r="BC20" s="23">
        <f t="shared" si="37"/>
        <v>256</v>
      </c>
      <c r="BD20" s="23"/>
      <c r="BE20" s="23">
        <v>0.10882</v>
      </c>
      <c r="BF20" s="23">
        <v>0.10564999999999999</v>
      </c>
      <c r="BG20" s="23">
        <v>0.1007</v>
      </c>
      <c r="BH20" s="23">
        <v>9.5670000000000005E-2</v>
      </c>
      <c r="BI20" s="23">
        <v>9.3270000000000006E-2</v>
      </c>
      <c r="BJ20" s="23">
        <v>9.3211000000000002E-2</v>
      </c>
      <c r="BK20" s="23">
        <v>9.2763999999999999E-2</v>
      </c>
      <c r="BL20" s="23">
        <v>8.1654000000000004E-2</v>
      </c>
      <c r="BM20" s="23">
        <v>6.4722000000000002E-2</v>
      </c>
      <c r="BN20" s="23">
        <v>5.1818000000000003E-2</v>
      </c>
      <c r="BO20" s="23">
        <v>3.9912000000000003E-2</v>
      </c>
      <c r="BP20" s="23">
        <v>3.0009000000000001E-2</v>
      </c>
      <c r="BQ20" s="23">
        <v>2.1061E-2</v>
      </c>
    </row>
    <row r="21" spans="1:69" x14ac:dyDescent="0.3">
      <c r="A21" s="22">
        <v>19</v>
      </c>
      <c r="B21" s="18">
        <v>11</v>
      </c>
      <c r="C21" s="18">
        <v>11</v>
      </c>
      <c r="D21" s="18">
        <v>11</v>
      </c>
      <c r="E21" s="18">
        <v>11</v>
      </c>
      <c r="F21" s="18">
        <v>11</v>
      </c>
      <c r="G21" s="18">
        <v>12</v>
      </c>
      <c r="H21" s="18">
        <v>13</v>
      </c>
      <c r="I21" s="18">
        <v>13</v>
      </c>
      <c r="J21" s="18">
        <v>13</v>
      </c>
      <c r="K21" s="18">
        <v>14</v>
      </c>
      <c r="L21" s="18">
        <v>15</v>
      </c>
      <c r="M21" s="18">
        <v>16</v>
      </c>
      <c r="N21" s="18">
        <v>16</v>
      </c>
      <c r="O21" s="23"/>
      <c r="P21" s="23">
        <f t="shared" si="0"/>
        <v>0</v>
      </c>
      <c r="Q21" s="23">
        <f t="shared" si="1"/>
        <v>0</v>
      </c>
      <c r="R21" s="23">
        <f t="shared" si="2"/>
        <v>0</v>
      </c>
      <c r="S21" s="23">
        <f t="shared" si="3"/>
        <v>0</v>
      </c>
      <c r="T21" s="23">
        <f t="shared" si="4"/>
        <v>-1</v>
      </c>
      <c r="U21" s="23">
        <f t="shared" si="5"/>
        <v>-1</v>
      </c>
      <c r="V21" s="23">
        <f t="shared" si="6"/>
        <v>0</v>
      </c>
      <c r="W21" s="23">
        <f t="shared" si="7"/>
        <v>0</v>
      </c>
      <c r="X21" s="23">
        <f t="shared" si="8"/>
        <v>-1</v>
      </c>
      <c r="Y21" s="23">
        <f t="shared" si="9"/>
        <v>-1</v>
      </c>
      <c r="Z21" s="23">
        <f t="shared" si="10"/>
        <v>-1</v>
      </c>
      <c r="AA21" s="23">
        <f t="shared" si="11"/>
        <v>0</v>
      </c>
      <c r="AB21" s="23"/>
      <c r="AC21" s="23">
        <f t="shared" si="12"/>
        <v>1</v>
      </c>
      <c r="AD21" s="23">
        <f t="shared" si="13"/>
        <v>1</v>
      </c>
      <c r="AE21" s="23">
        <f t="shared" si="14"/>
        <v>1</v>
      </c>
      <c r="AF21" s="23">
        <f t="shared" si="15"/>
        <v>1</v>
      </c>
      <c r="AG21" s="23">
        <f t="shared" si="16"/>
        <v>1</v>
      </c>
      <c r="AH21" s="23">
        <f>(G22-G21)</f>
        <v>1</v>
      </c>
      <c r="AI21" s="23">
        <f t="shared" si="18"/>
        <v>0</v>
      </c>
      <c r="AJ21" s="23">
        <f t="shared" si="19"/>
        <v>1</v>
      </c>
      <c r="AK21" s="23">
        <f t="shared" si="20"/>
        <v>1</v>
      </c>
      <c r="AL21" s="23">
        <f t="shared" si="21"/>
        <v>1</v>
      </c>
      <c r="AM21" s="23">
        <f t="shared" si="22"/>
        <v>0</v>
      </c>
      <c r="AN21" s="23">
        <f t="shared" si="23"/>
        <v>0</v>
      </c>
      <c r="AO21" s="23">
        <f t="shared" si="24"/>
        <v>1</v>
      </c>
      <c r="AP21" s="23"/>
      <c r="AQ21" s="23">
        <f t="shared" si="25"/>
        <v>121</v>
      </c>
      <c r="AR21" s="23">
        <f t="shared" si="26"/>
        <v>121</v>
      </c>
      <c r="AS21" s="23">
        <f t="shared" si="27"/>
        <v>121</v>
      </c>
      <c r="AT21" s="23">
        <f t="shared" si="28"/>
        <v>121</v>
      </c>
      <c r="AU21" s="23">
        <f t="shared" si="29"/>
        <v>121</v>
      </c>
      <c r="AV21" s="23">
        <f t="shared" si="30"/>
        <v>144</v>
      </c>
      <c r="AW21" s="23">
        <f t="shared" si="31"/>
        <v>169</v>
      </c>
      <c r="AX21" s="23">
        <f t="shared" si="32"/>
        <v>169</v>
      </c>
      <c r="AY21" s="23">
        <f t="shared" si="33"/>
        <v>169</v>
      </c>
      <c r="AZ21" s="23">
        <f t="shared" si="34"/>
        <v>196</v>
      </c>
      <c r="BA21" s="23">
        <f t="shared" si="35"/>
        <v>225</v>
      </c>
      <c r="BB21" s="23">
        <f t="shared" si="36"/>
        <v>256</v>
      </c>
      <c r="BC21" s="23">
        <f t="shared" si="37"/>
        <v>256</v>
      </c>
      <c r="BD21" s="23"/>
      <c r="BE21" s="23">
        <v>0.1111</v>
      </c>
      <c r="BF21" s="23">
        <v>0.11015</v>
      </c>
      <c r="BG21" s="23">
        <v>0.10798000000000001</v>
      </c>
      <c r="BH21" s="23">
        <v>0.1048</v>
      </c>
      <c r="BI21" s="23">
        <v>0.10221</v>
      </c>
      <c r="BJ21" s="23">
        <v>9.8754999999999996E-2</v>
      </c>
      <c r="BK21" s="23">
        <v>8.9818999999999996E-2</v>
      </c>
      <c r="BL21" s="23">
        <v>7.0473999999999995E-2</v>
      </c>
      <c r="BM21" s="23">
        <v>5.1360999999999997E-2</v>
      </c>
      <c r="BN21" s="23">
        <v>3.9329999999999997E-2</v>
      </c>
      <c r="BO21" s="23">
        <v>2.9359E-2</v>
      </c>
      <c r="BP21" s="23">
        <v>2.1503999999999999E-2</v>
      </c>
      <c r="BQ21" s="23">
        <v>1.4454E-2</v>
      </c>
    </row>
    <row r="22" spans="1:69" x14ac:dyDescent="0.3">
      <c r="A22" s="22">
        <v>20</v>
      </c>
      <c r="B22" s="18">
        <v>12</v>
      </c>
      <c r="C22" s="18">
        <v>12</v>
      </c>
      <c r="D22" s="18">
        <v>12</v>
      </c>
      <c r="E22" s="18">
        <v>12</v>
      </c>
      <c r="F22" s="18">
        <v>12</v>
      </c>
      <c r="G22" s="18">
        <v>13</v>
      </c>
      <c r="H22" s="18">
        <v>13</v>
      </c>
      <c r="I22" s="18">
        <v>14</v>
      </c>
      <c r="J22" s="18">
        <v>14</v>
      </c>
      <c r="K22" s="18">
        <v>15</v>
      </c>
      <c r="L22" s="18">
        <v>15</v>
      </c>
      <c r="M22" s="18">
        <v>16</v>
      </c>
      <c r="N22" s="18">
        <v>17</v>
      </c>
      <c r="O22" s="23"/>
      <c r="P22" s="23">
        <f t="shared" si="0"/>
        <v>0</v>
      </c>
      <c r="Q22" s="23">
        <f t="shared" si="1"/>
        <v>0</v>
      </c>
      <c r="R22" s="23">
        <f t="shared" si="2"/>
        <v>0</v>
      </c>
      <c r="S22" s="23">
        <f t="shared" si="3"/>
        <v>0</v>
      </c>
      <c r="T22" s="23">
        <f t="shared" si="4"/>
        <v>-1</v>
      </c>
      <c r="U22" s="23">
        <f t="shared" si="5"/>
        <v>0</v>
      </c>
      <c r="V22" s="23">
        <f t="shared" si="6"/>
        <v>-1</v>
      </c>
      <c r="W22" s="23">
        <f t="shared" si="7"/>
        <v>0</v>
      </c>
      <c r="X22" s="23">
        <f t="shared" si="8"/>
        <v>-1</v>
      </c>
      <c r="Y22" s="23">
        <f t="shared" si="9"/>
        <v>0</v>
      </c>
      <c r="Z22" s="23">
        <f t="shared" si="10"/>
        <v>-1</v>
      </c>
      <c r="AA22" s="23">
        <f t="shared" si="11"/>
        <v>-1</v>
      </c>
      <c r="AB22" s="23"/>
      <c r="AC22" s="23">
        <f t="shared" si="12"/>
        <v>1</v>
      </c>
      <c r="AD22" s="23">
        <f t="shared" si="13"/>
        <v>1</v>
      </c>
      <c r="AE22" s="23">
        <f t="shared" si="14"/>
        <v>1</v>
      </c>
      <c r="AF22" s="23">
        <f t="shared" si="15"/>
        <v>1</v>
      </c>
      <c r="AG22" s="23">
        <f t="shared" si="16"/>
        <v>1</v>
      </c>
      <c r="AH22" s="23">
        <f t="shared" si="17"/>
        <v>1</v>
      </c>
      <c r="AI22" s="23">
        <f t="shared" si="18"/>
        <v>1</v>
      </c>
      <c r="AJ22" s="23">
        <f t="shared" si="19"/>
        <v>1</v>
      </c>
      <c r="AK22" s="23">
        <f t="shared" si="20"/>
        <v>1</v>
      </c>
      <c r="AL22" s="23">
        <f t="shared" si="21"/>
        <v>1</v>
      </c>
      <c r="AM22" s="23">
        <f t="shared" si="22"/>
        <v>1</v>
      </c>
      <c r="AN22" s="23">
        <f t="shared" si="23"/>
        <v>1</v>
      </c>
      <c r="AO22" s="23">
        <f t="shared" si="24"/>
        <v>0</v>
      </c>
      <c r="AP22" s="23"/>
      <c r="AQ22" s="23">
        <f t="shared" si="25"/>
        <v>144</v>
      </c>
      <c r="AR22" s="23">
        <f t="shared" si="26"/>
        <v>144</v>
      </c>
      <c r="AS22" s="23">
        <f t="shared" si="27"/>
        <v>144</v>
      </c>
      <c r="AT22" s="23">
        <f t="shared" si="28"/>
        <v>144</v>
      </c>
      <c r="AU22" s="23">
        <f t="shared" si="29"/>
        <v>144</v>
      </c>
      <c r="AV22" s="23">
        <f t="shared" si="30"/>
        <v>169</v>
      </c>
      <c r="AW22" s="23">
        <f t="shared" si="31"/>
        <v>169</v>
      </c>
      <c r="AX22" s="23">
        <f t="shared" si="32"/>
        <v>196</v>
      </c>
      <c r="AY22" s="23">
        <f t="shared" si="33"/>
        <v>196</v>
      </c>
      <c r="AZ22" s="23">
        <f t="shared" si="34"/>
        <v>225</v>
      </c>
      <c r="BA22" s="23">
        <f t="shared" si="35"/>
        <v>225</v>
      </c>
      <c r="BB22" s="23">
        <f t="shared" si="36"/>
        <v>256</v>
      </c>
      <c r="BC22" s="23">
        <f t="shared" si="37"/>
        <v>289</v>
      </c>
      <c r="BD22" s="23"/>
      <c r="BE22" s="23">
        <v>0.10267</v>
      </c>
      <c r="BF22" s="23">
        <v>0.10421</v>
      </c>
      <c r="BG22" s="23">
        <v>0.10542</v>
      </c>
      <c r="BH22" s="23">
        <v>0.10485</v>
      </c>
      <c r="BI22" s="23">
        <v>0.10244</v>
      </c>
      <c r="BJ22" s="23">
        <v>9.5865000000000006E-2</v>
      </c>
      <c r="BK22" s="23">
        <v>7.9962000000000005E-2</v>
      </c>
      <c r="BL22" s="23">
        <v>5.6286000000000003E-2</v>
      </c>
      <c r="BM22" s="23">
        <v>3.8122999999999997E-2</v>
      </c>
      <c r="BN22" s="23">
        <v>2.8230000000000002E-2</v>
      </c>
      <c r="BO22" s="23">
        <v>2.0632999999999999E-2</v>
      </c>
      <c r="BP22" s="23">
        <v>1.4784E-2</v>
      </c>
      <c r="BQ22" s="23">
        <v>9.5440000000000004E-3</v>
      </c>
    </row>
    <row r="23" spans="1:69" x14ac:dyDescent="0.3">
      <c r="A23" s="22">
        <v>21</v>
      </c>
      <c r="B23" s="18">
        <v>13</v>
      </c>
      <c r="C23" s="18">
        <v>13</v>
      </c>
      <c r="D23" s="18">
        <v>13</v>
      </c>
      <c r="E23" s="18">
        <v>13</v>
      </c>
      <c r="F23" s="18">
        <v>13</v>
      </c>
      <c r="G23" s="18">
        <v>14</v>
      </c>
      <c r="H23" s="18">
        <v>14</v>
      </c>
      <c r="I23" s="18">
        <v>15</v>
      </c>
      <c r="J23" s="18">
        <v>15</v>
      </c>
      <c r="K23" s="18">
        <v>16</v>
      </c>
      <c r="L23" s="18">
        <v>16</v>
      </c>
      <c r="M23" s="18">
        <v>17</v>
      </c>
      <c r="N23">
        <v>17</v>
      </c>
      <c r="O23" s="23"/>
      <c r="P23" s="23">
        <f t="shared" si="0"/>
        <v>0</v>
      </c>
      <c r="Q23" s="23">
        <f t="shared" si="1"/>
        <v>0</v>
      </c>
      <c r="R23" s="23">
        <f t="shared" si="2"/>
        <v>0</v>
      </c>
      <c r="S23" s="23">
        <f>(E23-F23)</f>
        <v>0</v>
      </c>
      <c r="T23" s="23">
        <f t="shared" si="4"/>
        <v>-1</v>
      </c>
      <c r="U23" s="23">
        <f t="shared" si="5"/>
        <v>0</v>
      </c>
      <c r="V23" s="23">
        <f t="shared" si="6"/>
        <v>-1</v>
      </c>
      <c r="W23" s="23">
        <f t="shared" si="7"/>
        <v>0</v>
      </c>
      <c r="X23" s="23">
        <f t="shared" si="8"/>
        <v>-1</v>
      </c>
      <c r="Y23" s="23">
        <f t="shared" si="9"/>
        <v>0</v>
      </c>
      <c r="Z23" s="23">
        <f>(L23-M23)</f>
        <v>-1</v>
      </c>
      <c r="AA23" s="23">
        <f t="shared" si="11"/>
        <v>0</v>
      </c>
      <c r="AB23" s="23"/>
      <c r="AC23" s="23">
        <f t="shared" si="12"/>
        <v>1</v>
      </c>
      <c r="AD23" s="23">
        <f t="shared" si="13"/>
        <v>1</v>
      </c>
      <c r="AE23" s="23">
        <f t="shared" si="14"/>
        <v>1</v>
      </c>
      <c r="AF23" s="23">
        <f t="shared" si="15"/>
        <v>1</v>
      </c>
      <c r="AG23" s="23">
        <f t="shared" si="16"/>
        <v>1</v>
      </c>
      <c r="AH23" s="23">
        <f t="shared" si="17"/>
        <v>1</v>
      </c>
      <c r="AI23" s="23">
        <f t="shared" si="18"/>
        <v>1</v>
      </c>
      <c r="AJ23" s="23">
        <f>(I24-I23)</f>
        <v>1</v>
      </c>
      <c r="AK23" s="23">
        <f t="shared" si="20"/>
        <v>1</v>
      </c>
      <c r="AL23" s="23">
        <f t="shared" si="21"/>
        <v>1</v>
      </c>
      <c r="AM23" s="23">
        <f t="shared" si="22"/>
        <v>1</v>
      </c>
      <c r="AN23" s="23">
        <f t="shared" si="23"/>
        <v>1</v>
      </c>
      <c r="AO23" s="23">
        <f t="shared" si="24"/>
        <v>1</v>
      </c>
      <c r="AP23" s="23"/>
      <c r="AQ23" s="23">
        <f t="shared" si="25"/>
        <v>169</v>
      </c>
      <c r="AR23" s="23">
        <f t="shared" si="26"/>
        <v>169</v>
      </c>
      <c r="AS23" s="23">
        <f t="shared" si="27"/>
        <v>169</v>
      </c>
      <c r="AT23" s="23">
        <f t="shared" si="28"/>
        <v>169</v>
      </c>
      <c r="AU23" s="23">
        <f t="shared" si="29"/>
        <v>169</v>
      </c>
      <c r="AV23" s="23">
        <f t="shared" si="30"/>
        <v>196</v>
      </c>
      <c r="AW23" s="23">
        <f t="shared" si="31"/>
        <v>196</v>
      </c>
      <c r="AX23" s="23">
        <f t="shared" si="32"/>
        <v>225</v>
      </c>
      <c r="AY23" s="23">
        <f t="shared" si="33"/>
        <v>225</v>
      </c>
      <c r="AZ23" s="23">
        <f t="shared" si="34"/>
        <v>256</v>
      </c>
      <c r="BA23" s="23">
        <f t="shared" si="35"/>
        <v>256</v>
      </c>
      <c r="BB23" s="23">
        <f t="shared" si="36"/>
        <v>289</v>
      </c>
      <c r="BC23" s="23">
        <f t="shared" si="37"/>
        <v>289</v>
      </c>
      <c r="BD23" s="23"/>
      <c r="BE23" s="23">
        <v>8.3570000000000005E-2</v>
      </c>
      <c r="BF23" s="23">
        <v>8.6910000000000001E-2</v>
      </c>
      <c r="BG23" s="23">
        <v>9.0920000000000001E-2</v>
      </c>
      <c r="BH23" s="23">
        <v>9.2969999999999997E-2</v>
      </c>
      <c r="BI23" s="23">
        <v>9.1370000000000007E-2</v>
      </c>
      <c r="BJ23" s="23">
        <v>8.3389000000000005E-2</v>
      </c>
      <c r="BK23" s="23">
        <v>6.4409999999999995E-2</v>
      </c>
      <c r="BL23" s="23">
        <v>4.1166000000000001E-2</v>
      </c>
      <c r="BM23" s="23">
        <v>2.6348E-2</v>
      </c>
      <c r="BN23" s="23">
        <v>1.9148999999999999E-2</v>
      </c>
      <c r="BO23" s="23">
        <v>1.3864E-2</v>
      </c>
      <c r="BP23" s="23">
        <v>9.7710000000000002E-3</v>
      </c>
      <c r="BQ23" s="23">
        <v>6.1199999999999996E-3</v>
      </c>
    </row>
    <row r="24" spans="1:69" x14ac:dyDescent="0.3">
      <c r="A24" s="22">
        <v>22</v>
      </c>
      <c r="B24" s="18">
        <v>14</v>
      </c>
      <c r="C24" s="18">
        <v>14</v>
      </c>
      <c r="D24" s="18">
        <v>14</v>
      </c>
      <c r="E24" s="18">
        <v>14</v>
      </c>
      <c r="F24" s="18">
        <v>14</v>
      </c>
      <c r="G24" s="18">
        <v>15</v>
      </c>
      <c r="H24" s="18">
        <v>15</v>
      </c>
      <c r="I24" s="18">
        <v>16</v>
      </c>
      <c r="J24" s="18">
        <v>16</v>
      </c>
      <c r="K24">
        <v>17</v>
      </c>
      <c r="L24" s="18">
        <v>17</v>
      </c>
      <c r="M24">
        <v>18</v>
      </c>
      <c r="N24">
        <v>18</v>
      </c>
      <c r="O24" s="23"/>
      <c r="P24" s="23">
        <f t="shared" si="0"/>
        <v>0</v>
      </c>
      <c r="Q24" s="23">
        <f t="shared" si="1"/>
        <v>0</v>
      </c>
      <c r="R24" s="23">
        <f t="shared" si="2"/>
        <v>0</v>
      </c>
      <c r="S24" s="23">
        <f t="shared" si="3"/>
        <v>0</v>
      </c>
      <c r="T24" s="23">
        <f t="shared" si="4"/>
        <v>-1</v>
      </c>
      <c r="U24" s="23">
        <f t="shared" si="5"/>
        <v>0</v>
      </c>
      <c r="V24" s="23">
        <f t="shared" si="6"/>
        <v>-1</v>
      </c>
      <c r="W24" s="23">
        <f t="shared" si="7"/>
        <v>0</v>
      </c>
      <c r="X24" s="23">
        <f t="shared" si="8"/>
        <v>-1</v>
      </c>
      <c r="Y24" s="23">
        <f t="shared" si="9"/>
        <v>0</v>
      </c>
      <c r="Z24" s="23">
        <f t="shared" si="10"/>
        <v>-1</v>
      </c>
      <c r="AA24" s="23">
        <f t="shared" si="11"/>
        <v>0</v>
      </c>
      <c r="AB24" s="23"/>
      <c r="AC24" s="23">
        <f t="shared" si="12"/>
        <v>1</v>
      </c>
      <c r="AD24" s="23">
        <f t="shared" si="13"/>
        <v>1</v>
      </c>
      <c r="AE24" s="23">
        <f t="shared" si="14"/>
        <v>1</v>
      </c>
      <c r="AF24" s="23">
        <f>(E25-E24)</f>
        <v>1</v>
      </c>
      <c r="AG24" s="23">
        <f>(F25-F24)</f>
        <v>1</v>
      </c>
      <c r="AH24" s="23">
        <f t="shared" si="17"/>
        <v>1</v>
      </c>
      <c r="AI24" s="23">
        <f t="shared" si="18"/>
        <v>1</v>
      </c>
      <c r="AJ24" s="23">
        <f t="shared" si="19"/>
        <v>0</v>
      </c>
      <c r="AK24" s="23">
        <f t="shared" si="20"/>
        <v>1</v>
      </c>
      <c r="AL24" s="23">
        <f t="shared" si="21"/>
        <v>0</v>
      </c>
      <c r="AM24" s="23">
        <f t="shared" si="22"/>
        <v>1</v>
      </c>
      <c r="AN24" s="23">
        <f t="shared" si="23"/>
        <v>0</v>
      </c>
      <c r="AO24" s="23">
        <f t="shared" si="24"/>
        <v>0</v>
      </c>
      <c r="AP24" s="23"/>
      <c r="AQ24" s="23">
        <f t="shared" si="25"/>
        <v>196</v>
      </c>
      <c r="AR24" s="23">
        <f t="shared" si="26"/>
        <v>196</v>
      </c>
      <c r="AS24" s="23">
        <f t="shared" si="27"/>
        <v>196</v>
      </c>
      <c r="AT24" s="23">
        <f t="shared" si="28"/>
        <v>196</v>
      </c>
      <c r="AU24" s="23">
        <f t="shared" si="29"/>
        <v>196</v>
      </c>
      <c r="AV24" s="23">
        <f t="shared" si="30"/>
        <v>225</v>
      </c>
      <c r="AW24" s="23">
        <f t="shared" si="31"/>
        <v>225</v>
      </c>
      <c r="AX24" s="23">
        <f t="shared" si="32"/>
        <v>256</v>
      </c>
      <c r="AY24" s="23">
        <f t="shared" si="33"/>
        <v>256</v>
      </c>
      <c r="AZ24" s="23">
        <f t="shared" si="34"/>
        <v>289</v>
      </c>
      <c r="BA24" s="23">
        <f t="shared" si="35"/>
        <v>289</v>
      </c>
      <c r="BB24" s="23">
        <f t="shared" si="36"/>
        <v>324</v>
      </c>
      <c r="BC24" s="23">
        <f t="shared" si="37"/>
        <v>324</v>
      </c>
      <c r="BD24" s="23"/>
      <c r="BE24" s="23">
        <v>5.824E-2</v>
      </c>
      <c r="BF24" s="23">
        <v>6.2109999999999999E-2</v>
      </c>
      <c r="BG24" s="23">
        <v>6.7360000000000003E-2</v>
      </c>
      <c r="BH24" s="23">
        <v>7.1190000000000003E-2</v>
      </c>
      <c r="BI24" s="23">
        <v>7.0809999999999998E-2</v>
      </c>
      <c r="BJ24" s="23">
        <v>6.3626000000000002E-2</v>
      </c>
      <c r="BK24" s="23">
        <v>4.6059999999999997E-2</v>
      </c>
      <c r="BL24" s="23">
        <v>2.7188E-2</v>
      </c>
      <c r="BM24" s="23">
        <v>1.6861999999999999E-2</v>
      </c>
      <c r="BN24" s="23">
        <v>1.2266000000000001E-2</v>
      </c>
      <c r="BO24" s="23">
        <v>8.9149999999999993E-3</v>
      </c>
      <c r="BP24" s="23">
        <v>6.228E-3</v>
      </c>
      <c r="BQ24" s="23">
        <v>3.8500000000000001E-3</v>
      </c>
    </row>
    <row r="25" spans="1:69" x14ac:dyDescent="0.3">
      <c r="A25" s="22">
        <v>23</v>
      </c>
      <c r="B25">
        <v>15</v>
      </c>
      <c r="C25" s="18">
        <v>15</v>
      </c>
      <c r="D25" s="18">
        <v>15</v>
      </c>
      <c r="E25">
        <v>15</v>
      </c>
      <c r="F25" s="18">
        <v>15</v>
      </c>
      <c r="G25" s="18">
        <v>16</v>
      </c>
      <c r="H25" s="18">
        <v>16</v>
      </c>
      <c r="I25">
        <v>16</v>
      </c>
      <c r="J25" s="18">
        <v>17</v>
      </c>
      <c r="K25">
        <v>17</v>
      </c>
      <c r="L25">
        <v>18</v>
      </c>
      <c r="M25">
        <v>18</v>
      </c>
      <c r="N25">
        <v>18</v>
      </c>
      <c r="O25" s="23"/>
      <c r="P25" s="23">
        <f t="shared" si="0"/>
        <v>0</v>
      </c>
      <c r="Q25" s="23">
        <f t="shared" si="1"/>
        <v>0</v>
      </c>
      <c r="R25" s="23">
        <f t="shared" si="2"/>
        <v>0</v>
      </c>
      <c r="S25" s="23">
        <f>(E25-F25)</f>
        <v>0</v>
      </c>
      <c r="T25" s="23">
        <f t="shared" si="4"/>
        <v>-1</v>
      </c>
      <c r="U25" s="23">
        <f t="shared" si="5"/>
        <v>0</v>
      </c>
      <c r="V25" s="23">
        <f>(H25-I25)</f>
        <v>0</v>
      </c>
      <c r="W25" s="23">
        <f t="shared" si="7"/>
        <v>-1</v>
      </c>
      <c r="X25" s="23">
        <f t="shared" si="8"/>
        <v>0</v>
      </c>
      <c r="Y25" s="23">
        <f t="shared" si="9"/>
        <v>-1</v>
      </c>
      <c r="Z25" s="23">
        <f t="shared" si="10"/>
        <v>0</v>
      </c>
      <c r="AA25" s="23">
        <f t="shared" si="11"/>
        <v>0</v>
      </c>
      <c r="AB25" s="23"/>
      <c r="AC25" s="23">
        <f t="shared" si="12"/>
        <v>1</v>
      </c>
      <c r="AD25" s="23">
        <f t="shared" si="13"/>
        <v>1</v>
      </c>
      <c r="AE25" s="23">
        <f t="shared" si="14"/>
        <v>1</v>
      </c>
      <c r="AF25" s="23">
        <f t="shared" si="15"/>
        <v>1</v>
      </c>
      <c r="AG25" s="23">
        <f>(F26-F25)</f>
        <v>2</v>
      </c>
      <c r="AH25" s="23">
        <f>(G26-G25)</f>
        <v>1</v>
      </c>
      <c r="AI25" s="23">
        <f t="shared" si="18"/>
        <v>1</v>
      </c>
      <c r="AJ25" s="23">
        <f>(I26-I25)</f>
        <v>1</v>
      </c>
      <c r="AK25" s="23">
        <f t="shared" si="20"/>
        <v>1</v>
      </c>
      <c r="AL25" s="23">
        <f t="shared" si="21"/>
        <v>1</v>
      </c>
      <c r="AM25" s="23">
        <f t="shared" si="22"/>
        <v>0</v>
      </c>
      <c r="AN25" s="23">
        <f t="shared" si="23"/>
        <v>1</v>
      </c>
      <c r="AO25" s="23">
        <f t="shared" si="24"/>
        <v>1</v>
      </c>
      <c r="AP25" s="23"/>
      <c r="AQ25" s="23">
        <f t="shared" si="25"/>
        <v>225</v>
      </c>
      <c r="AR25" s="23">
        <f t="shared" si="26"/>
        <v>225</v>
      </c>
      <c r="AS25" s="23">
        <f t="shared" si="27"/>
        <v>225</v>
      </c>
      <c r="AT25" s="23">
        <f t="shared" si="28"/>
        <v>225</v>
      </c>
      <c r="AU25" s="23">
        <f t="shared" si="29"/>
        <v>225</v>
      </c>
      <c r="AV25" s="23">
        <f t="shared" si="30"/>
        <v>256</v>
      </c>
      <c r="AW25" s="23">
        <f t="shared" si="31"/>
        <v>256</v>
      </c>
      <c r="AX25" s="23">
        <f t="shared" si="32"/>
        <v>256</v>
      </c>
      <c r="AY25" s="23">
        <f t="shared" si="33"/>
        <v>289</v>
      </c>
      <c r="AZ25" s="23">
        <f t="shared" si="34"/>
        <v>289</v>
      </c>
      <c r="BA25" s="23">
        <f t="shared" si="35"/>
        <v>324</v>
      </c>
      <c r="BB25" s="23">
        <f t="shared" si="36"/>
        <v>324</v>
      </c>
      <c r="BC25" s="23">
        <f t="shared" si="37"/>
        <v>324</v>
      </c>
      <c r="BD25" s="23"/>
      <c r="BE25" s="23">
        <v>3.3300000000000003E-2</v>
      </c>
      <c r="BF25" s="23">
        <v>3.644E-2</v>
      </c>
      <c r="BG25" s="23">
        <v>4.1169999999999998E-2</v>
      </c>
      <c r="BH25" s="23">
        <v>4.5379999999999997E-2</v>
      </c>
      <c r="BI25" s="23">
        <v>4.6089999999999999E-2</v>
      </c>
      <c r="BJ25" s="23">
        <v>4.1244999999999997E-2</v>
      </c>
      <c r="BK25" s="23">
        <v>2.8357E-2</v>
      </c>
      <c r="BL25" s="23">
        <v>1.5858000000000001E-2</v>
      </c>
      <c r="BM25" s="23">
        <v>9.92E-3</v>
      </c>
      <c r="BN25" s="23">
        <v>7.4149999999999997E-3</v>
      </c>
      <c r="BO25" s="23">
        <v>5.4910000000000002E-3</v>
      </c>
      <c r="BP25" s="23">
        <v>3.8430000000000001E-3</v>
      </c>
      <c r="BQ25" s="23">
        <v>2.3939999999999999E-3</v>
      </c>
    </row>
    <row r="26" spans="1:69" x14ac:dyDescent="0.3">
      <c r="A26" s="22">
        <v>24</v>
      </c>
      <c r="B26" s="18">
        <v>16</v>
      </c>
      <c r="C26" s="18">
        <v>16</v>
      </c>
      <c r="D26" s="18">
        <v>16</v>
      </c>
      <c r="E26" s="18">
        <v>16</v>
      </c>
      <c r="F26" s="18">
        <v>17</v>
      </c>
      <c r="G26" s="18">
        <v>17</v>
      </c>
      <c r="H26">
        <v>17</v>
      </c>
      <c r="I26">
        <v>17</v>
      </c>
      <c r="J26" s="18">
        <v>18</v>
      </c>
      <c r="K26">
        <v>18</v>
      </c>
      <c r="L26">
        <v>18</v>
      </c>
      <c r="M26">
        <v>19</v>
      </c>
      <c r="N26">
        <v>19</v>
      </c>
      <c r="O26" s="23"/>
      <c r="P26" s="23">
        <f t="shared" si="0"/>
        <v>0</v>
      </c>
      <c r="Q26" s="23">
        <f t="shared" si="1"/>
        <v>0</v>
      </c>
      <c r="R26" s="23">
        <f t="shared" si="2"/>
        <v>0</v>
      </c>
      <c r="S26" s="23">
        <f t="shared" si="3"/>
        <v>-1</v>
      </c>
      <c r="T26" s="23">
        <f t="shared" si="4"/>
        <v>0</v>
      </c>
      <c r="U26" s="23">
        <f t="shared" si="5"/>
        <v>0</v>
      </c>
      <c r="V26" s="23">
        <f t="shared" si="6"/>
        <v>0</v>
      </c>
      <c r="W26" s="23">
        <f t="shared" si="7"/>
        <v>-1</v>
      </c>
      <c r="X26" s="23">
        <f t="shared" si="8"/>
        <v>0</v>
      </c>
      <c r="Y26" s="23">
        <f t="shared" si="9"/>
        <v>0</v>
      </c>
      <c r="Z26" s="23">
        <f t="shared" si="10"/>
        <v>-1</v>
      </c>
      <c r="AA26" s="23">
        <f t="shared" si="11"/>
        <v>0</v>
      </c>
      <c r="AB26" s="23"/>
      <c r="AC26" s="23">
        <f t="shared" si="12"/>
        <v>1</v>
      </c>
      <c r="AD26" s="23">
        <f t="shared" si="13"/>
        <v>1</v>
      </c>
      <c r="AE26" s="23">
        <f t="shared" si="14"/>
        <v>1</v>
      </c>
      <c r="AF26" s="23">
        <f>(E27-E26)</f>
        <v>1</v>
      </c>
      <c r="AG26" s="23">
        <f t="shared" si="16"/>
        <v>1</v>
      </c>
      <c r="AH26" s="23">
        <f t="shared" si="17"/>
        <v>1</v>
      </c>
      <c r="AI26" s="23">
        <f t="shared" si="18"/>
        <v>1</v>
      </c>
      <c r="AJ26" s="23">
        <f t="shared" si="19"/>
        <v>1</v>
      </c>
      <c r="AK26" s="23">
        <f t="shared" si="20"/>
        <v>0</v>
      </c>
      <c r="AL26" s="23">
        <f t="shared" si="21"/>
        <v>1</v>
      </c>
      <c r="AM26" s="23">
        <f t="shared" si="22"/>
        <v>1</v>
      </c>
      <c r="AN26" s="23">
        <f t="shared" si="23"/>
        <v>0</v>
      </c>
      <c r="AO26" s="23">
        <f t="shared" si="24"/>
        <v>0</v>
      </c>
      <c r="AP26" s="23"/>
      <c r="AQ26" s="23">
        <f t="shared" si="25"/>
        <v>256</v>
      </c>
      <c r="AR26" s="23">
        <f t="shared" si="26"/>
        <v>256</v>
      </c>
      <c r="AS26" s="23">
        <f t="shared" si="27"/>
        <v>256</v>
      </c>
      <c r="AT26" s="23">
        <f t="shared" si="28"/>
        <v>256</v>
      </c>
      <c r="AU26" s="23">
        <f t="shared" si="29"/>
        <v>289</v>
      </c>
      <c r="AV26" s="23">
        <f t="shared" si="30"/>
        <v>289</v>
      </c>
      <c r="AW26" s="23">
        <f t="shared" si="31"/>
        <v>289</v>
      </c>
      <c r="AX26" s="23">
        <f t="shared" si="32"/>
        <v>289</v>
      </c>
      <c r="AY26" s="23">
        <f t="shared" si="33"/>
        <v>324</v>
      </c>
      <c r="AZ26" s="23">
        <f t="shared" si="34"/>
        <v>324</v>
      </c>
      <c r="BA26" s="23">
        <f t="shared" si="35"/>
        <v>324</v>
      </c>
      <c r="BB26" s="23">
        <f t="shared" si="36"/>
        <v>361</v>
      </c>
      <c r="BC26" s="23">
        <f t="shared" si="37"/>
        <v>361</v>
      </c>
      <c r="BD26" s="23"/>
      <c r="BE26" s="23">
        <v>9.1599999999999997E-3</v>
      </c>
      <c r="BF26" s="23">
        <v>9.0799999999999995E-3</v>
      </c>
      <c r="BG26" s="23">
        <v>9.5499999999999995E-3</v>
      </c>
      <c r="BH26" s="23">
        <v>1.086E-2</v>
      </c>
      <c r="BI26" s="23">
        <v>1.18E-2</v>
      </c>
      <c r="BJ26" s="23">
        <v>1.1313999999999999E-2</v>
      </c>
      <c r="BK26" s="23">
        <v>9.1470000000000006E-3</v>
      </c>
      <c r="BL26" s="23">
        <v>7.8169999999999993E-3</v>
      </c>
      <c r="BM26" s="23">
        <v>5.3090000000000004E-3</v>
      </c>
      <c r="BN26" s="23">
        <v>4.2259999999999997E-3</v>
      </c>
      <c r="BO26" s="23">
        <v>3.2439999999999999E-3</v>
      </c>
      <c r="BP26" s="23">
        <v>2.3050000000000002E-3</v>
      </c>
      <c r="BQ26" s="23">
        <v>1.4729999999999999E-3</v>
      </c>
    </row>
    <row r="27" spans="1:69" x14ac:dyDescent="0.3">
      <c r="A27" s="22">
        <v>25</v>
      </c>
      <c r="B27">
        <v>17</v>
      </c>
      <c r="C27">
        <v>17</v>
      </c>
      <c r="D27">
        <v>17</v>
      </c>
      <c r="E27">
        <v>17</v>
      </c>
      <c r="F27" s="18">
        <v>18</v>
      </c>
      <c r="G27">
        <v>18</v>
      </c>
      <c r="H27" s="18">
        <v>18</v>
      </c>
      <c r="I27">
        <v>18</v>
      </c>
      <c r="J27">
        <v>18</v>
      </c>
      <c r="K27">
        <v>19</v>
      </c>
      <c r="L27">
        <v>19</v>
      </c>
      <c r="M27">
        <v>19</v>
      </c>
      <c r="N27">
        <v>19</v>
      </c>
      <c r="O27" s="23"/>
      <c r="P27" s="23">
        <f t="shared" si="0"/>
        <v>0</v>
      </c>
      <c r="Q27" s="23">
        <f t="shared" si="1"/>
        <v>0</v>
      </c>
      <c r="R27" s="23">
        <f t="shared" si="2"/>
        <v>0</v>
      </c>
      <c r="S27" s="23">
        <f t="shared" si="3"/>
        <v>-1</v>
      </c>
      <c r="T27" s="23">
        <f t="shared" si="4"/>
        <v>0</v>
      </c>
      <c r="U27" s="23">
        <f t="shared" si="5"/>
        <v>0</v>
      </c>
      <c r="V27" s="23">
        <f>(H27-I27)</f>
        <v>0</v>
      </c>
      <c r="W27" s="23">
        <f>(I27-J27)</f>
        <v>0</v>
      </c>
      <c r="X27" s="23">
        <f t="shared" si="8"/>
        <v>-1</v>
      </c>
      <c r="Y27" s="23">
        <f t="shared" si="9"/>
        <v>0</v>
      </c>
      <c r="Z27" s="23">
        <f t="shared" si="10"/>
        <v>0</v>
      </c>
      <c r="AA27" s="23">
        <f t="shared" si="11"/>
        <v>0</v>
      </c>
      <c r="AB27" s="23"/>
      <c r="AC27" s="23">
        <f t="shared" si="12"/>
        <v>2</v>
      </c>
      <c r="AD27" s="23">
        <f t="shared" si="13"/>
        <v>2</v>
      </c>
      <c r="AE27" s="23">
        <f t="shared" si="14"/>
        <v>2</v>
      </c>
      <c r="AF27" s="23">
        <f t="shared" si="15"/>
        <v>2</v>
      </c>
      <c r="AG27" s="23">
        <f t="shared" si="16"/>
        <v>1</v>
      </c>
      <c r="AH27" s="23">
        <f t="shared" si="17"/>
        <v>1</v>
      </c>
      <c r="AI27" s="23">
        <f t="shared" si="18"/>
        <v>1</v>
      </c>
      <c r="AJ27" s="23">
        <f t="shared" si="19"/>
        <v>1</v>
      </c>
      <c r="AK27" s="23">
        <f t="shared" si="20"/>
        <v>1</v>
      </c>
      <c r="AL27" s="23">
        <f t="shared" si="21"/>
        <v>0</v>
      </c>
      <c r="AM27" s="23">
        <f t="shared" si="22"/>
        <v>0</v>
      </c>
      <c r="AN27" s="23">
        <f t="shared" si="23"/>
        <v>0</v>
      </c>
      <c r="AO27" s="23">
        <f t="shared" si="24"/>
        <v>0</v>
      </c>
      <c r="AP27" s="23"/>
      <c r="AQ27" s="23">
        <f t="shared" si="25"/>
        <v>289</v>
      </c>
      <c r="AR27" s="23">
        <f t="shared" si="26"/>
        <v>289</v>
      </c>
      <c r="AS27" s="23">
        <f t="shared" si="27"/>
        <v>289</v>
      </c>
      <c r="AT27" s="23">
        <f t="shared" si="28"/>
        <v>289</v>
      </c>
      <c r="AU27" s="23">
        <f t="shared" si="29"/>
        <v>324</v>
      </c>
      <c r="AV27" s="23">
        <f t="shared" si="30"/>
        <v>324</v>
      </c>
      <c r="AW27" s="23">
        <f t="shared" si="31"/>
        <v>324</v>
      </c>
      <c r="AX27" s="23">
        <f t="shared" si="32"/>
        <v>324</v>
      </c>
      <c r="AY27" s="23">
        <f t="shared" si="33"/>
        <v>324</v>
      </c>
      <c r="AZ27" s="23">
        <f t="shared" si="34"/>
        <v>361</v>
      </c>
      <c r="BA27" s="23">
        <f t="shared" si="35"/>
        <v>361</v>
      </c>
      <c r="BB27" s="23">
        <f t="shared" si="36"/>
        <v>361</v>
      </c>
      <c r="BC27" s="23">
        <f t="shared" si="37"/>
        <v>361</v>
      </c>
      <c r="BD27" s="23"/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1.191E-3</v>
      </c>
      <c r="BM27" s="23">
        <v>2.5409999999999999E-3</v>
      </c>
      <c r="BN27" s="23">
        <v>2.2699999999999999E-3</v>
      </c>
      <c r="BO27" s="23">
        <v>1.8389999999999999E-3</v>
      </c>
      <c r="BP27" s="23">
        <v>1.3470000000000001E-3</v>
      </c>
      <c r="BQ27" s="23">
        <v>8.8999999999999995E-4</v>
      </c>
    </row>
    <row r="28" spans="1:69" x14ac:dyDescent="0.3">
      <c r="A28" s="22">
        <v>26</v>
      </c>
      <c r="B28">
        <v>19</v>
      </c>
      <c r="C28">
        <v>19</v>
      </c>
      <c r="D28">
        <v>19</v>
      </c>
      <c r="E28">
        <v>19</v>
      </c>
      <c r="F28" s="18">
        <v>19</v>
      </c>
      <c r="G28">
        <v>19</v>
      </c>
      <c r="H28">
        <v>19</v>
      </c>
      <c r="I28">
        <v>19</v>
      </c>
      <c r="J28">
        <v>19</v>
      </c>
      <c r="K28">
        <v>19</v>
      </c>
      <c r="L28" s="15">
        <v>19</v>
      </c>
      <c r="M28">
        <v>19</v>
      </c>
      <c r="N28">
        <v>19</v>
      </c>
      <c r="O28" s="23"/>
      <c r="P28" s="23">
        <f t="shared" si="0"/>
        <v>0</v>
      </c>
      <c r="Q28" s="23">
        <f t="shared" si="1"/>
        <v>0</v>
      </c>
      <c r="R28" s="23">
        <f t="shared" si="2"/>
        <v>0</v>
      </c>
      <c r="S28" s="23">
        <f t="shared" si="3"/>
        <v>0</v>
      </c>
      <c r="T28" s="23">
        <f t="shared" si="4"/>
        <v>0</v>
      </c>
      <c r="U28" s="23">
        <f t="shared" si="5"/>
        <v>0</v>
      </c>
      <c r="V28" s="23">
        <f t="shared" si="6"/>
        <v>0</v>
      </c>
      <c r="W28" s="23">
        <f t="shared" si="7"/>
        <v>0</v>
      </c>
      <c r="X28" s="23">
        <f t="shared" si="8"/>
        <v>0</v>
      </c>
      <c r="Y28" s="23">
        <f t="shared" si="9"/>
        <v>0</v>
      </c>
      <c r="Z28" s="23">
        <f t="shared" si="10"/>
        <v>0</v>
      </c>
      <c r="AA28" s="23">
        <f t="shared" si="11"/>
        <v>0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>
        <f t="shared" si="25"/>
        <v>361</v>
      </c>
      <c r="AR28" s="23">
        <f t="shared" si="26"/>
        <v>361</v>
      </c>
      <c r="AS28" s="23">
        <f t="shared" si="27"/>
        <v>361</v>
      </c>
      <c r="AT28" s="23">
        <f t="shared" si="28"/>
        <v>361</v>
      </c>
      <c r="AU28" s="23">
        <f t="shared" si="29"/>
        <v>361</v>
      </c>
      <c r="AV28" s="23">
        <f t="shared" si="30"/>
        <v>361</v>
      </c>
      <c r="AW28" s="23">
        <f t="shared" si="31"/>
        <v>361</v>
      </c>
      <c r="AX28" s="23">
        <f t="shared" si="32"/>
        <v>361</v>
      </c>
      <c r="AY28" s="23">
        <f t="shared" si="33"/>
        <v>361</v>
      </c>
      <c r="AZ28" s="23">
        <f t="shared" si="34"/>
        <v>361</v>
      </c>
      <c r="BA28" s="23">
        <f t="shared" si="35"/>
        <v>361</v>
      </c>
      <c r="BB28" s="23">
        <f t="shared" si="36"/>
        <v>361</v>
      </c>
      <c r="BC28" s="23">
        <f t="shared" si="37"/>
        <v>361</v>
      </c>
      <c r="BD28" s="23"/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1.4430000000000001E-3</v>
      </c>
      <c r="BN28" s="23">
        <v>2.101E-3</v>
      </c>
      <c r="BO28" s="23">
        <v>1.601E-3</v>
      </c>
      <c r="BP28" s="23">
        <v>1.0169999999999999E-3</v>
      </c>
      <c r="BQ28" s="23">
        <v>5.9800000000000001E-4</v>
      </c>
    </row>
    <row r="29" spans="1:69" x14ac:dyDescent="0.3">
      <c r="A29" s="32" t="s">
        <v>94</v>
      </c>
      <c r="B29" s="30">
        <f t="shared" ref="B29:N29" si="38">ROUND(SUM(BE2:BE28),0)</f>
        <v>1</v>
      </c>
      <c r="C29" s="30">
        <f t="shared" si="38"/>
        <v>1</v>
      </c>
      <c r="D29" s="30">
        <f t="shared" si="38"/>
        <v>1</v>
      </c>
      <c r="E29" s="30">
        <f t="shared" si="38"/>
        <v>1</v>
      </c>
      <c r="F29" s="30">
        <f t="shared" si="38"/>
        <v>1</v>
      </c>
      <c r="G29" s="30">
        <f t="shared" si="38"/>
        <v>1</v>
      </c>
      <c r="H29" s="30">
        <f t="shared" si="38"/>
        <v>1</v>
      </c>
      <c r="I29" s="30">
        <f t="shared" si="38"/>
        <v>1</v>
      </c>
      <c r="J29" s="30">
        <f t="shared" si="38"/>
        <v>1</v>
      </c>
      <c r="K29" s="30">
        <f t="shared" si="38"/>
        <v>1</v>
      </c>
      <c r="L29" s="30">
        <f t="shared" si="38"/>
        <v>1</v>
      </c>
      <c r="M29" s="30">
        <f t="shared" si="38"/>
        <v>1</v>
      </c>
      <c r="N29" s="30">
        <f t="shared" si="38"/>
        <v>1</v>
      </c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 t="s">
        <v>16</v>
      </c>
      <c r="BF29" s="23" t="s">
        <v>16</v>
      </c>
      <c r="BG29" s="23" t="s">
        <v>16</v>
      </c>
      <c r="BH29" s="23" t="s">
        <v>16</v>
      </c>
      <c r="BI29" s="23" t="s">
        <v>16</v>
      </c>
      <c r="BJ29" s="23" t="s">
        <v>16</v>
      </c>
      <c r="BK29" s="23" t="s">
        <v>16</v>
      </c>
      <c r="BL29" s="23" t="s">
        <v>16</v>
      </c>
      <c r="BM29" s="23" t="s">
        <v>16</v>
      </c>
      <c r="BN29" s="23" t="s">
        <v>16</v>
      </c>
      <c r="BO29" s="23" t="s">
        <v>16</v>
      </c>
      <c r="BP29" s="23" t="s">
        <v>16</v>
      </c>
      <c r="BQ29" s="23" t="s">
        <v>16</v>
      </c>
    </row>
    <row r="30" spans="1:69" x14ac:dyDescent="0.3">
      <c r="A30" s="33" t="s">
        <v>95</v>
      </c>
      <c r="B30" s="29">
        <f t="shared" ref="B30:N30" si="39">SUMPRODUCT(B2:B28,BE2:BE28)/B29</f>
        <v>9.867799999999999</v>
      </c>
      <c r="C30" s="29">
        <f t="shared" si="39"/>
        <v>9.8960500000000007</v>
      </c>
      <c r="D30" s="29">
        <f t="shared" si="39"/>
        <v>9.9224999999999977</v>
      </c>
      <c r="E30" s="29">
        <f t="shared" si="39"/>
        <v>9.94069</v>
      </c>
      <c r="F30" s="29">
        <f t="shared" si="39"/>
        <v>10.004519999999999</v>
      </c>
      <c r="G30" s="29">
        <f t="shared" si="39"/>
        <v>10.510043999999999</v>
      </c>
      <c r="H30" s="29">
        <f t="shared" si="39"/>
        <v>10.328068999999999</v>
      </c>
      <c r="I30" s="29">
        <f t="shared" si="39"/>
        <v>10.295492000000003</v>
      </c>
      <c r="J30" s="29">
        <f t="shared" si="39"/>
        <v>9.8514849999999985</v>
      </c>
      <c r="K30" s="29">
        <f t="shared" si="39"/>
        <v>9.9647849999999991</v>
      </c>
      <c r="L30" s="29">
        <f t="shared" si="39"/>
        <v>9.9088440000000002</v>
      </c>
      <c r="M30" s="29">
        <f t="shared" si="39"/>
        <v>9.9476390000000006</v>
      </c>
      <c r="N30" s="29">
        <f t="shared" si="39"/>
        <v>9.9139579999999956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 t="s">
        <v>16</v>
      </c>
      <c r="BF30" s="24" t="s">
        <v>16</v>
      </c>
      <c r="BG30" s="24" t="s">
        <v>16</v>
      </c>
      <c r="BH30" s="24" t="s">
        <v>16</v>
      </c>
      <c r="BI30" s="24" t="s">
        <v>16</v>
      </c>
      <c r="BJ30" s="24" t="s">
        <v>16</v>
      </c>
      <c r="BK30" s="24" t="s">
        <v>16</v>
      </c>
      <c r="BL30" s="24" t="s">
        <v>16</v>
      </c>
      <c r="BM30" s="24" t="s">
        <v>16</v>
      </c>
      <c r="BN30" s="24" t="s">
        <v>16</v>
      </c>
      <c r="BO30" s="24" t="s">
        <v>16</v>
      </c>
      <c r="BP30" s="24" t="s">
        <v>16</v>
      </c>
      <c r="BQ30" s="24" t="s">
        <v>16</v>
      </c>
    </row>
    <row r="31" spans="1:69" x14ac:dyDescent="0.3">
      <c r="A31" s="33" t="s">
        <v>96</v>
      </c>
      <c r="B31" s="29">
        <f t="shared" ref="B31:N31" si="40">ROUND(SQRT(SUMPRODUCT(AQ2:AQ28,BE2:BE28)/B29-B30^2),2)</f>
        <v>2.78</v>
      </c>
      <c r="C31" s="29">
        <f t="shared" si="40"/>
        <v>2.84</v>
      </c>
      <c r="D31" s="29">
        <f t="shared" si="40"/>
        <v>2.93</v>
      </c>
      <c r="E31" s="29">
        <f t="shared" si="40"/>
        <v>2.99</v>
      </c>
      <c r="F31" s="29">
        <f t="shared" si="40"/>
        <v>2.95</v>
      </c>
      <c r="G31" s="29">
        <f t="shared" si="40"/>
        <v>3.2</v>
      </c>
      <c r="H31" s="29">
        <f t="shared" si="40"/>
        <v>3.2</v>
      </c>
      <c r="I31" s="29">
        <f t="shared" si="40"/>
        <v>3.2</v>
      </c>
      <c r="J31" s="29">
        <f t="shared" si="40"/>
        <v>3.05</v>
      </c>
      <c r="K31" s="29">
        <f t="shared" si="40"/>
        <v>3.16</v>
      </c>
      <c r="L31" s="29">
        <f t="shared" si="40"/>
        <v>3.14</v>
      </c>
      <c r="M31" s="29">
        <f t="shared" si="40"/>
        <v>3.39</v>
      </c>
      <c r="N31" s="29">
        <f t="shared" si="40"/>
        <v>3.32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 t="s">
        <v>16</v>
      </c>
      <c r="BF31" s="24" t="s">
        <v>16</v>
      </c>
      <c r="BG31" s="24" t="s">
        <v>16</v>
      </c>
      <c r="BH31" s="24" t="s">
        <v>16</v>
      </c>
      <c r="BI31" s="24" t="s">
        <v>16</v>
      </c>
      <c r="BJ31" s="24" t="s">
        <v>16</v>
      </c>
      <c r="BK31" s="24" t="s">
        <v>16</v>
      </c>
      <c r="BL31" s="24" t="s">
        <v>16</v>
      </c>
      <c r="BM31" s="24" t="s">
        <v>16</v>
      </c>
      <c r="BN31" s="24" t="s">
        <v>16</v>
      </c>
      <c r="BO31" s="24" t="s">
        <v>16</v>
      </c>
      <c r="BP31" s="24" t="s">
        <v>16</v>
      </c>
      <c r="BQ31" s="24" t="s">
        <v>16</v>
      </c>
    </row>
    <row r="32" spans="1:69" x14ac:dyDescent="0.3">
      <c r="A32" s="33" t="s">
        <v>97</v>
      </c>
      <c r="B32" s="29">
        <f t="shared" ref="B32:N32" si="41">0.3-ABS(10-ROUND(B30,2))</f>
        <v>0.16999999999999921</v>
      </c>
      <c r="C32" s="29">
        <f t="shared" si="41"/>
        <v>0.20000000000000034</v>
      </c>
      <c r="D32" s="29">
        <f t="shared" si="41"/>
        <v>0.21999999999999992</v>
      </c>
      <c r="E32" s="29">
        <f t="shared" si="41"/>
        <v>0.23999999999999949</v>
      </c>
      <c r="F32" s="29">
        <f t="shared" si="41"/>
        <v>0.3</v>
      </c>
      <c r="G32" s="29">
        <f t="shared" si="41"/>
        <v>-0.2099999999999998</v>
      </c>
      <c r="H32" s="29">
        <f t="shared" si="41"/>
        <v>-3.0000000000000082E-2</v>
      </c>
      <c r="I32" s="29">
        <f t="shared" si="41"/>
        <v>-7.2164496600635175E-16</v>
      </c>
      <c r="J32" s="29">
        <f t="shared" si="41"/>
        <v>0.14999999999999963</v>
      </c>
      <c r="K32" s="29">
        <f t="shared" si="41"/>
        <v>0.26000000000000084</v>
      </c>
      <c r="L32" s="29">
        <f t="shared" si="41"/>
        <v>0.21000000000000013</v>
      </c>
      <c r="M32" s="29">
        <f t="shared" si="41"/>
        <v>0.24999999999999928</v>
      </c>
      <c r="N32" s="29">
        <f t="shared" si="41"/>
        <v>0.21000000000000013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 t="s">
        <v>16</v>
      </c>
      <c r="BF32" s="24" t="s">
        <v>16</v>
      </c>
      <c r="BG32" s="24" t="s">
        <v>16</v>
      </c>
      <c r="BH32" s="24" t="s">
        <v>16</v>
      </c>
      <c r="BI32" s="24" t="s">
        <v>16</v>
      </c>
      <c r="BJ32" s="24" t="s">
        <v>16</v>
      </c>
      <c r="BK32" s="24" t="s">
        <v>16</v>
      </c>
      <c r="BL32" s="24" t="s">
        <v>16</v>
      </c>
      <c r="BM32" s="24" t="s">
        <v>16</v>
      </c>
      <c r="BN32" s="24" t="s">
        <v>16</v>
      </c>
      <c r="BO32" s="24" t="s">
        <v>16</v>
      </c>
      <c r="BP32" s="24" t="s">
        <v>16</v>
      </c>
      <c r="BQ32" s="24" t="s">
        <v>16</v>
      </c>
    </row>
    <row r="33" spans="1:69" x14ac:dyDescent="0.3">
      <c r="A33" s="33"/>
      <c r="B33" s="29">
        <f t="shared" ref="B33:N33" si="42">0.3-ABS(3-B31)</f>
        <v>7.9999999999999793E-2</v>
      </c>
      <c r="C33" s="29">
        <f t="shared" si="42"/>
        <v>0.13999999999999985</v>
      </c>
      <c r="D33" s="29">
        <f t="shared" si="42"/>
        <v>0.23000000000000015</v>
      </c>
      <c r="E33" s="29">
        <f t="shared" si="42"/>
        <v>0.2900000000000002</v>
      </c>
      <c r="F33" s="29">
        <f t="shared" si="42"/>
        <v>0.25000000000000017</v>
      </c>
      <c r="G33" s="29">
        <f t="shared" si="42"/>
        <v>9.9999999999999811E-2</v>
      </c>
      <c r="H33" s="29">
        <f t="shared" si="42"/>
        <v>9.9999999999999811E-2</v>
      </c>
      <c r="I33" s="29">
        <f t="shared" si="42"/>
        <v>9.9999999999999811E-2</v>
      </c>
      <c r="J33" s="29">
        <f t="shared" si="42"/>
        <v>0.25000000000000017</v>
      </c>
      <c r="K33" s="29">
        <f t="shared" si="42"/>
        <v>0.13999999999999985</v>
      </c>
      <c r="L33" s="29">
        <f t="shared" si="42"/>
        <v>0.15999999999999986</v>
      </c>
      <c r="M33" s="29">
        <f t="shared" si="42"/>
        <v>-9.0000000000000135E-2</v>
      </c>
      <c r="N33" s="29">
        <f t="shared" si="42"/>
        <v>-1.9999999999999851E-2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 t="s">
        <v>16</v>
      </c>
      <c r="BF33" s="24" t="s">
        <v>16</v>
      </c>
      <c r="BG33" s="24" t="s">
        <v>16</v>
      </c>
      <c r="BH33" s="24" t="s">
        <v>16</v>
      </c>
      <c r="BI33" s="24" t="s">
        <v>16</v>
      </c>
      <c r="BJ33" s="24" t="s">
        <v>16</v>
      </c>
      <c r="BK33" s="24" t="s">
        <v>16</v>
      </c>
      <c r="BL33" s="24" t="s">
        <v>16</v>
      </c>
      <c r="BM33" s="24" t="s">
        <v>16</v>
      </c>
      <c r="BN33" s="24" t="s">
        <v>16</v>
      </c>
      <c r="BO33" s="24" t="s">
        <v>16</v>
      </c>
      <c r="BP33" s="24" t="s">
        <v>16</v>
      </c>
      <c r="BQ33" s="24" t="s">
        <v>16</v>
      </c>
    </row>
    <row r="34" spans="1:69" x14ac:dyDescent="0.3">
      <c r="A34" s="33" t="s">
        <v>98</v>
      </c>
      <c r="B34" s="29">
        <f t="shared" ref="B34:N34" si="43">0.6-ABS(10-ROUND(B30,2))</f>
        <v>0.4699999999999992</v>
      </c>
      <c r="C34" s="29">
        <f t="shared" si="43"/>
        <v>0.50000000000000033</v>
      </c>
      <c r="D34" s="29">
        <f t="shared" si="43"/>
        <v>0.51999999999999991</v>
      </c>
      <c r="E34" s="29">
        <f t="shared" si="43"/>
        <v>0.53999999999999948</v>
      </c>
      <c r="F34" s="29">
        <f t="shared" si="43"/>
        <v>0.6</v>
      </c>
      <c r="G34" s="29">
        <f t="shared" si="43"/>
        <v>9.0000000000000191E-2</v>
      </c>
      <c r="H34" s="29">
        <f t="shared" si="43"/>
        <v>0.26999999999999991</v>
      </c>
      <c r="I34" s="29">
        <f t="shared" si="43"/>
        <v>0.29999999999999927</v>
      </c>
      <c r="J34" s="29">
        <f t="shared" si="43"/>
        <v>0.44999999999999962</v>
      </c>
      <c r="K34" s="29">
        <f t="shared" si="43"/>
        <v>0.56000000000000083</v>
      </c>
      <c r="L34" s="29">
        <f t="shared" si="43"/>
        <v>0.51000000000000012</v>
      </c>
      <c r="M34" s="29">
        <f t="shared" si="43"/>
        <v>0.54999999999999927</v>
      </c>
      <c r="N34" s="29">
        <f t="shared" si="43"/>
        <v>0.51000000000000012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 t="s">
        <v>16</v>
      </c>
      <c r="BF34" s="24" t="s">
        <v>16</v>
      </c>
      <c r="BG34" s="24" t="s">
        <v>16</v>
      </c>
      <c r="BH34" s="24" t="s">
        <v>16</v>
      </c>
      <c r="BI34" s="24" t="s">
        <v>16</v>
      </c>
      <c r="BJ34" s="24" t="s">
        <v>16</v>
      </c>
      <c r="BK34" s="24" t="s">
        <v>16</v>
      </c>
      <c r="BL34" s="24" t="s">
        <v>16</v>
      </c>
      <c r="BM34" s="24" t="s">
        <v>16</v>
      </c>
      <c r="BN34" s="24" t="s">
        <v>16</v>
      </c>
      <c r="BO34" s="24" t="s">
        <v>16</v>
      </c>
      <c r="BP34" s="24" t="s">
        <v>16</v>
      </c>
      <c r="BQ34" s="24" t="s">
        <v>16</v>
      </c>
    </row>
    <row r="35" spans="1:69" x14ac:dyDescent="0.3">
      <c r="A35" s="33"/>
      <c r="B35" s="29">
        <f t="shared" ref="B35:N35" si="44">0.3-ABS(3-B31)</f>
        <v>7.9999999999999793E-2</v>
      </c>
      <c r="C35" s="29">
        <f t="shared" si="44"/>
        <v>0.13999999999999985</v>
      </c>
      <c r="D35" s="29">
        <f t="shared" si="44"/>
        <v>0.23000000000000015</v>
      </c>
      <c r="E35" s="29">
        <f t="shared" si="44"/>
        <v>0.2900000000000002</v>
      </c>
      <c r="F35" s="29">
        <f t="shared" si="44"/>
        <v>0.25000000000000017</v>
      </c>
      <c r="G35" s="29">
        <f t="shared" si="44"/>
        <v>9.9999999999999811E-2</v>
      </c>
      <c r="H35" s="29">
        <f t="shared" si="44"/>
        <v>9.9999999999999811E-2</v>
      </c>
      <c r="I35" s="29">
        <f t="shared" si="44"/>
        <v>9.9999999999999811E-2</v>
      </c>
      <c r="J35" s="29">
        <f t="shared" si="44"/>
        <v>0.25000000000000017</v>
      </c>
      <c r="K35" s="29">
        <f t="shared" si="44"/>
        <v>0.13999999999999985</v>
      </c>
      <c r="L35" s="29">
        <f t="shared" si="44"/>
        <v>0.15999999999999986</v>
      </c>
      <c r="M35" s="29">
        <f t="shared" si="44"/>
        <v>-9.0000000000000135E-2</v>
      </c>
      <c r="N35" s="29">
        <f t="shared" si="44"/>
        <v>-1.9999999999999851E-2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 t="s">
        <v>16</v>
      </c>
      <c r="BF35" s="24" t="s">
        <v>16</v>
      </c>
      <c r="BG35" s="24" t="s">
        <v>16</v>
      </c>
      <c r="BH35" s="24" t="s">
        <v>16</v>
      </c>
      <c r="BI35" s="24" t="s">
        <v>16</v>
      </c>
      <c r="BJ35" s="24" t="s">
        <v>16</v>
      </c>
      <c r="BK35" s="24" t="s">
        <v>16</v>
      </c>
      <c r="BL35" s="24" t="s">
        <v>16</v>
      </c>
      <c r="BM35" s="24" t="s">
        <v>16</v>
      </c>
      <c r="BN35" s="24" t="s">
        <v>16</v>
      </c>
      <c r="BO35" s="24" t="s">
        <v>16</v>
      </c>
      <c r="BP35" s="24" t="s">
        <v>16</v>
      </c>
      <c r="BQ35" s="24" t="s">
        <v>16</v>
      </c>
    </row>
    <row r="36" spans="1:69" x14ac:dyDescent="0.3">
      <c r="A36" s="33" t="s">
        <v>99</v>
      </c>
      <c r="B36" s="29">
        <f t="shared" ref="B36:N36" si="45">0.9-ABS(10-ROUND(B30,2))</f>
        <v>0.76999999999999924</v>
      </c>
      <c r="C36" s="29">
        <f t="shared" si="45"/>
        <v>0.80000000000000038</v>
      </c>
      <c r="D36" s="29">
        <f t="shared" si="45"/>
        <v>0.82</v>
      </c>
      <c r="E36" s="29">
        <f t="shared" si="45"/>
        <v>0.83999999999999952</v>
      </c>
      <c r="F36" s="29">
        <f t="shared" si="45"/>
        <v>0.9</v>
      </c>
      <c r="G36" s="29">
        <f t="shared" si="45"/>
        <v>0.39000000000000024</v>
      </c>
      <c r="H36" s="29">
        <f t="shared" si="45"/>
        <v>0.56999999999999995</v>
      </c>
      <c r="I36" s="29">
        <f t="shared" si="45"/>
        <v>0.59999999999999931</v>
      </c>
      <c r="J36" s="29">
        <f t="shared" si="45"/>
        <v>0.74999999999999967</v>
      </c>
      <c r="K36" s="29">
        <f t="shared" si="45"/>
        <v>0.86000000000000087</v>
      </c>
      <c r="L36" s="29">
        <f t="shared" si="45"/>
        <v>0.81000000000000016</v>
      </c>
      <c r="M36" s="29">
        <f t="shared" si="45"/>
        <v>0.84999999999999931</v>
      </c>
      <c r="N36" s="29">
        <f t="shared" si="45"/>
        <v>0.81000000000000016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 t="s">
        <v>16</v>
      </c>
      <c r="BF36" s="24" t="s">
        <v>16</v>
      </c>
      <c r="BG36" s="24" t="s">
        <v>16</v>
      </c>
      <c r="BH36" s="24" t="s">
        <v>16</v>
      </c>
      <c r="BI36" s="24" t="s">
        <v>16</v>
      </c>
      <c r="BJ36" s="24" t="s">
        <v>16</v>
      </c>
      <c r="BK36" s="24" t="s">
        <v>16</v>
      </c>
      <c r="BL36" s="24" t="s">
        <v>16</v>
      </c>
      <c r="BM36" s="24" t="s">
        <v>16</v>
      </c>
      <c r="BN36" s="24" t="s">
        <v>16</v>
      </c>
      <c r="BO36" s="24" t="s">
        <v>16</v>
      </c>
      <c r="BP36" s="24" t="s">
        <v>16</v>
      </c>
      <c r="BQ36" s="24" t="s">
        <v>16</v>
      </c>
    </row>
    <row r="37" spans="1:69" x14ac:dyDescent="0.3">
      <c r="A37" s="31"/>
      <c r="B37" s="29">
        <f t="shared" ref="B37:N37" si="46">0.45-ABS(3-B31)</f>
        <v>0.22999999999999982</v>
      </c>
      <c r="C37" s="29">
        <f t="shared" si="46"/>
        <v>0.28999999999999987</v>
      </c>
      <c r="D37" s="29">
        <f t="shared" si="46"/>
        <v>0.38000000000000017</v>
      </c>
      <c r="E37" s="29">
        <f t="shared" si="46"/>
        <v>0.44000000000000022</v>
      </c>
      <c r="F37" s="29">
        <f t="shared" si="46"/>
        <v>0.40000000000000019</v>
      </c>
      <c r="G37" s="29">
        <f t="shared" si="46"/>
        <v>0.24999999999999983</v>
      </c>
      <c r="H37" s="29">
        <f t="shared" si="46"/>
        <v>0.24999999999999983</v>
      </c>
      <c r="I37" s="29">
        <f t="shared" si="46"/>
        <v>0.24999999999999983</v>
      </c>
      <c r="J37" s="29">
        <f t="shared" si="46"/>
        <v>0.40000000000000019</v>
      </c>
      <c r="K37" s="29">
        <f t="shared" si="46"/>
        <v>0.28999999999999987</v>
      </c>
      <c r="L37" s="29">
        <f t="shared" si="46"/>
        <v>0.30999999999999989</v>
      </c>
      <c r="M37" s="29">
        <f t="shared" si="46"/>
        <v>5.9999999999999887E-2</v>
      </c>
      <c r="N37" s="29">
        <f t="shared" si="46"/>
        <v>0.13000000000000017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 t="s">
        <v>16</v>
      </c>
      <c r="BF37" s="24" t="s">
        <v>16</v>
      </c>
      <c r="BG37" s="24" t="s">
        <v>16</v>
      </c>
      <c r="BH37" s="24" t="s">
        <v>16</v>
      </c>
      <c r="BI37" s="24" t="s">
        <v>16</v>
      </c>
      <c r="BJ37" s="24" t="s">
        <v>16</v>
      </c>
      <c r="BK37" s="24" t="s">
        <v>16</v>
      </c>
      <c r="BL37" s="24" t="s">
        <v>16</v>
      </c>
      <c r="BM37" s="24" t="s">
        <v>16</v>
      </c>
      <c r="BN37" s="24" t="s">
        <v>16</v>
      </c>
      <c r="BO37" s="24" t="s">
        <v>16</v>
      </c>
      <c r="BP37" s="24" t="s">
        <v>16</v>
      </c>
      <c r="BQ37" s="24" t="s">
        <v>16</v>
      </c>
    </row>
    <row r="49" s="21" customFormat="1" x14ac:dyDescent="0.3"/>
    <row r="50" s="21" customFormat="1" x14ac:dyDescent="0.3"/>
    <row r="51" s="21" customFormat="1" x14ac:dyDescent="0.3"/>
    <row r="52" s="21" customFormat="1" x14ac:dyDescent="0.3"/>
    <row r="53" s="21" customFormat="1" x14ac:dyDescent="0.3"/>
    <row r="54" s="21" customFormat="1" x14ac:dyDescent="0.3"/>
    <row r="55" s="21" customFormat="1" x14ac:dyDescent="0.3"/>
    <row r="56" s="21" customFormat="1" x14ac:dyDescent="0.3"/>
    <row r="57" s="21" customFormat="1" x14ac:dyDescent="0.3"/>
    <row r="58" s="21" customFormat="1" x14ac:dyDescent="0.3"/>
    <row r="59" s="21" customFormat="1" x14ac:dyDescent="0.3"/>
    <row r="60" s="21" customFormat="1" x14ac:dyDescent="0.3"/>
    <row r="61" s="21" customFormat="1" x14ac:dyDescent="0.3"/>
    <row r="62" s="21" customFormat="1" x14ac:dyDescent="0.3"/>
    <row r="63" s="21" customFormat="1" x14ac:dyDescent="0.3"/>
    <row r="64" s="21" customFormat="1" x14ac:dyDescent="0.3"/>
    <row r="65" s="21" customFormat="1" x14ac:dyDescent="0.3"/>
    <row r="66" s="21" customFormat="1" x14ac:dyDescent="0.3"/>
    <row r="67" s="21" customFormat="1" x14ac:dyDescent="0.3"/>
    <row r="68" s="21" customFormat="1" x14ac:dyDescent="0.3"/>
    <row r="69" s="21" customFormat="1" x14ac:dyDescent="0.3"/>
    <row r="70" s="21" customFormat="1" x14ac:dyDescent="0.3"/>
    <row r="71" s="21" customFormat="1" x14ac:dyDescent="0.3"/>
    <row r="72" s="21" customFormat="1" x14ac:dyDescent="0.3"/>
    <row r="73" s="21" customFormat="1" x14ac:dyDescent="0.3"/>
    <row r="74" s="21" customFormat="1" x14ac:dyDescent="0.3"/>
    <row r="75" s="21" customFormat="1" x14ac:dyDescent="0.3"/>
    <row r="76" s="21" customFormat="1" x14ac:dyDescent="0.3"/>
    <row r="77" s="21" customFormat="1" x14ac:dyDescent="0.3"/>
    <row r="78" s="21" customFormat="1" x14ac:dyDescent="0.3"/>
    <row r="79" s="21" customFormat="1" x14ac:dyDescent="0.3"/>
    <row r="80" s="21" customFormat="1" x14ac:dyDescent="0.3"/>
    <row r="81" s="21" customFormat="1" x14ac:dyDescent="0.3"/>
    <row r="82" s="21" customFormat="1" x14ac:dyDescent="0.3"/>
    <row r="83" s="21" customFormat="1" x14ac:dyDescent="0.3"/>
    <row r="84" s="21" customFormat="1" x14ac:dyDescent="0.3"/>
    <row r="85" s="21" customFormat="1" x14ac:dyDescent="0.3"/>
    <row r="86" s="21" customFormat="1" x14ac:dyDescent="0.3"/>
    <row r="87" s="21" customFormat="1" x14ac:dyDescent="0.3"/>
    <row r="88" s="21" customFormat="1" x14ac:dyDescent="0.3"/>
    <row r="89" s="21" customFormat="1" x14ac:dyDescent="0.3"/>
    <row r="90" s="21" customFormat="1" x14ac:dyDescent="0.3"/>
    <row r="91" s="21" customFormat="1" x14ac:dyDescent="0.3"/>
    <row r="92" s="21" customFormat="1" x14ac:dyDescent="0.3"/>
    <row r="93" s="21" customFormat="1" x14ac:dyDescent="0.3"/>
    <row r="94" s="21" customFormat="1" x14ac:dyDescent="0.3"/>
    <row r="95" s="21" customFormat="1" x14ac:dyDescent="0.3"/>
    <row r="96" s="21" customFormat="1" x14ac:dyDescent="0.3"/>
    <row r="97" s="21" customFormat="1" x14ac:dyDescent="0.3"/>
    <row r="98" s="21" customFormat="1" x14ac:dyDescent="0.3"/>
    <row r="99" s="21" customFormat="1" x14ac:dyDescent="0.3"/>
    <row r="100" s="21" customFormat="1" x14ac:dyDescent="0.3"/>
    <row r="101" s="21" customFormat="1" x14ac:dyDescent="0.3"/>
    <row r="102" s="21" customFormat="1" x14ac:dyDescent="0.3"/>
    <row r="103" s="21" customFormat="1" x14ac:dyDescent="0.3"/>
    <row r="104" s="21" customFormat="1" x14ac:dyDescent="0.3"/>
    <row r="105" s="21" customFormat="1" x14ac:dyDescent="0.3"/>
    <row r="106" s="21" customFormat="1" x14ac:dyDescent="0.3"/>
    <row r="107" s="21" customFormat="1" x14ac:dyDescent="0.3"/>
    <row r="108" s="21" customFormat="1" x14ac:dyDescent="0.3"/>
    <row r="109" s="21" customFormat="1" x14ac:dyDescent="0.3"/>
    <row r="110" s="21" customFormat="1" x14ac:dyDescent="0.3"/>
    <row r="111" s="21" customFormat="1" x14ac:dyDescent="0.3"/>
    <row r="112" s="21" customFormat="1" x14ac:dyDescent="0.3"/>
    <row r="113" s="21" customFormat="1" x14ac:dyDescent="0.3"/>
    <row r="114" s="21" customFormat="1" x14ac:dyDescent="0.3"/>
    <row r="115" s="21" customFormat="1" x14ac:dyDescent="0.3"/>
    <row r="116" s="21" customFormat="1" x14ac:dyDescent="0.3"/>
    <row r="117" s="21" customFormat="1" x14ac:dyDescent="0.3"/>
    <row r="118" s="21" customFormat="1" x14ac:dyDescent="0.3"/>
    <row r="119" s="21" customFormat="1" x14ac:dyDescent="0.3"/>
    <row r="120" s="21" customFormat="1" x14ac:dyDescent="0.3"/>
    <row r="121" s="21" customFormat="1" x14ac:dyDescent="0.3"/>
    <row r="122" s="21" customFormat="1" x14ac:dyDescent="0.3"/>
    <row r="123" s="21" customFormat="1" x14ac:dyDescent="0.3"/>
    <row r="124" s="21" customFormat="1" x14ac:dyDescent="0.3"/>
    <row r="125" s="21" customFormat="1" x14ac:dyDescent="0.3"/>
    <row r="126" s="21" customFormat="1" x14ac:dyDescent="0.3"/>
    <row r="127" s="21" customFormat="1" x14ac:dyDescent="0.3"/>
    <row r="128" s="21" customFormat="1" x14ac:dyDescent="0.3"/>
    <row r="129" s="21" customFormat="1" x14ac:dyDescent="0.3"/>
    <row r="130" s="21" customFormat="1" x14ac:dyDescent="0.3"/>
    <row r="131" s="21" customFormat="1" x14ac:dyDescent="0.3"/>
    <row r="132" s="21" customFormat="1" x14ac:dyDescent="0.3"/>
    <row r="133" s="21" customFormat="1" x14ac:dyDescent="0.3"/>
    <row r="134" s="21" customFormat="1" x14ac:dyDescent="0.3"/>
    <row r="135" s="21" customFormat="1" x14ac:dyDescent="0.3"/>
  </sheetData>
  <conditionalFormatting sqref="P2:AA28">
    <cfRule type="cellIs" dxfId="26" priority="57" operator="lessThan">
      <formula>-1</formula>
    </cfRule>
    <cfRule type="cellIs" dxfId="25" priority="58" operator="greaterThan">
      <formula>0</formula>
    </cfRule>
  </conditionalFormatting>
  <conditionalFormatting sqref="P2:AA28">
    <cfRule type="colorScale" priority="59">
      <colorScale>
        <cfvo type="min"/>
        <cfvo type="max"/>
        <color rgb="FF0070C0"/>
        <color theme="0"/>
      </colorScale>
    </cfRule>
  </conditionalFormatting>
  <conditionalFormatting sqref="AC2:AO27">
    <cfRule type="cellIs" dxfId="24" priority="55" operator="lessThan">
      <formula>0</formula>
    </cfRule>
  </conditionalFormatting>
  <conditionalFormatting sqref="AC2:AO27">
    <cfRule type="colorScale" priority="56">
      <colorScale>
        <cfvo type="min"/>
        <cfvo type="max"/>
        <color rgb="FF0070C0"/>
        <color theme="0"/>
      </colorScale>
    </cfRule>
  </conditionalFormatting>
  <conditionalFormatting sqref="B2:N28">
    <cfRule type="cellIs" dxfId="23" priority="1" operator="equal">
      <formula>12</formula>
    </cfRule>
    <cfRule type="cellIs" dxfId="22" priority="2" operator="equal">
      <formula>8</formula>
    </cfRule>
    <cfRule type="cellIs" dxfId="21" priority="3" operator="equal">
      <formula>11</formula>
    </cfRule>
    <cfRule type="cellIs" dxfId="20" priority="4" operator="equal">
      <formula>9</formula>
    </cfRule>
    <cfRule type="cellIs" dxfId="19" priority="5" operator="equal">
      <formula>14</formula>
    </cfRule>
    <cfRule type="cellIs" dxfId="18" priority="6" operator="equal">
      <formula>6</formula>
    </cfRule>
    <cfRule type="cellIs" dxfId="17" priority="7" operator="equal">
      <formula>18</formula>
    </cfRule>
    <cfRule type="cellIs" dxfId="16" priority="8" operator="equal">
      <formula>2</formula>
    </cfRule>
    <cfRule type="cellIs" dxfId="15" priority="9" operator="equal">
      <formula>5</formula>
    </cfRule>
    <cfRule type="cellIs" dxfId="14" priority="10" operator="equal">
      <formula>15</formula>
    </cfRule>
    <cfRule type="cellIs" dxfId="13" priority="11" operator="equal">
      <formula>17</formula>
    </cfRule>
    <cfRule type="cellIs" dxfId="12" priority="12" operator="equal">
      <formula>3</formula>
    </cfRule>
    <cfRule type="cellIs" dxfId="11" priority="13" operator="equal">
      <formula>10</formula>
    </cfRule>
    <cfRule type="cellIs" dxfId="10" priority="14" operator="equal">
      <formula>13</formula>
    </cfRule>
    <cfRule type="cellIs" dxfId="9" priority="15" operator="equal">
      <formula>7</formula>
    </cfRule>
    <cfRule type="cellIs" dxfId="8" priority="16" operator="equal">
      <formula>16</formula>
    </cfRule>
    <cfRule type="cellIs" dxfId="7" priority="17" operator="equal">
      <formula>4</formula>
    </cfRule>
    <cfRule type="cellIs" dxfId="6" priority="18" operator="notBetween">
      <formula>2</formula>
      <formula>18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2099-C77D-44C0-996E-FE309D3E7C64}">
  <sheetPr>
    <tabColor rgb="FFE5FFFF"/>
  </sheetPr>
  <dimension ref="A1:U63"/>
  <sheetViews>
    <sheetView tabSelected="1" workbookViewId="0">
      <selection activeCell="N1" sqref="N1"/>
    </sheetView>
  </sheetViews>
  <sheetFormatPr defaultRowHeight="12" x14ac:dyDescent="0.25"/>
  <cols>
    <col min="1" max="1" width="8.85546875" style="75" customWidth="1"/>
    <col min="2" max="2" width="10.42578125" style="51" customWidth="1"/>
    <col min="3" max="3" width="8.7109375" style="51" customWidth="1"/>
    <col min="4" max="4" width="9.28515625" style="51" customWidth="1"/>
    <col min="5" max="5" width="10.140625" style="51" customWidth="1"/>
    <col min="6" max="6" width="10.42578125" style="51" bestFit="1" customWidth="1"/>
    <col min="7" max="7" width="10.42578125" style="15" bestFit="1" customWidth="1"/>
    <col min="8" max="8" width="8.42578125" style="15" customWidth="1"/>
    <col min="9" max="9" width="9.140625" style="28"/>
    <col min="10" max="10" width="9.7109375" style="27" customWidth="1"/>
    <col min="11" max="11" width="10.28515625" style="27" customWidth="1"/>
    <col min="12" max="12" width="10.7109375" style="27" customWidth="1"/>
    <col min="13" max="13" width="9.5703125" style="27" customWidth="1"/>
    <col min="14" max="14" width="11.140625" style="27" customWidth="1"/>
    <col min="15" max="15" width="10.85546875" style="15" customWidth="1"/>
    <col min="16" max="16" width="6" style="3" customWidth="1"/>
    <col min="17" max="22" width="6.7109375" customWidth="1"/>
  </cols>
  <sheetData>
    <row r="1" spans="1:21" ht="14.4" x14ac:dyDescent="0.3">
      <c r="A1" s="72" t="s">
        <v>128</v>
      </c>
      <c r="D1" s="78" t="s">
        <v>162</v>
      </c>
      <c r="I1" s="35" t="s">
        <v>128</v>
      </c>
      <c r="J1" s="12"/>
      <c r="K1" s="68"/>
      <c r="L1" s="78" t="s">
        <v>163</v>
      </c>
      <c r="M1" s="12"/>
      <c r="N1" s="12"/>
      <c r="O1" s="12"/>
    </row>
    <row r="2" spans="1:21" x14ac:dyDescent="0.25">
      <c r="A2" s="73"/>
      <c r="I2" s="36"/>
      <c r="J2" s="12"/>
      <c r="K2" s="12"/>
      <c r="L2" s="12"/>
      <c r="M2" s="12"/>
      <c r="N2" s="12"/>
      <c r="O2" s="12"/>
    </row>
    <row r="3" spans="1:21" ht="13.2" x14ac:dyDescent="0.25">
      <c r="A3" s="52" t="s">
        <v>129</v>
      </c>
      <c r="I3" s="37" t="s">
        <v>129</v>
      </c>
      <c r="J3" s="12"/>
      <c r="K3" s="12"/>
      <c r="L3" s="12"/>
      <c r="M3" s="12"/>
      <c r="N3" s="12"/>
      <c r="O3" s="12"/>
    </row>
    <row r="4" spans="1:21" ht="13.8" thickBot="1" x14ac:dyDescent="0.3">
      <c r="A4" s="52"/>
      <c r="I4" s="37"/>
      <c r="J4" s="12"/>
      <c r="K4" s="12"/>
      <c r="L4" s="12"/>
      <c r="M4" s="12"/>
      <c r="N4" s="12"/>
      <c r="O4" s="12"/>
    </row>
    <row r="5" spans="1:21" ht="12" customHeight="1" x14ac:dyDescent="0.25">
      <c r="A5" s="84" t="s">
        <v>161</v>
      </c>
      <c r="B5" s="85"/>
      <c r="C5" s="85"/>
      <c r="D5" s="85"/>
      <c r="E5" s="85"/>
      <c r="F5" s="85"/>
      <c r="I5" s="38" t="s">
        <v>161</v>
      </c>
      <c r="J5" s="39"/>
      <c r="K5" s="39"/>
      <c r="L5" s="39"/>
      <c r="M5" s="39"/>
      <c r="N5" s="39"/>
      <c r="O5" s="12"/>
    </row>
    <row r="6" spans="1:21" x14ac:dyDescent="0.25">
      <c r="A6" s="74" t="s">
        <v>130</v>
      </c>
      <c r="B6" s="53" t="s">
        <v>94</v>
      </c>
      <c r="C6" s="53" t="s">
        <v>22</v>
      </c>
      <c r="D6" s="53" t="s">
        <v>131</v>
      </c>
      <c r="E6" s="53" t="s">
        <v>132</v>
      </c>
      <c r="F6" s="53" t="s">
        <v>133</v>
      </c>
      <c r="I6" s="40" t="s">
        <v>130</v>
      </c>
      <c r="J6" s="41" t="s">
        <v>94</v>
      </c>
      <c r="K6" s="41" t="s">
        <v>22</v>
      </c>
      <c r="L6" s="41" t="s">
        <v>131</v>
      </c>
      <c r="M6" s="41" t="s">
        <v>132</v>
      </c>
      <c r="N6" s="41" t="s">
        <v>133</v>
      </c>
      <c r="O6" s="12"/>
      <c r="Q6" s="61">
        <v>10</v>
      </c>
      <c r="R6">
        <v>3</v>
      </c>
    </row>
    <row r="7" spans="1:21" x14ac:dyDescent="0.25">
      <c r="A7" s="74" t="s">
        <v>130</v>
      </c>
      <c r="B7" s="54">
        <v>2020</v>
      </c>
      <c r="C7" s="54">
        <v>9.94</v>
      </c>
      <c r="D7" s="55">
        <v>2.9</v>
      </c>
      <c r="E7" s="54">
        <v>1</v>
      </c>
      <c r="F7" s="54">
        <v>19</v>
      </c>
      <c r="I7" s="40" t="s">
        <v>130</v>
      </c>
      <c r="J7" s="42">
        <v>2020</v>
      </c>
      <c r="K7" s="49">
        <v>10</v>
      </c>
      <c r="L7" s="49">
        <v>3</v>
      </c>
      <c r="M7" s="42">
        <v>1</v>
      </c>
      <c r="N7" s="42">
        <v>19</v>
      </c>
      <c r="O7" s="12"/>
      <c r="Q7" s="69">
        <f>K7-$Q$6</f>
        <v>0</v>
      </c>
      <c r="R7" s="69">
        <f>L7-$R$6</f>
        <v>0</v>
      </c>
    </row>
    <row r="8" spans="1:21" x14ac:dyDescent="0.25">
      <c r="A8" s="73"/>
      <c r="I8" s="36"/>
      <c r="J8" s="12"/>
      <c r="K8" s="12"/>
      <c r="L8" s="12"/>
      <c r="M8" s="12"/>
      <c r="N8" s="12"/>
      <c r="O8" s="12"/>
    </row>
    <row r="9" spans="1:21" x14ac:dyDescent="0.25">
      <c r="A9" s="73"/>
      <c r="I9" s="36"/>
      <c r="J9" s="12"/>
      <c r="K9" s="12"/>
      <c r="L9" s="12"/>
      <c r="M9" s="12"/>
      <c r="N9" s="12"/>
      <c r="O9" s="12"/>
    </row>
    <row r="10" spans="1:21" x14ac:dyDescent="0.25">
      <c r="I10" s="43"/>
      <c r="J10" s="12"/>
      <c r="K10" s="12"/>
      <c r="L10" s="12"/>
      <c r="M10" s="12"/>
      <c r="N10" s="12"/>
      <c r="O10" s="12"/>
    </row>
    <row r="11" spans="1:21" ht="13.2" x14ac:dyDescent="0.25">
      <c r="A11" s="52"/>
      <c r="I11" s="37"/>
      <c r="J11" s="12"/>
      <c r="K11" s="12"/>
      <c r="L11" s="12"/>
      <c r="M11" s="12"/>
      <c r="N11" s="12"/>
      <c r="O11" s="12"/>
    </row>
    <row r="12" spans="1:21" ht="13.2" x14ac:dyDescent="0.25">
      <c r="A12" s="72" t="s">
        <v>134</v>
      </c>
      <c r="I12" s="35" t="s">
        <v>134</v>
      </c>
      <c r="J12" s="12"/>
      <c r="K12" s="12"/>
      <c r="L12" s="12"/>
      <c r="M12" s="12"/>
      <c r="N12" s="12"/>
      <c r="O12" s="12"/>
    </row>
    <row r="13" spans="1:21" ht="13.8" thickBot="1" x14ac:dyDescent="0.3">
      <c r="A13" s="52"/>
      <c r="I13" s="37"/>
      <c r="J13" s="12"/>
      <c r="K13" s="12"/>
      <c r="L13" s="12"/>
      <c r="M13" s="12"/>
      <c r="N13" s="12"/>
      <c r="O13" s="12"/>
      <c r="Q13" s="61">
        <v>4</v>
      </c>
      <c r="R13" s="15">
        <v>7</v>
      </c>
      <c r="S13" s="15">
        <v>10</v>
      </c>
      <c r="T13" s="61">
        <v>13</v>
      </c>
      <c r="U13" s="61">
        <v>16</v>
      </c>
    </row>
    <row r="14" spans="1:21" x14ac:dyDescent="0.25">
      <c r="A14" s="76" t="s">
        <v>130</v>
      </c>
      <c r="B14" s="56" t="s">
        <v>135</v>
      </c>
      <c r="C14" s="56" t="s">
        <v>136</v>
      </c>
      <c r="D14" s="56" t="s">
        <v>137</v>
      </c>
      <c r="E14" s="56" t="s">
        <v>138</v>
      </c>
      <c r="F14" s="56" t="s">
        <v>139</v>
      </c>
      <c r="I14" s="38" t="s">
        <v>130</v>
      </c>
      <c r="J14" s="39" t="s">
        <v>135</v>
      </c>
      <c r="K14" s="39" t="s">
        <v>136</v>
      </c>
      <c r="L14" s="39" t="s">
        <v>137</v>
      </c>
      <c r="M14" s="39" t="s">
        <v>138</v>
      </c>
      <c r="N14" s="39" t="s">
        <v>139</v>
      </c>
      <c r="O14" s="12"/>
      <c r="Q14" s="61"/>
    </row>
    <row r="15" spans="1:21" x14ac:dyDescent="0.25">
      <c r="A15" s="77" t="s">
        <v>130</v>
      </c>
      <c r="B15" s="54">
        <v>4</v>
      </c>
      <c r="C15" s="54">
        <v>7</v>
      </c>
      <c r="D15" s="54">
        <v>10</v>
      </c>
      <c r="E15" s="54">
        <v>13</v>
      </c>
      <c r="F15" s="54">
        <v>16</v>
      </c>
      <c r="I15" s="44" t="s">
        <v>130</v>
      </c>
      <c r="J15" s="42">
        <v>4</v>
      </c>
      <c r="K15" s="42">
        <v>7</v>
      </c>
      <c r="L15" s="42">
        <v>10</v>
      </c>
      <c r="M15" s="42">
        <v>13</v>
      </c>
      <c r="N15" s="42">
        <v>16</v>
      </c>
      <c r="O15" s="12"/>
      <c r="Q15" s="61">
        <f>J15-$Q$13</f>
        <v>0</v>
      </c>
      <c r="R15" s="61">
        <f>K15-$R$13</f>
        <v>0</v>
      </c>
      <c r="S15" s="61">
        <f>L15-$S$13</f>
        <v>0</v>
      </c>
      <c r="T15" s="61">
        <f>M15-$T$13</f>
        <v>0</v>
      </c>
      <c r="U15" s="61">
        <f>N15-$U$13</f>
        <v>0</v>
      </c>
    </row>
    <row r="16" spans="1:21" x14ac:dyDescent="0.25">
      <c r="A16" s="73"/>
      <c r="I16" s="36"/>
      <c r="J16" s="12"/>
      <c r="K16" s="12"/>
      <c r="L16" s="12"/>
      <c r="M16" s="12"/>
      <c r="N16" s="12"/>
      <c r="O16" s="12"/>
    </row>
    <row r="17" spans="1:18" x14ac:dyDescent="0.25">
      <c r="A17" s="73"/>
      <c r="I17" s="36"/>
      <c r="J17" s="12"/>
      <c r="K17" s="12"/>
      <c r="L17" s="12"/>
      <c r="M17" s="12"/>
      <c r="N17" s="12"/>
      <c r="O17" s="12"/>
    </row>
    <row r="18" spans="1:18" x14ac:dyDescent="0.25">
      <c r="I18" s="43"/>
      <c r="J18" s="12"/>
      <c r="K18" s="12"/>
      <c r="L18" s="12"/>
      <c r="M18" s="12"/>
      <c r="N18" s="12"/>
      <c r="O18" s="12"/>
    </row>
    <row r="19" spans="1:18" ht="13.2" x14ac:dyDescent="0.25">
      <c r="A19" s="52"/>
      <c r="I19" s="37"/>
      <c r="J19" s="12"/>
      <c r="K19" s="12"/>
      <c r="L19" s="12"/>
      <c r="M19" s="12"/>
      <c r="N19" s="12"/>
      <c r="O19" s="12"/>
    </row>
    <row r="20" spans="1:18" ht="13.2" x14ac:dyDescent="0.25">
      <c r="A20" s="72" t="s">
        <v>140</v>
      </c>
      <c r="I20" s="35" t="s">
        <v>140</v>
      </c>
      <c r="J20" s="12"/>
      <c r="K20" s="12"/>
      <c r="L20" s="12"/>
      <c r="M20" s="12"/>
      <c r="N20" s="12"/>
      <c r="O20" s="12"/>
      <c r="Q20" s="61"/>
    </row>
    <row r="21" spans="1:18" x14ac:dyDescent="0.25">
      <c r="A21" s="73"/>
      <c r="I21" s="36"/>
      <c r="J21" s="12"/>
      <c r="K21" s="12"/>
      <c r="L21" s="12"/>
      <c r="M21" s="12"/>
      <c r="N21" s="12"/>
      <c r="O21" s="12"/>
      <c r="Q21" s="61"/>
    </row>
    <row r="22" spans="1:18" ht="13.2" x14ac:dyDescent="0.25">
      <c r="A22" s="52" t="s">
        <v>129</v>
      </c>
      <c r="I22" s="37" t="s">
        <v>129</v>
      </c>
      <c r="J22" s="12"/>
      <c r="K22" s="12"/>
      <c r="L22" s="12"/>
      <c r="M22" s="12"/>
      <c r="N22" s="12"/>
      <c r="O22" s="12"/>
      <c r="Q22" s="61"/>
    </row>
    <row r="23" spans="1:18" ht="13.8" thickBot="1" x14ac:dyDescent="0.3">
      <c r="A23" s="52"/>
      <c r="I23" s="37"/>
      <c r="J23" s="12"/>
      <c r="K23" s="12"/>
      <c r="L23" s="12"/>
      <c r="M23" s="12"/>
      <c r="N23" s="12"/>
      <c r="O23" s="12"/>
      <c r="Q23" s="61"/>
    </row>
    <row r="24" spans="1:18" ht="12" customHeight="1" x14ac:dyDescent="0.25">
      <c r="A24" s="86" t="s">
        <v>161</v>
      </c>
      <c r="B24" s="87"/>
      <c r="C24" s="87"/>
      <c r="D24" s="87"/>
      <c r="E24" s="87"/>
      <c r="F24" s="87"/>
      <c r="G24" s="87"/>
      <c r="I24" s="38" t="s">
        <v>161</v>
      </c>
      <c r="J24" s="39"/>
      <c r="K24" s="39"/>
      <c r="L24" s="39"/>
      <c r="M24" s="39"/>
      <c r="N24" s="39"/>
      <c r="O24" s="39"/>
      <c r="Q24" s="61"/>
    </row>
    <row r="25" spans="1:18" x14ac:dyDescent="0.25">
      <c r="A25" s="74" t="s">
        <v>141</v>
      </c>
      <c r="B25" s="53" t="s">
        <v>142</v>
      </c>
      <c r="C25" s="53" t="s">
        <v>94</v>
      </c>
      <c r="D25" s="53" t="s">
        <v>22</v>
      </c>
      <c r="E25" s="53" t="s">
        <v>131</v>
      </c>
      <c r="F25" s="53" t="s">
        <v>132</v>
      </c>
      <c r="G25" s="26" t="s">
        <v>133</v>
      </c>
      <c r="I25" s="40" t="s">
        <v>141</v>
      </c>
      <c r="J25" s="41" t="s">
        <v>142</v>
      </c>
      <c r="K25" s="41" t="s">
        <v>94</v>
      </c>
      <c r="L25" s="41" t="s">
        <v>22</v>
      </c>
      <c r="M25" s="41" t="s">
        <v>131</v>
      </c>
      <c r="N25" s="41" t="s">
        <v>132</v>
      </c>
      <c r="O25" s="41" t="s">
        <v>133</v>
      </c>
      <c r="Q25" s="61"/>
    </row>
    <row r="26" spans="1:18" x14ac:dyDescent="0.25">
      <c r="A26" s="57">
        <v>1</v>
      </c>
      <c r="B26" s="54" t="s">
        <v>143</v>
      </c>
      <c r="C26" s="54">
        <v>180</v>
      </c>
      <c r="D26" s="59">
        <v>9.56</v>
      </c>
      <c r="E26" s="59">
        <v>2.83</v>
      </c>
      <c r="F26" s="54">
        <v>2</v>
      </c>
      <c r="G26" s="14">
        <v>18</v>
      </c>
      <c r="I26" s="71">
        <v>1</v>
      </c>
      <c r="J26" s="42" t="s">
        <v>143</v>
      </c>
      <c r="K26" s="42">
        <v>180</v>
      </c>
      <c r="L26" s="50">
        <v>9.56</v>
      </c>
      <c r="M26" s="45">
        <v>2.72</v>
      </c>
      <c r="N26" s="42">
        <v>3</v>
      </c>
      <c r="O26" s="42">
        <v>16</v>
      </c>
      <c r="Q26" s="62">
        <f t="shared" ref="Q26:Q38" si="0">L26-$Q$6</f>
        <v>-0.4399999999999995</v>
      </c>
      <c r="R26" s="62">
        <f t="shared" ref="R26:R38" si="1">M26-$R$6</f>
        <v>-0.2799999999999998</v>
      </c>
    </row>
    <row r="27" spans="1:18" x14ac:dyDescent="0.25">
      <c r="A27" s="57">
        <v>2</v>
      </c>
      <c r="B27" s="54" t="s">
        <v>144</v>
      </c>
      <c r="C27" s="54">
        <v>180</v>
      </c>
      <c r="D27" s="59">
        <v>10.119999999999999</v>
      </c>
      <c r="E27" s="59">
        <v>3.13</v>
      </c>
      <c r="F27" s="54">
        <v>2</v>
      </c>
      <c r="G27" s="14">
        <v>18</v>
      </c>
      <c r="I27" s="71">
        <v>2</v>
      </c>
      <c r="J27" s="42" t="s">
        <v>144</v>
      </c>
      <c r="K27" s="42">
        <v>180</v>
      </c>
      <c r="L27" s="45">
        <v>10.029999999999999</v>
      </c>
      <c r="M27" s="45">
        <v>2.91</v>
      </c>
      <c r="N27" s="42">
        <v>3</v>
      </c>
      <c r="O27" s="42">
        <v>16</v>
      </c>
      <c r="Q27" s="62">
        <f t="shared" si="0"/>
        <v>2.9999999999999361E-2</v>
      </c>
      <c r="R27" s="62">
        <f t="shared" si="1"/>
        <v>-8.9999999999999858E-2</v>
      </c>
    </row>
    <row r="28" spans="1:18" x14ac:dyDescent="0.25">
      <c r="A28" s="57">
        <v>3</v>
      </c>
      <c r="B28" s="54" t="s">
        <v>145</v>
      </c>
      <c r="C28" s="54">
        <v>180</v>
      </c>
      <c r="D28" s="59">
        <v>9.85</v>
      </c>
      <c r="E28" s="59">
        <v>2.8</v>
      </c>
      <c r="F28" s="54">
        <v>1</v>
      </c>
      <c r="G28" s="14">
        <v>18</v>
      </c>
      <c r="I28" s="71">
        <v>3</v>
      </c>
      <c r="J28" s="42" t="s">
        <v>145</v>
      </c>
      <c r="K28" s="42">
        <v>180</v>
      </c>
      <c r="L28" s="45">
        <v>9.8000000000000007</v>
      </c>
      <c r="M28" s="45">
        <v>2.76</v>
      </c>
      <c r="N28" s="42">
        <v>1</v>
      </c>
      <c r="O28" s="42">
        <v>16</v>
      </c>
      <c r="Q28" s="62">
        <f t="shared" si="0"/>
        <v>-0.19999999999999929</v>
      </c>
      <c r="R28" s="62">
        <f t="shared" si="1"/>
        <v>-0.24000000000000021</v>
      </c>
    </row>
    <row r="29" spans="1:18" x14ac:dyDescent="0.25">
      <c r="A29" s="57">
        <v>4</v>
      </c>
      <c r="B29" s="54" t="s">
        <v>146</v>
      </c>
      <c r="C29" s="54">
        <v>180</v>
      </c>
      <c r="D29" s="59">
        <v>9.9499999999999993</v>
      </c>
      <c r="E29" s="59">
        <v>2.62</v>
      </c>
      <c r="F29" s="54">
        <v>2</v>
      </c>
      <c r="G29" s="14">
        <v>18</v>
      </c>
      <c r="I29" s="71">
        <v>4</v>
      </c>
      <c r="J29" s="42" t="s">
        <v>146</v>
      </c>
      <c r="K29" s="42">
        <v>180</v>
      </c>
      <c r="L29" s="45">
        <v>10.029999999999999</v>
      </c>
      <c r="M29" s="45">
        <v>2.61</v>
      </c>
      <c r="N29" s="42">
        <v>2</v>
      </c>
      <c r="O29" s="42">
        <v>16</v>
      </c>
      <c r="Q29" s="62">
        <f t="shared" si="0"/>
        <v>2.9999999999999361E-2</v>
      </c>
      <c r="R29" s="62">
        <f t="shared" si="1"/>
        <v>-0.39000000000000012</v>
      </c>
    </row>
    <row r="30" spans="1:18" x14ac:dyDescent="0.25">
      <c r="A30" s="57">
        <v>5</v>
      </c>
      <c r="B30" s="54" t="s">
        <v>147</v>
      </c>
      <c r="C30" s="54">
        <v>180</v>
      </c>
      <c r="D30" s="59">
        <v>10.18</v>
      </c>
      <c r="E30" s="59">
        <v>3.03</v>
      </c>
      <c r="F30" s="54">
        <v>1</v>
      </c>
      <c r="G30" s="14">
        <v>19</v>
      </c>
      <c r="I30" s="71">
        <v>5</v>
      </c>
      <c r="J30" s="42" t="s">
        <v>147</v>
      </c>
      <c r="K30" s="42">
        <v>180</v>
      </c>
      <c r="L30" s="45">
        <v>10.16</v>
      </c>
      <c r="M30" s="45">
        <v>2.97</v>
      </c>
      <c r="N30" s="42">
        <v>1</v>
      </c>
      <c r="O30" s="42">
        <v>19</v>
      </c>
      <c r="Q30" s="62">
        <f t="shared" si="0"/>
        <v>0.16000000000000014</v>
      </c>
      <c r="R30" s="62">
        <f t="shared" si="1"/>
        <v>-2.9999999999999805E-2</v>
      </c>
    </row>
    <row r="31" spans="1:18" x14ac:dyDescent="0.25">
      <c r="A31" s="57">
        <v>6</v>
      </c>
      <c r="B31" s="54" t="s">
        <v>148</v>
      </c>
      <c r="C31" s="54">
        <v>180</v>
      </c>
      <c r="D31" s="59">
        <v>9.67</v>
      </c>
      <c r="E31" s="59">
        <v>2.83</v>
      </c>
      <c r="F31" s="54">
        <v>2</v>
      </c>
      <c r="G31" s="14">
        <v>18</v>
      </c>
      <c r="I31" s="71">
        <v>6</v>
      </c>
      <c r="J31" s="42" t="s">
        <v>148</v>
      </c>
      <c r="K31" s="42">
        <v>180</v>
      </c>
      <c r="L31" s="45">
        <v>10.24</v>
      </c>
      <c r="M31" s="45">
        <v>3.07</v>
      </c>
      <c r="N31" s="42">
        <v>1</v>
      </c>
      <c r="O31" s="42">
        <v>17</v>
      </c>
      <c r="Q31" s="62">
        <f t="shared" si="0"/>
        <v>0.24000000000000021</v>
      </c>
      <c r="R31" s="62">
        <f t="shared" si="1"/>
        <v>6.999999999999984E-2</v>
      </c>
    </row>
    <row r="32" spans="1:18" x14ac:dyDescent="0.25">
      <c r="A32" s="57">
        <v>7</v>
      </c>
      <c r="B32" s="54" t="s">
        <v>149</v>
      </c>
      <c r="C32" s="54">
        <v>180</v>
      </c>
      <c r="D32" s="59">
        <v>10.07</v>
      </c>
      <c r="E32" s="59">
        <v>2.86</v>
      </c>
      <c r="F32" s="54">
        <v>3</v>
      </c>
      <c r="G32" s="14">
        <v>19</v>
      </c>
      <c r="I32" s="71">
        <v>7</v>
      </c>
      <c r="J32" s="42" t="s">
        <v>149</v>
      </c>
      <c r="K32" s="42">
        <v>180</v>
      </c>
      <c r="L32" s="45">
        <v>10.29</v>
      </c>
      <c r="M32" s="45">
        <v>3.05</v>
      </c>
      <c r="N32" s="42">
        <v>3</v>
      </c>
      <c r="O32" s="42">
        <v>18</v>
      </c>
      <c r="Q32" s="62">
        <f t="shared" si="0"/>
        <v>0.28999999999999915</v>
      </c>
      <c r="R32" s="62">
        <f t="shared" si="1"/>
        <v>4.9999999999999822E-2</v>
      </c>
    </row>
    <row r="33" spans="1:18" x14ac:dyDescent="0.25">
      <c r="A33" s="57">
        <v>8</v>
      </c>
      <c r="B33" s="54" t="s">
        <v>150</v>
      </c>
      <c r="C33" s="54">
        <v>180</v>
      </c>
      <c r="D33" s="59">
        <v>9.52</v>
      </c>
      <c r="E33" s="59">
        <v>2.96</v>
      </c>
      <c r="F33" s="54">
        <v>2</v>
      </c>
      <c r="G33" s="14">
        <v>15</v>
      </c>
      <c r="I33" s="71">
        <v>8</v>
      </c>
      <c r="J33" s="42" t="s">
        <v>150</v>
      </c>
      <c r="K33" s="42">
        <v>180</v>
      </c>
      <c r="L33" s="45">
        <v>9.7899999999999991</v>
      </c>
      <c r="M33" s="45">
        <v>3.25</v>
      </c>
      <c r="N33" s="42">
        <v>2</v>
      </c>
      <c r="O33" s="42">
        <v>16</v>
      </c>
      <c r="Q33" s="62">
        <f t="shared" si="0"/>
        <v>-0.21000000000000085</v>
      </c>
      <c r="R33" s="62">
        <f t="shared" si="1"/>
        <v>0.25</v>
      </c>
    </row>
    <row r="34" spans="1:18" x14ac:dyDescent="0.25">
      <c r="A34" s="57">
        <v>9</v>
      </c>
      <c r="B34" s="54" t="s">
        <v>151</v>
      </c>
      <c r="C34" s="54">
        <v>180</v>
      </c>
      <c r="D34" s="59">
        <v>10.23</v>
      </c>
      <c r="E34" s="59">
        <v>2.91</v>
      </c>
      <c r="F34" s="54">
        <v>4</v>
      </c>
      <c r="G34" s="14">
        <v>17</v>
      </c>
      <c r="I34" s="71">
        <v>9</v>
      </c>
      <c r="J34" s="42" t="s">
        <v>151</v>
      </c>
      <c r="K34" s="42">
        <v>180</v>
      </c>
      <c r="L34" s="45">
        <v>10.07</v>
      </c>
      <c r="M34" s="45">
        <v>3.02</v>
      </c>
      <c r="N34" s="42">
        <v>3</v>
      </c>
      <c r="O34" s="42">
        <v>18</v>
      </c>
      <c r="Q34" s="62">
        <f t="shared" si="0"/>
        <v>7.0000000000000284E-2</v>
      </c>
      <c r="R34" s="62">
        <f t="shared" si="1"/>
        <v>2.0000000000000018E-2</v>
      </c>
    </row>
    <row r="35" spans="1:18" x14ac:dyDescent="0.25">
      <c r="A35" s="57">
        <v>10</v>
      </c>
      <c r="B35" s="54" t="s">
        <v>152</v>
      </c>
      <c r="C35" s="54">
        <v>100</v>
      </c>
      <c r="D35" s="59">
        <v>10.1</v>
      </c>
      <c r="E35" s="59">
        <v>3.01</v>
      </c>
      <c r="F35" s="54">
        <v>4</v>
      </c>
      <c r="G35" s="14">
        <v>15</v>
      </c>
      <c r="I35" s="71">
        <v>10</v>
      </c>
      <c r="J35" s="42" t="s">
        <v>152</v>
      </c>
      <c r="K35" s="42">
        <v>100</v>
      </c>
      <c r="L35" s="45">
        <v>10.1</v>
      </c>
      <c r="M35" s="45">
        <v>3.11</v>
      </c>
      <c r="N35" s="42">
        <v>4</v>
      </c>
      <c r="O35" s="42">
        <v>16</v>
      </c>
      <c r="Q35" s="62">
        <f t="shared" si="0"/>
        <v>9.9999999999999645E-2</v>
      </c>
      <c r="R35" s="62">
        <f t="shared" si="1"/>
        <v>0.10999999999999988</v>
      </c>
    </row>
    <row r="36" spans="1:18" x14ac:dyDescent="0.25">
      <c r="A36" s="57">
        <v>11</v>
      </c>
      <c r="B36" s="54" t="s">
        <v>153</v>
      </c>
      <c r="C36" s="54">
        <v>100</v>
      </c>
      <c r="D36" s="59">
        <v>10.23</v>
      </c>
      <c r="E36" s="59">
        <v>3.17</v>
      </c>
      <c r="F36" s="54">
        <v>3</v>
      </c>
      <c r="G36" s="14">
        <v>16</v>
      </c>
      <c r="I36" s="71">
        <v>11</v>
      </c>
      <c r="J36" s="42" t="s">
        <v>153</v>
      </c>
      <c r="K36" s="42">
        <v>100</v>
      </c>
      <c r="L36" s="45">
        <v>10.23</v>
      </c>
      <c r="M36" s="45">
        <v>3.34</v>
      </c>
      <c r="N36" s="42">
        <v>3</v>
      </c>
      <c r="O36" s="42">
        <v>17</v>
      </c>
      <c r="Q36" s="62">
        <f t="shared" si="0"/>
        <v>0.23000000000000043</v>
      </c>
      <c r="R36" s="62">
        <f t="shared" si="1"/>
        <v>0.33999999999999986</v>
      </c>
    </row>
    <row r="37" spans="1:18" x14ac:dyDescent="0.25">
      <c r="A37" s="57">
        <v>12</v>
      </c>
      <c r="B37" s="54" t="s">
        <v>154</v>
      </c>
      <c r="C37" s="54">
        <v>100</v>
      </c>
      <c r="D37" s="59">
        <v>9.94</v>
      </c>
      <c r="E37" s="59">
        <v>2.89</v>
      </c>
      <c r="F37" s="54">
        <v>5</v>
      </c>
      <c r="G37" s="14">
        <v>16</v>
      </c>
      <c r="I37" s="71">
        <v>12</v>
      </c>
      <c r="J37" s="42" t="s">
        <v>154</v>
      </c>
      <c r="K37" s="42">
        <v>100</v>
      </c>
      <c r="L37" s="45">
        <v>9.73</v>
      </c>
      <c r="M37" s="45">
        <v>3.42</v>
      </c>
      <c r="N37" s="42">
        <v>4</v>
      </c>
      <c r="O37" s="42">
        <v>17</v>
      </c>
      <c r="Q37" s="62">
        <f t="shared" si="0"/>
        <v>-0.26999999999999957</v>
      </c>
      <c r="R37" s="62">
        <f t="shared" si="1"/>
        <v>0.41999999999999993</v>
      </c>
    </row>
    <row r="38" spans="1:18" x14ac:dyDescent="0.25">
      <c r="A38" s="57">
        <v>13</v>
      </c>
      <c r="B38" s="54" t="s">
        <v>155</v>
      </c>
      <c r="C38" s="54">
        <v>100</v>
      </c>
      <c r="D38" s="59">
        <v>10.119999999999999</v>
      </c>
      <c r="E38" s="59">
        <v>2.7</v>
      </c>
      <c r="F38" s="54">
        <v>3</v>
      </c>
      <c r="G38" s="14">
        <v>16</v>
      </c>
      <c r="I38" s="71">
        <v>13</v>
      </c>
      <c r="J38" s="42" t="s">
        <v>155</v>
      </c>
      <c r="K38" s="42">
        <v>100</v>
      </c>
      <c r="L38" s="45">
        <v>10.039999999999999</v>
      </c>
      <c r="M38" s="45">
        <v>3.24</v>
      </c>
      <c r="N38" s="42">
        <v>3</v>
      </c>
      <c r="O38" s="42">
        <v>17</v>
      </c>
      <c r="Q38" s="62">
        <f t="shared" si="0"/>
        <v>3.9999999999999147E-2</v>
      </c>
      <c r="R38" s="62">
        <f t="shared" si="1"/>
        <v>0.24000000000000021</v>
      </c>
    </row>
    <row r="39" spans="1:18" s="82" customFormat="1" x14ac:dyDescent="0.25">
      <c r="A39" s="79">
        <v>14</v>
      </c>
      <c r="B39" s="16" t="s">
        <v>156</v>
      </c>
      <c r="C39" s="16">
        <v>44</v>
      </c>
      <c r="D39" s="83">
        <v>3.89</v>
      </c>
      <c r="E39" s="83">
        <v>2.2999999999999998</v>
      </c>
      <c r="F39" s="16">
        <v>1</v>
      </c>
      <c r="G39" s="16">
        <v>10</v>
      </c>
      <c r="H39" s="80"/>
      <c r="I39" s="79">
        <v>14</v>
      </c>
      <c r="J39" s="16" t="s">
        <v>156</v>
      </c>
      <c r="K39" s="16">
        <v>44</v>
      </c>
      <c r="L39" s="83">
        <v>3.95</v>
      </c>
      <c r="M39" s="83">
        <v>2.29</v>
      </c>
      <c r="N39" s="16">
        <v>1</v>
      </c>
      <c r="O39" s="16">
        <v>10</v>
      </c>
      <c r="P39" s="81"/>
    </row>
    <row r="40" spans="1:18" s="82" customFormat="1" x14ac:dyDescent="0.25">
      <c r="A40" s="79">
        <v>15</v>
      </c>
      <c r="B40" s="16" t="s">
        <v>157</v>
      </c>
      <c r="C40" s="16">
        <v>26</v>
      </c>
      <c r="D40" s="83">
        <v>3</v>
      </c>
      <c r="E40" s="83">
        <v>1.3</v>
      </c>
      <c r="F40" s="16">
        <v>1</v>
      </c>
      <c r="G40" s="16">
        <v>6</v>
      </c>
      <c r="H40" s="80"/>
      <c r="I40" s="79">
        <v>15</v>
      </c>
      <c r="J40" s="16" t="s">
        <v>157</v>
      </c>
      <c r="K40" s="16">
        <v>26</v>
      </c>
      <c r="L40" s="83">
        <v>2.96</v>
      </c>
      <c r="M40" s="83">
        <v>1.31</v>
      </c>
      <c r="N40" s="16">
        <v>1</v>
      </c>
      <c r="O40" s="16">
        <v>5</v>
      </c>
      <c r="P40" s="81"/>
    </row>
    <row r="41" spans="1:18" s="82" customFormat="1" x14ac:dyDescent="0.25">
      <c r="A41" s="79">
        <v>16</v>
      </c>
      <c r="B41" s="16" t="s">
        <v>158</v>
      </c>
      <c r="C41" s="16">
        <v>32</v>
      </c>
      <c r="D41" s="83">
        <v>10.78</v>
      </c>
      <c r="E41" s="83">
        <v>2.04</v>
      </c>
      <c r="F41" s="16">
        <v>7</v>
      </c>
      <c r="G41" s="16">
        <v>15</v>
      </c>
      <c r="H41" s="80"/>
      <c r="I41" s="79">
        <v>16</v>
      </c>
      <c r="J41" s="16" t="s">
        <v>158</v>
      </c>
      <c r="K41" s="16">
        <v>32</v>
      </c>
      <c r="L41" s="83">
        <v>10.88</v>
      </c>
      <c r="M41" s="83">
        <v>2.23</v>
      </c>
      <c r="N41" s="16">
        <v>7</v>
      </c>
      <c r="O41" s="16">
        <v>15</v>
      </c>
      <c r="P41" s="81"/>
    </row>
    <row r="42" spans="1:18" s="82" customFormat="1" x14ac:dyDescent="0.25">
      <c r="A42" s="79">
        <v>17</v>
      </c>
      <c r="B42" s="16" t="s">
        <v>159</v>
      </c>
      <c r="C42" s="16">
        <v>68</v>
      </c>
      <c r="D42" s="83">
        <v>13.71</v>
      </c>
      <c r="E42" s="83">
        <v>2.44</v>
      </c>
      <c r="F42" s="16">
        <v>9</v>
      </c>
      <c r="G42" s="16">
        <v>19</v>
      </c>
      <c r="H42" s="80"/>
      <c r="I42" s="79">
        <v>17</v>
      </c>
      <c r="J42" s="16" t="s">
        <v>159</v>
      </c>
      <c r="K42" s="16">
        <v>68</v>
      </c>
      <c r="L42" s="83">
        <v>13.66</v>
      </c>
      <c r="M42" s="83">
        <v>2.04</v>
      </c>
      <c r="N42" s="16">
        <v>9</v>
      </c>
      <c r="O42" s="16">
        <v>18</v>
      </c>
      <c r="P42" s="81"/>
    </row>
    <row r="43" spans="1:18" x14ac:dyDescent="0.25">
      <c r="A43" s="73"/>
      <c r="I43" s="46"/>
      <c r="J43" s="47"/>
      <c r="K43" s="47"/>
      <c r="L43" s="47"/>
      <c r="M43" s="47"/>
      <c r="N43" s="47"/>
      <c r="O43" s="47"/>
    </row>
    <row r="44" spans="1:18" x14ac:dyDescent="0.25">
      <c r="A44" s="73"/>
      <c r="I44" s="36"/>
      <c r="J44" s="12"/>
      <c r="K44" s="12"/>
      <c r="L44" s="12"/>
      <c r="M44" s="12"/>
      <c r="N44" s="12"/>
      <c r="O44" s="12"/>
    </row>
    <row r="45" spans="1:18" x14ac:dyDescent="0.25">
      <c r="I45" s="43"/>
      <c r="J45" s="12"/>
      <c r="K45" s="12"/>
      <c r="L45" s="12"/>
      <c r="M45" s="12"/>
      <c r="N45" s="12"/>
      <c r="O45" s="12"/>
    </row>
    <row r="46" spans="1:18" ht="13.2" x14ac:dyDescent="0.25">
      <c r="A46" s="52"/>
      <c r="I46" s="37"/>
      <c r="J46" s="12"/>
      <c r="K46" s="12"/>
      <c r="L46" s="12"/>
      <c r="M46" s="12"/>
      <c r="N46" s="12"/>
      <c r="O46" s="12"/>
    </row>
    <row r="47" spans="1:18" ht="13.2" x14ac:dyDescent="0.25">
      <c r="A47" s="72" t="s">
        <v>160</v>
      </c>
      <c r="I47" s="35" t="s">
        <v>160</v>
      </c>
      <c r="J47" s="12"/>
      <c r="K47" s="12"/>
      <c r="L47" s="12"/>
      <c r="M47" s="12"/>
      <c r="N47" s="12"/>
      <c r="O47" s="12"/>
    </row>
    <row r="48" spans="1:18" ht="13.8" thickBot="1" x14ac:dyDescent="0.3">
      <c r="A48" s="52"/>
      <c r="I48" s="37"/>
      <c r="J48" s="12"/>
      <c r="K48" s="12"/>
      <c r="L48" s="12"/>
      <c r="M48" s="12"/>
      <c r="N48" s="12"/>
      <c r="O48" s="12"/>
    </row>
    <row r="49" spans="1:21" x14ac:dyDescent="0.25">
      <c r="A49" s="76" t="s">
        <v>141</v>
      </c>
      <c r="B49" s="60" t="s">
        <v>142</v>
      </c>
      <c r="C49" s="56" t="s">
        <v>135</v>
      </c>
      <c r="D49" s="56" t="s">
        <v>136</v>
      </c>
      <c r="E49" s="56" t="s">
        <v>137</v>
      </c>
      <c r="F49" s="56" t="s">
        <v>138</v>
      </c>
      <c r="G49" s="70" t="s">
        <v>139</v>
      </c>
      <c r="I49" s="38" t="s">
        <v>141</v>
      </c>
      <c r="J49" s="39" t="s">
        <v>142</v>
      </c>
      <c r="K49" s="39" t="s">
        <v>135</v>
      </c>
      <c r="L49" s="39" t="s">
        <v>136</v>
      </c>
      <c r="M49" s="39" t="s">
        <v>137</v>
      </c>
      <c r="N49" s="39" t="s">
        <v>138</v>
      </c>
      <c r="O49" s="39" t="s">
        <v>139</v>
      </c>
    </row>
    <row r="50" spans="1:21" x14ac:dyDescent="0.25">
      <c r="A50" s="57">
        <v>1</v>
      </c>
      <c r="B50" s="58" t="s">
        <v>143</v>
      </c>
      <c r="C50" s="54">
        <v>3</v>
      </c>
      <c r="D50" s="54">
        <v>7</v>
      </c>
      <c r="E50" s="54">
        <v>10</v>
      </c>
      <c r="F50" s="54">
        <v>12</v>
      </c>
      <c r="G50" s="54">
        <v>14</v>
      </c>
      <c r="I50" s="71">
        <v>1</v>
      </c>
      <c r="J50" s="42" t="s">
        <v>143</v>
      </c>
      <c r="K50" s="42">
        <v>4</v>
      </c>
      <c r="L50" s="42">
        <v>7</v>
      </c>
      <c r="M50" s="42">
        <v>10</v>
      </c>
      <c r="N50" s="42">
        <v>12</v>
      </c>
      <c r="O50" s="42">
        <v>14</v>
      </c>
      <c r="Q50" s="61">
        <f>K50-$Q$13</f>
        <v>0</v>
      </c>
      <c r="R50" s="61">
        <f>L50-$R$13</f>
        <v>0</v>
      </c>
      <c r="S50" s="61">
        <f>M50-$S$13</f>
        <v>0</v>
      </c>
      <c r="T50" s="61">
        <f>N50-$T$13</f>
        <v>-1</v>
      </c>
      <c r="U50" s="61">
        <f>O50-$U$13</f>
        <v>-2</v>
      </c>
    </row>
    <row r="51" spans="1:21" x14ac:dyDescent="0.25">
      <c r="A51" s="57">
        <v>2</v>
      </c>
      <c r="B51" s="58" t="s">
        <v>144</v>
      </c>
      <c r="C51" s="54">
        <v>4</v>
      </c>
      <c r="D51" s="54">
        <v>7</v>
      </c>
      <c r="E51" s="54">
        <v>10</v>
      </c>
      <c r="F51" s="54">
        <v>13</v>
      </c>
      <c r="G51" s="54">
        <v>18</v>
      </c>
      <c r="I51" s="71">
        <v>2</v>
      </c>
      <c r="J51" s="42" t="s">
        <v>144</v>
      </c>
      <c r="K51" s="42">
        <v>4</v>
      </c>
      <c r="L51" s="42">
        <v>7</v>
      </c>
      <c r="M51" s="42">
        <v>10</v>
      </c>
      <c r="N51" s="42">
        <v>13</v>
      </c>
      <c r="O51" s="42">
        <v>16</v>
      </c>
      <c r="Q51" s="61">
        <f t="shared" ref="Q51:Q62" si="2">K51-$Q$13</f>
        <v>0</v>
      </c>
      <c r="R51" s="61">
        <f t="shared" ref="R51:R62" si="3">L51-$R$13</f>
        <v>0</v>
      </c>
      <c r="S51" s="61">
        <f t="shared" ref="S51:S62" si="4">M51-$S$13</f>
        <v>0</v>
      </c>
      <c r="T51" s="61">
        <f t="shared" ref="T51:T62" si="5">N51-$T$13</f>
        <v>0</v>
      </c>
      <c r="U51" s="61">
        <f t="shared" ref="U51:U62" si="6">O51-$U$13</f>
        <v>0</v>
      </c>
    </row>
    <row r="52" spans="1:21" x14ac:dyDescent="0.25">
      <c r="A52" s="57">
        <v>3</v>
      </c>
      <c r="B52" s="58" t="s">
        <v>145</v>
      </c>
      <c r="C52" s="54">
        <v>4</v>
      </c>
      <c r="D52" s="54">
        <v>8</v>
      </c>
      <c r="E52" s="54">
        <v>9.5</v>
      </c>
      <c r="F52" s="54">
        <v>12</v>
      </c>
      <c r="G52" s="54">
        <v>16</v>
      </c>
      <c r="I52" s="71">
        <v>3</v>
      </c>
      <c r="J52" s="42" t="s">
        <v>145</v>
      </c>
      <c r="K52" s="42">
        <v>4</v>
      </c>
      <c r="L52" s="42">
        <v>7</v>
      </c>
      <c r="M52" s="42">
        <v>10</v>
      </c>
      <c r="N52" s="42">
        <v>12</v>
      </c>
      <c r="O52" s="42">
        <v>15</v>
      </c>
      <c r="Q52" s="61">
        <f t="shared" si="2"/>
        <v>0</v>
      </c>
      <c r="R52" s="61">
        <f t="shared" si="3"/>
        <v>0</v>
      </c>
      <c r="S52" s="61">
        <f t="shared" si="4"/>
        <v>0</v>
      </c>
      <c r="T52" s="61">
        <f t="shared" si="5"/>
        <v>-1</v>
      </c>
      <c r="U52" s="61">
        <f t="shared" si="6"/>
        <v>-1</v>
      </c>
    </row>
    <row r="53" spans="1:21" x14ac:dyDescent="0.25">
      <c r="A53" s="57">
        <v>4</v>
      </c>
      <c r="B53" s="58" t="s">
        <v>146</v>
      </c>
      <c r="C53" s="54">
        <v>4</v>
      </c>
      <c r="D53" s="54">
        <v>8</v>
      </c>
      <c r="E53" s="54">
        <v>10</v>
      </c>
      <c r="F53" s="54">
        <v>13</v>
      </c>
      <c r="G53" s="54">
        <v>14</v>
      </c>
      <c r="I53" s="71">
        <v>4</v>
      </c>
      <c r="J53" s="42" t="s">
        <v>146</v>
      </c>
      <c r="K53" s="42">
        <v>4</v>
      </c>
      <c r="L53" s="42">
        <v>7</v>
      </c>
      <c r="M53" s="42">
        <v>10</v>
      </c>
      <c r="N53" s="42">
        <v>13</v>
      </c>
      <c r="O53" s="42">
        <v>14</v>
      </c>
      <c r="Q53" s="61">
        <f t="shared" si="2"/>
        <v>0</v>
      </c>
      <c r="R53" s="61">
        <f t="shared" si="3"/>
        <v>0</v>
      </c>
      <c r="S53" s="61">
        <f t="shared" si="4"/>
        <v>0</v>
      </c>
      <c r="T53" s="61">
        <f t="shared" si="5"/>
        <v>0</v>
      </c>
      <c r="U53" s="61">
        <f t="shared" si="6"/>
        <v>-2</v>
      </c>
    </row>
    <row r="54" spans="1:21" x14ac:dyDescent="0.25">
      <c r="A54" s="57">
        <v>5</v>
      </c>
      <c r="B54" s="58" t="s">
        <v>147</v>
      </c>
      <c r="C54" s="54">
        <v>3</v>
      </c>
      <c r="D54" s="54">
        <v>8</v>
      </c>
      <c r="E54" s="54">
        <v>10</v>
      </c>
      <c r="F54" s="54">
        <v>13</v>
      </c>
      <c r="G54" s="54">
        <v>18</v>
      </c>
      <c r="I54" s="71">
        <v>5</v>
      </c>
      <c r="J54" s="42" t="s">
        <v>147</v>
      </c>
      <c r="K54" s="42">
        <v>3</v>
      </c>
      <c r="L54" s="42">
        <v>8</v>
      </c>
      <c r="M54" s="42">
        <v>10</v>
      </c>
      <c r="N54" s="42">
        <v>13</v>
      </c>
      <c r="O54" s="42">
        <v>17</v>
      </c>
      <c r="Q54" s="61">
        <f t="shared" si="2"/>
        <v>-1</v>
      </c>
      <c r="R54" s="61">
        <f t="shared" si="3"/>
        <v>1</v>
      </c>
      <c r="S54" s="61">
        <f t="shared" si="4"/>
        <v>0</v>
      </c>
      <c r="T54" s="61">
        <f t="shared" si="5"/>
        <v>0</v>
      </c>
      <c r="U54" s="61">
        <f t="shared" si="6"/>
        <v>1</v>
      </c>
    </row>
    <row r="55" spans="1:21" x14ac:dyDescent="0.25">
      <c r="A55" s="57">
        <v>6</v>
      </c>
      <c r="B55" s="58" t="s">
        <v>148</v>
      </c>
      <c r="C55" s="54">
        <v>3</v>
      </c>
      <c r="D55" s="54">
        <v>6</v>
      </c>
      <c r="E55" s="54">
        <v>10</v>
      </c>
      <c r="F55" s="54">
        <v>12</v>
      </c>
      <c r="G55" s="54">
        <v>16</v>
      </c>
      <c r="I55" s="71">
        <v>6</v>
      </c>
      <c r="J55" s="42" t="s">
        <v>148</v>
      </c>
      <c r="K55" s="42">
        <v>3</v>
      </c>
      <c r="L55" s="42">
        <v>7</v>
      </c>
      <c r="M55" s="42">
        <v>11</v>
      </c>
      <c r="N55" s="42">
        <v>13</v>
      </c>
      <c r="O55" s="42">
        <v>16</v>
      </c>
      <c r="Q55" s="61">
        <f t="shared" si="2"/>
        <v>-1</v>
      </c>
      <c r="R55" s="61">
        <f t="shared" si="3"/>
        <v>0</v>
      </c>
      <c r="S55" s="61">
        <f t="shared" si="4"/>
        <v>1</v>
      </c>
      <c r="T55" s="61">
        <f t="shared" si="5"/>
        <v>0</v>
      </c>
      <c r="U55" s="61">
        <f t="shared" si="6"/>
        <v>0</v>
      </c>
    </row>
    <row r="56" spans="1:21" x14ac:dyDescent="0.25">
      <c r="A56" s="57">
        <v>7</v>
      </c>
      <c r="B56" s="58" t="s">
        <v>149</v>
      </c>
      <c r="C56" s="54">
        <v>4</v>
      </c>
      <c r="D56" s="54">
        <v>7</v>
      </c>
      <c r="E56" s="54">
        <v>10</v>
      </c>
      <c r="F56" s="54">
        <v>13</v>
      </c>
      <c r="G56" s="54">
        <v>15</v>
      </c>
      <c r="I56" s="71">
        <v>7</v>
      </c>
      <c r="J56" s="42" t="s">
        <v>149</v>
      </c>
      <c r="K56" s="42">
        <v>4</v>
      </c>
      <c r="L56" s="42">
        <v>7</v>
      </c>
      <c r="M56" s="42">
        <v>10</v>
      </c>
      <c r="N56" s="42">
        <v>13</v>
      </c>
      <c r="O56" s="42">
        <v>15</v>
      </c>
      <c r="Q56" s="61">
        <f t="shared" si="2"/>
        <v>0</v>
      </c>
      <c r="R56" s="61">
        <f t="shared" si="3"/>
        <v>0</v>
      </c>
      <c r="S56" s="61">
        <f t="shared" si="4"/>
        <v>0</v>
      </c>
      <c r="T56" s="61">
        <f t="shared" si="5"/>
        <v>0</v>
      </c>
      <c r="U56" s="61">
        <f t="shared" si="6"/>
        <v>-1</v>
      </c>
    </row>
    <row r="57" spans="1:21" x14ac:dyDescent="0.25">
      <c r="A57" s="57">
        <v>8</v>
      </c>
      <c r="B57" s="58" t="s">
        <v>150</v>
      </c>
      <c r="C57" s="54">
        <v>3</v>
      </c>
      <c r="D57" s="54">
        <v>6</v>
      </c>
      <c r="E57" s="54">
        <v>10</v>
      </c>
      <c r="F57" s="54">
        <v>13</v>
      </c>
      <c r="G57" s="54">
        <v>14</v>
      </c>
      <c r="I57" s="71">
        <v>8</v>
      </c>
      <c r="J57" s="42" t="s">
        <v>150</v>
      </c>
      <c r="K57" s="42">
        <v>3</v>
      </c>
      <c r="L57" s="42">
        <v>6</v>
      </c>
      <c r="M57" s="42">
        <v>10</v>
      </c>
      <c r="N57" s="42">
        <v>13</v>
      </c>
      <c r="O57" s="42">
        <v>15</v>
      </c>
      <c r="Q57" s="61">
        <f t="shared" si="2"/>
        <v>-1</v>
      </c>
      <c r="R57" s="61">
        <f t="shared" si="3"/>
        <v>-1</v>
      </c>
      <c r="S57" s="61">
        <f t="shared" si="4"/>
        <v>0</v>
      </c>
      <c r="T57" s="61">
        <f t="shared" si="5"/>
        <v>0</v>
      </c>
      <c r="U57" s="61">
        <f t="shared" si="6"/>
        <v>-1</v>
      </c>
    </row>
    <row r="58" spans="1:21" x14ac:dyDescent="0.25">
      <c r="A58" s="57">
        <v>9</v>
      </c>
      <c r="B58" s="58" t="s">
        <v>151</v>
      </c>
      <c r="C58" s="54">
        <v>5</v>
      </c>
      <c r="D58" s="54">
        <v>7</v>
      </c>
      <c r="E58" s="54">
        <v>11</v>
      </c>
      <c r="F58" s="54">
        <v>13</v>
      </c>
      <c r="G58" s="54">
        <v>16</v>
      </c>
      <c r="I58" s="71">
        <v>9</v>
      </c>
      <c r="J58" s="42" t="s">
        <v>151</v>
      </c>
      <c r="K58" s="42">
        <v>4</v>
      </c>
      <c r="L58" s="42">
        <v>7</v>
      </c>
      <c r="M58" s="42">
        <v>10</v>
      </c>
      <c r="N58" s="42">
        <v>13</v>
      </c>
      <c r="O58" s="42">
        <v>16</v>
      </c>
      <c r="Q58" s="61">
        <f t="shared" si="2"/>
        <v>0</v>
      </c>
      <c r="R58" s="61">
        <f t="shared" si="3"/>
        <v>0</v>
      </c>
      <c r="S58" s="61">
        <f t="shared" si="4"/>
        <v>0</v>
      </c>
      <c r="T58" s="61">
        <f t="shared" si="5"/>
        <v>0</v>
      </c>
      <c r="U58" s="61">
        <f t="shared" si="6"/>
        <v>0</v>
      </c>
    </row>
    <row r="59" spans="1:21" x14ac:dyDescent="0.25">
      <c r="A59" s="57">
        <v>10</v>
      </c>
      <c r="B59" s="58" t="s">
        <v>152</v>
      </c>
      <c r="C59" s="54">
        <v>4</v>
      </c>
      <c r="D59" s="54">
        <v>7</v>
      </c>
      <c r="E59" s="54">
        <v>10</v>
      </c>
      <c r="F59" s="54">
        <v>13</v>
      </c>
      <c r="G59" s="54">
        <v>15</v>
      </c>
      <c r="I59" s="71">
        <v>10</v>
      </c>
      <c r="J59" s="42" t="s">
        <v>152</v>
      </c>
      <c r="K59" s="42">
        <v>4</v>
      </c>
      <c r="L59" s="42">
        <v>7</v>
      </c>
      <c r="M59" s="42">
        <v>10</v>
      </c>
      <c r="N59" s="42">
        <v>13</v>
      </c>
      <c r="O59" s="42">
        <v>16</v>
      </c>
      <c r="Q59" s="61">
        <f t="shared" si="2"/>
        <v>0</v>
      </c>
      <c r="R59" s="61">
        <f t="shared" si="3"/>
        <v>0</v>
      </c>
      <c r="S59" s="61">
        <f t="shared" si="4"/>
        <v>0</v>
      </c>
      <c r="T59" s="61">
        <f t="shared" si="5"/>
        <v>0</v>
      </c>
      <c r="U59" s="61">
        <f t="shared" si="6"/>
        <v>0</v>
      </c>
    </row>
    <row r="60" spans="1:21" x14ac:dyDescent="0.25">
      <c r="A60" s="57">
        <v>11</v>
      </c>
      <c r="B60" s="58" t="s">
        <v>153</v>
      </c>
      <c r="C60" s="54">
        <v>4.5</v>
      </c>
      <c r="D60" s="54">
        <v>6.5</v>
      </c>
      <c r="E60" s="54">
        <v>10</v>
      </c>
      <c r="F60" s="54">
        <v>14</v>
      </c>
      <c r="G60" s="54">
        <v>16</v>
      </c>
      <c r="I60" s="71">
        <v>11</v>
      </c>
      <c r="J60" s="42" t="s">
        <v>153</v>
      </c>
      <c r="K60" s="42">
        <v>4.5</v>
      </c>
      <c r="L60" s="42">
        <v>6.5</v>
      </c>
      <c r="M60" s="42">
        <v>10</v>
      </c>
      <c r="N60" s="42">
        <v>14</v>
      </c>
      <c r="O60" s="42">
        <v>16.5</v>
      </c>
      <c r="Q60" s="61">
        <f t="shared" si="2"/>
        <v>0.5</v>
      </c>
      <c r="R60" s="61">
        <f t="shared" si="3"/>
        <v>-0.5</v>
      </c>
      <c r="S60" s="61">
        <f t="shared" si="4"/>
        <v>0</v>
      </c>
      <c r="T60" s="61">
        <f t="shared" si="5"/>
        <v>1</v>
      </c>
      <c r="U60" s="61">
        <f t="shared" si="6"/>
        <v>0.5</v>
      </c>
    </row>
    <row r="61" spans="1:21" x14ac:dyDescent="0.25">
      <c r="A61" s="57">
        <v>12</v>
      </c>
      <c r="B61" s="58" t="s">
        <v>154</v>
      </c>
      <c r="C61" s="54">
        <v>5.5</v>
      </c>
      <c r="D61" s="54">
        <v>7</v>
      </c>
      <c r="E61" s="54">
        <v>9</v>
      </c>
      <c r="F61" s="54">
        <v>13</v>
      </c>
      <c r="G61" s="54">
        <v>16</v>
      </c>
      <c r="I61" s="71">
        <v>12</v>
      </c>
      <c r="J61" s="42" t="s">
        <v>154</v>
      </c>
      <c r="K61" s="42">
        <v>4.5</v>
      </c>
      <c r="L61" s="42">
        <v>6</v>
      </c>
      <c r="M61" s="42">
        <v>9</v>
      </c>
      <c r="N61" s="42">
        <v>13</v>
      </c>
      <c r="O61" s="42">
        <v>16</v>
      </c>
      <c r="Q61" s="61">
        <f t="shared" si="2"/>
        <v>0.5</v>
      </c>
      <c r="R61" s="61">
        <f t="shared" si="3"/>
        <v>-1</v>
      </c>
      <c r="S61" s="61">
        <f t="shared" si="4"/>
        <v>-1</v>
      </c>
      <c r="T61" s="61">
        <f t="shared" si="5"/>
        <v>0</v>
      </c>
      <c r="U61" s="61">
        <f t="shared" si="6"/>
        <v>0</v>
      </c>
    </row>
    <row r="62" spans="1:21" x14ac:dyDescent="0.25">
      <c r="A62" s="57">
        <v>13</v>
      </c>
      <c r="B62" s="58" t="s">
        <v>155</v>
      </c>
      <c r="C62" s="54">
        <v>5.5</v>
      </c>
      <c r="D62" s="54">
        <v>8</v>
      </c>
      <c r="E62" s="54">
        <v>10</v>
      </c>
      <c r="F62" s="54">
        <v>13.5</v>
      </c>
      <c r="G62" s="54">
        <v>16</v>
      </c>
      <c r="I62" s="71">
        <v>13</v>
      </c>
      <c r="J62" s="42" t="s">
        <v>155</v>
      </c>
      <c r="K62" s="42">
        <v>4.5</v>
      </c>
      <c r="L62" s="42">
        <v>7</v>
      </c>
      <c r="M62" s="42">
        <v>10</v>
      </c>
      <c r="N62" s="42">
        <v>13.5</v>
      </c>
      <c r="O62" s="42">
        <v>17</v>
      </c>
      <c r="Q62" s="61">
        <f t="shared" si="2"/>
        <v>0.5</v>
      </c>
      <c r="R62" s="61">
        <f t="shared" si="3"/>
        <v>0</v>
      </c>
      <c r="S62" s="61">
        <f t="shared" si="4"/>
        <v>0</v>
      </c>
      <c r="T62" s="61">
        <f t="shared" si="5"/>
        <v>0.5</v>
      </c>
      <c r="U62" s="61">
        <f t="shared" si="6"/>
        <v>1</v>
      </c>
    </row>
    <row r="63" spans="1:21" x14ac:dyDescent="0.25">
      <c r="G63" s="51"/>
      <c r="I63" s="48"/>
      <c r="J63" s="47"/>
      <c r="K63" s="47"/>
      <c r="L63" s="47"/>
      <c r="M63" s="47"/>
      <c r="N63" s="47"/>
      <c r="O63" s="47"/>
    </row>
  </sheetData>
  <mergeCells count="2">
    <mergeCell ref="A5:F5"/>
    <mergeCell ref="A24:G24"/>
  </mergeCells>
  <conditionalFormatting sqref="Q7:R7 Q26:R38">
    <cfRule type="cellIs" dxfId="5" priority="5" operator="between">
      <formula>-0.5</formula>
      <formula>0.5</formula>
    </cfRule>
  </conditionalFormatting>
  <conditionalFormatting sqref="Q15:U15">
    <cfRule type="cellIs" dxfId="4" priority="2" operator="equal">
      <formula>0</formula>
    </cfRule>
  </conditionalFormatting>
  <conditionalFormatting sqref="Q50:U62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E46B-4148-439F-BDF0-ECBBCDF818BB}">
  <sheetPr>
    <tabColor rgb="FFE5FFFF"/>
  </sheetPr>
  <dimension ref="A1:AR20"/>
  <sheetViews>
    <sheetView zoomScale="70" zoomScaleNormal="70" workbookViewId="0">
      <selection activeCell="K23" sqref="K23"/>
    </sheetView>
  </sheetViews>
  <sheetFormatPr defaultRowHeight="14.4" x14ac:dyDescent="0.3"/>
  <cols>
    <col min="1" max="1" width="5.7109375" style="65" customWidth="1"/>
    <col min="2" max="14" width="6.140625" style="63" customWidth="1"/>
    <col min="15" max="15" width="3" style="64" customWidth="1"/>
    <col min="16" max="16" width="6.85546875" style="67" customWidth="1"/>
    <col min="17" max="28" width="6" style="64" customWidth="1"/>
    <col min="29" max="29" width="3.28515625" style="64" customWidth="1"/>
    <col min="30" max="30" width="2.85546875" style="64" customWidth="1"/>
    <col min="31" max="31" width="6.28515625" style="67" customWidth="1"/>
    <col min="32" max="44" width="6.28515625" style="64" customWidth="1"/>
    <col min="45" max="16384" width="9.140625" style="64"/>
  </cols>
  <sheetData>
    <row r="1" spans="1:44" s="67" customFormat="1" x14ac:dyDescent="0.3">
      <c r="A1" s="65"/>
      <c r="B1" s="66" t="s">
        <v>27</v>
      </c>
      <c r="C1" s="66" t="s">
        <v>28</v>
      </c>
      <c r="D1" s="66" t="s">
        <v>29</v>
      </c>
      <c r="E1" s="66" t="s">
        <v>30</v>
      </c>
      <c r="F1" s="66" t="s">
        <v>31</v>
      </c>
      <c r="G1" s="66" t="s">
        <v>32</v>
      </c>
      <c r="H1" s="66" t="s">
        <v>33</v>
      </c>
      <c r="I1" s="66" t="s">
        <v>34</v>
      </c>
      <c r="J1" s="66" t="s">
        <v>35</v>
      </c>
      <c r="K1" s="66" t="s">
        <v>36</v>
      </c>
      <c r="L1" s="66" t="s">
        <v>37</v>
      </c>
      <c r="M1" s="66" t="s">
        <v>38</v>
      </c>
      <c r="N1" s="66" t="s">
        <v>39</v>
      </c>
      <c r="P1" s="65"/>
      <c r="Q1" s="66" t="s">
        <v>27</v>
      </c>
      <c r="R1" s="66" t="s">
        <v>28</v>
      </c>
      <c r="S1" s="66" t="s">
        <v>29</v>
      </c>
      <c r="T1" s="66" t="s">
        <v>30</v>
      </c>
      <c r="U1" s="66" t="s">
        <v>31</v>
      </c>
      <c r="V1" s="66" t="s">
        <v>32</v>
      </c>
      <c r="W1" s="66" t="s">
        <v>33</v>
      </c>
      <c r="X1" s="66" t="s">
        <v>34</v>
      </c>
      <c r="Y1" s="66" t="s">
        <v>35</v>
      </c>
      <c r="Z1" s="66" t="s">
        <v>36</v>
      </c>
      <c r="AA1" s="66" t="s">
        <v>37</v>
      </c>
      <c r="AB1" s="66" t="s">
        <v>38</v>
      </c>
      <c r="AC1" s="66"/>
      <c r="AE1" s="65"/>
      <c r="AF1" s="66" t="s">
        <v>27</v>
      </c>
      <c r="AG1" s="66" t="s">
        <v>28</v>
      </c>
      <c r="AH1" s="66" t="s">
        <v>29</v>
      </c>
      <c r="AI1" s="66" t="s">
        <v>30</v>
      </c>
      <c r="AJ1" s="66" t="s">
        <v>31</v>
      </c>
      <c r="AK1" s="66" t="s">
        <v>32</v>
      </c>
      <c r="AL1" s="66" t="s">
        <v>33</v>
      </c>
      <c r="AM1" s="66" t="s">
        <v>34</v>
      </c>
      <c r="AN1" s="66" t="s">
        <v>35</v>
      </c>
      <c r="AO1" s="66" t="s">
        <v>36</v>
      </c>
      <c r="AP1" s="66" t="s">
        <v>37</v>
      </c>
      <c r="AQ1" s="66" t="s">
        <v>38</v>
      </c>
      <c r="AR1" s="66" t="s">
        <v>39</v>
      </c>
    </row>
    <row r="2" spans="1:44" x14ac:dyDescent="0.3">
      <c r="A2" s="65">
        <v>1</v>
      </c>
      <c r="B2" s="63">
        <f>COUNTIF(handsmth!B$2:B$28,$A2)</f>
        <v>3</v>
      </c>
      <c r="C2" s="63">
        <f>COUNTIF(handsmth!C$2:C$28,$A2)</f>
        <v>3</v>
      </c>
      <c r="D2" s="63">
        <f>COUNTIF(handsmth!D$2:D$28,$A2)</f>
        <v>3</v>
      </c>
      <c r="E2" s="63">
        <f>COUNTIF(handsmth!E$2:E$28,$A2)</f>
        <v>3</v>
      </c>
      <c r="F2" s="63">
        <f>COUNTIF(handsmth!F$2:F$28,$A2)</f>
        <v>3</v>
      </c>
      <c r="G2" s="63">
        <f>COUNTIF(handsmth!G$2:G$28,$A2)</f>
        <v>3</v>
      </c>
      <c r="H2" s="63">
        <f>COUNTIF(handsmth!H$2:H$28,$A2)</f>
        <v>2</v>
      </c>
      <c r="I2" s="63">
        <f>COUNTIF(handsmth!I$2:I$28,$A2)</f>
        <v>1</v>
      </c>
      <c r="J2" s="63">
        <f>COUNTIF(handsmth!J$2:J$28,$A2)</f>
        <v>1</v>
      </c>
      <c r="K2" s="63">
        <f>COUNTIF(handsmth!K$2:K$28,$A2)</f>
        <v>1</v>
      </c>
      <c r="L2" s="63">
        <f>COUNTIF(handsmth!L$2:L$28,$A2)</f>
        <v>1</v>
      </c>
      <c r="M2" s="63">
        <f>COUNTIF(handsmth!M$2:M$28,$A2)</f>
        <v>1</v>
      </c>
      <c r="N2" s="63">
        <f>COUNTIF(handsmth!N$2:N$28,$A2)</f>
        <v>1</v>
      </c>
      <c r="P2" s="65">
        <v>1</v>
      </c>
      <c r="Q2" s="63">
        <f>B2-C2</f>
        <v>0</v>
      </c>
      <c r="R2" s="63">
        <f t="shared" ref="R2:AB17" si="0">C2-D2</f>
        <v>0</v>
      </c>
      <c r="S2" s="63">
        <f>D2-E2</f>
        <v>0</v>
      </c>
      <c r="T2" s="63">
        <f t="shared" si="0"/>
        <v>0</v>
      </c>
      <c r="U2" s="63">
        <f t="shared" si="0"/>
        <v>0</v>
      </c>
      <c r="V2" s="63">
        <f t="shared" si="0"/>
        <v>1</v>
      </c>
      <c r="W2" s="63">
        <f t="shared" si="0"/>
        <v>1</v>
      </c>
      <c r="X2" s="63">
        <f t="shared" si="0"/>
        <v>0</v>
      </c>
      <c r="Y2" s="63">
        <f t="shared" si="0"/>
        <v>0</v>
      </c>
      <c r="Z2" s="63">
        <f t="shared" si="0"/>
        <v>0</v>
      </c>
      <c r="AA2" s="63">
        <f t="shared" si="0"/>
        <v>0</v>
      </c>
      <c r="AB2" s="63">
        <f t="shared" si="0"/>
        <v>0</v>
      </c>
      <c r="AC2" s="63"/>
      <c r="AE2" s="65">
        <v>1</v>
      </c>
      <c r="AF2" s="63">
        <f>B3-B2</f>
        <v>0</v>
      </c>
      <c r="AG2" s="63">
        <f t="shared" ref="AG2:AR17" si="1">C3-C2</f>
        <v>0</v>
      </c>
      <c r="AH2" s="63">
        <f t="shared" si="1"/>
        <v>0</v>
      </c>
      <c r="AI2" s="63">
        <f t="shared" si="1"/>
        <v>0</v>
      </c>
      <c r="AJ2" s="63">
        <f t="shared" si="1"/>
        <v>-1</v>
      </c>
      <c r="AK2" s="63">
        <f t="shared" si="1"/>
        <v>-1</v>
      </c>
      <c r="AL2" s="63">
        <f t="shared" si="1"/>
        <v>0</v>
      </c>
      <c r="AM2" s="63">
        <f t="shared" si="1"/>
        <v>1</v>
      </c>
      <c r="AN2" s="63">
        <f t="shared" si="1"/>
        <v>1</v>
      </c>
      <c r="AO2" s="63">
        <f t="shared" si="1"/>
        <v>1</v>
      </c>
      <c r="AP2" s="63">
        <f t="shared" si="1"/>
        <v>1</v>
      </c>
      <c r="AQ2" s="63">
        <f t="shared" si="1"/>
        <v>1</v>
      </c>
      <c r="AR2" s="63">
        <f t="shared" si="1"/>
        <v>0</v>
      </c>
    </row>
    <row r="3" spans="1:44" x14ac:dyDescent="0.3">
      <c r="A3" s="65">
        <v>2</v>
      </c>
      <c r="B3" s="63">
        <f>COUNTIF(handsmth!B$2:B$28,$A3)</f>
        <v>3</v>
      </c>
      <c r="C3" s="63">
        <f>COUNTIF(handsmth!C$2:C$28,$A3)</f>
        <v>3</v>
      </c>
      <c r="D3" s="63">
        <f>COUNTIF(handsmth!D$2:D$28,$A3)</f>
        <v>3</v>
      </c>
      <c r="E3" s="63">
        <f>COUNTIF(handsmth!E$2:E$28,$A3)</f>
        <v>3</v>
      </c>
      <c r="F3" s="63">
        <f>COUNTIF(handsmth!F$2:F$28,$A3)</f>
        <v>2</v>
      </c>
      <c r="G3" s="63">
        <f>COUNTIF(handsmth!G$2:G$28,$A3)</f>
        <v>2</v>
      </c>
      <c r="H3" s="63">
        <f>COUNTIF(handsmth!H$2:H$28,$A3)</f>
        <v>2</v>
      </c>
      <c r="I3" s="63">
        <f>COUNTIF(handsmth!I$2:I$28,$A3)</f>
        <v>2</v>
      </c>
      <c r="J3" s="63">
        <f>COUNTIF(handsmth!J$2:J$28,$A3)</f>
        <v>2</v>
      </c>
      <c r="K3" s="63">
        <f>COUNTIF(handsmth!K$2:K$28,$A3)</f>
        <v>2</v>
      </c>
      <c r="L3" s="63">
        <f>COUNTIF(handsmth!L$2:L$28,$A3)</f>
        <v>2</v>
      </c>
      <c r="M3" s="63">
        <f>COUNTIF(handsmth!M$2:M$28,$A3)</f>
        <v>2</v>
      </c>
      <c r="N3" s="63">
        <f>COUNTIF(handsmth!N$2:N$28,$A3)</f>
        <v>1</v>
      </c>
      <c r="P3" s="65">
        <v>2</v>
      </c>
      <c r="Q3" s="63">
        <f t="shared" ref="Q3:AB20" si="2">B3-C3</f>
        <v>0</v>
      </c>
      <c r="R3" s="63">
        <f t="shared" si="0"/>
        <v>0</v>
      </c>
      <c r="S3" s="63">
        <f t="shared" si="0"/>
        <v>0</v>
      </c>
      <c r="T3" s="63">
        <f t="shared" si="0"/>
        <v>1</v>
      </c>
      <c r="U3" s="63">
        <f t="shared" si="0"/>
        <v>0</v>
      </c>
      <c r="V3" s="63">
        <f t="shared" si="0"/>
        <v>0</v>
      </c>
      <c r="W3" s="63">
        <f t="shared" si="0"/>
        <v>0</v>
      </c>
      <c r="X3" s="63">
        <f t="shared" si="0"/>
        <v>0</v>
      </c>
      <c r="Y3" s="63">
        <f t="shared" si="0"/>
        <v>0</v>
      </c>
      <c r="Z3" s="63">
        <f t="shared" si="0"/>
        <v>0</v>
      </c>
      <c r="AA3" s="63">
        <f t="shared" si="0"/>
        <v>0</v>
      </c>
      <c r="AB3" s="63">
        <f t="shared" si="0"/>
        <v>1</v>
      </c>
      <c r="AC3" s="63"/>
      <c r="AE3" s="65">
        <v>2</v>
      </c>
      <c r="AF3" s="63">
        <f t="shared" ref="AF3:AR19" si="3">B4-B3</f>
        <v>-1</v>
      </c>
      <c r="AG3" s="63">
        <f t="shared" si="1"/>
        <v>-1</v>
      </c>
      <c r="AH3" s="63">
        <f t="shared" si="1"/>
        <v>-1</v>
      </c>
      <c r="AI3" s="63">
        <f t="shared" si="1"/>
        <v>-1</v>
      </c>
      <c r="AJ3" s="63">
        <f t="shared" si="1"/>
        <v>0</v>
      </c>
      <c r="AK3" s="63">
        <f t="shared" si="1"/>
        <v>0</v>
      </c>
      <c r="AL3" s="63">
        <f>H4-H3</f>
        <v>0</v>
      </c>
      <c r="AM3" s="63">
        <f t="shared" si="1"/>
        <v>0</v>
      </c>
      <c r="AN3" s="63">
        <f>J4-J3</f>
        <v>0</v>
      </c>
      <c r="AO3" s="63">
        <f t="shared" si="1"/>
        <v>-1</v>
      </c>
      <c r="AP3" s="63">
        <f t="shared" si="1"/>
        <v>-1</v>
      </c>
      <c r="AQ3" s="63">
        <f t="shared" si="1"/>
        <v>-1</v>
      </c>
      <c r="AR3" s="63">
        <f t="shared" si="1"/>
        <v>0</v>
      </c>
    </row>
    <row r="4" spans="1:44" x14ac:dyDescent="0.3">
      <c r="A4" s="65">
        <v>3</v>
      </c>
      <c r="B4" s="63">
        <f>COUNTIF(handsmth!B$2:B$28,$A4)</f>
        <v>2</v>
      </c>
      <c r="C4" s="63">
        <f>COUNTIF(handsmth!C$2:C$28,$A4)</f>
        <v>2</v>
      </c>
      <c r="D4" s="63">
        <f>COUNTIF(handsmth!D$2:D$28,$A4)</f>
        <v>2</v>
      </c>
      <c r="E4" s="63">
        <f>COUNTIF(handsmth!E$2:E$28,$A4)</f>
        <v>2</v>
      </c>
      <c r="F4" s="63">
        <f>COUNTIF(handsmth!F$2:F$28,$A4)</f>
        <v>2</v>
      </c>
      <c r="G4" s="63">
        <f>COUNTIF(handsmth!G$2:G$28,$A4)</f>
        <v>2</v>
      </c>
      <c r="H4" s="63">
        <f>COUNTIF(handsmth!H$2:H$28,$A4)</f>
        <v>2</v>
      </c>
      <c r="I4" s="63">
        <f>COUNTIF(handsmth!I$2:I$28,$A4)</f>
        <v>2</v>
      </c>
      <c r="J4" s="63">
        <f>COUNTIF(handsmth!J$2:J$28,$A4)</f>
        <v>2</v>
      </c>
      <c r="K4" s="63">
        <f>COUNTIF(handsmth!K$2:K$28,$A4)</f>
        <v>1</v>
      </c>
      <c r="L4" s="63">
        <f>COUNTIF(handsmth!L$2:L$28,$A4)</f>
        <v>1</v>
      </c>
      <c r="M4" s="63">
        <f>COUNTIF(handsmth!M$2:M$28,$A4)</f>
        <v>1</v>
      </c>
      <c r="N4" s="63">
        <f>COUNTIF(handsmth!N$2:N$28,$A4)</f>
        <v>1</v>
      </c>
      <c r="P4" s="65">
        <v>3</v>
      </c>
      <c r="Q4" s="63">
        <f t="shared" si="2"/>
        <v>0</v>
      </c>
      <c r="R4" s="63">
        <f t="shared" si="0"/>
        <v>0</v>
      </c>
      <c r="S4" s="63">
        <f>D4-E4</f>
        <v>0</v>
      </c>
      <c r="T4" s="63">
        <f t="shared" si="0"/>
        <v>0</v>
      </c>
      <c r="U4" s="63">
        <f t="shared" si="0"/>
        <v>0</v>
      </c>
      <c r="V4" s="63">
        <f t="shared" si="0"/>
        <v>0</v>
      </c>
      <c r="W4" s="63">
        <f t="shared" si="0"/>
        <v>0</v>
      </c>
      <c r="X4" s="63">
        <f t="shared" si="0"/>
        <v>0</v>
      </c>
      <c r="Y4" s="63">
        <f t="shared" si="0"/>
        <v>1</v>
      </c>
      <c r="Z4" s="63">
        <f t="shared" si="0"/>
        <v>0</v>
      </c>
      <c r="AA4" s="63">
        <f t="shared" si="0"/>
        <v>0</v>
      </c>
      <c r="AB4" s="63">
        <f t="shared" si="0"/>
        <v>0</v>
      </c>
      <c r="AC4" s="63"/>
      <c r="AE4" s="65">
        <v>3</v>
      </c>
      <c r="AF4" s="63">
        <f t="shared" si="3"/>
        <v>0</v>
      </c>
      <c r="AG4" s="63">
        <f t="shared" si="1"/>
        <v>0</v>
      </c>
      <c r="AH4" s="63">
        <f t="shared" si="1"/>
        <v>0</v>
      </c>
      <c r="AI4" s="63">
        <f t="shared" si="1"/>
        <v>0</v>
      </c>
      <c r="AJ4" s="63">
        <f t="shared" si="1"/>
        <v>0</v>
      </c>
      <c r="AK4" s="63">
        <f t="shared" si="1"/>
        <v>0</v>
      </c>
      <c r="AL4" s="63">
        <f t="shared" si="1"/>
        <v>0</v>
      </c>
      <c r="AM4" s="63">
        <f t="shared" si="1"/>
        <v>0</v>
      </c>
      <c r="AN4" s="63">
        <f t="shared" si="1"/>
        <v>0</v>
      </c>
      <c r="AO4" s="63">
        <f t="shared" si="1"/>
        <v>1</v>
      </c>
      <c r="AP4" s="63">
        <f t="shared" si="1"/>
        <v>1</v>
      </c>
      <c r="AQ4" s="63">
        <f t="shared" si="1"/>
        <v>1</v>
      </c>
      <c r="AR4" s="63">
        <f t="shared" si="1"/>
        <v>1</v>
      </c>
    </row>
    <row r="5" spans="1:44" x14ac:dyDescent="0.3">
      <c r="A5" s="65">
        <v>4</v>
      </c>
      <c r="B5" s="63">
        <f>COUNTIF(handsmth!B$2:B$28,$A5)</f>
        <v>2</v>
      </c>
      <c r="C5" s="63">
        <f>COUNTIF(handsmth!C$2:C$28,$A5)</f>
        <v>2</v>
      </c>
      <c r="D5" s="63">
        <f>COUNTIF(handsmth!D$2:D$28,$A5)</f>
        <v>2</v>
      </c>
      <c r="E5" s="63">
        <f>COUNTIF(handsmth!E$2:E$28,$A5)</f>
        <v>2</v>
      </c>
      <c r="F5" s="63">
        <f>COUNTIF(handsmth!F$2:F$28,$A5)</f>
        <v>2</v>
      </c>
      <c r="G5" s="63">
        <f>COUNTIF(handsmth!G$2:G$28,$A5)</f>
        <v>2</v>
      </c>
      <c r="H5" s="63">
        <f>COUNTIF(handsmth!H$2:H$28,$A5)</f>
        <v>2</v>
      </c>
      <c r="I5" s="63">
        <f>COUNTIF(handsmth!I$2:I$28,$A5)</f>
        <v>2</v>
      </c>
      <c r="J5" s="63">
        <f>COUNTIF(handsmth!J$2:J$28,$A5)</f>
        <v>2</v>
      </c>
      <c r="K5" s="63">
        <f>COUNTIF(handsmth!K$2:K$28,$A5)</f>
        <v>2</v>
      </c>
      <c r="L5" s="63">
        <f>COUNTIF(handsmth!L$2:L$28,$A5)</f>
        <v>2</v>
      </c>
      <c r="M5" s="63">
        <f>COUNTIF(handsmth!M$2:M$28,$A5)</f>
        <v>2</v>
      </c>
      <c r="N5" s="63">
        <f>COUNTIF(handsmth!N$2:N$28,$A5)</f>
        <v>2</v>
      </c>
      <c r="P5" s="65">
        <v>4</v>
      </c>
      <c r="Q5" s="63">
        <f t="shared" si="2"/>
        <v>0</v>
      </c>
      <c r="R5" s="63">
        <f t="shared" si="0"/>
        <v>0</v>
      </c>
      <c r="S5" s="63">
        <f t="shared" si="0"/>
        <v>0</v>
      </c>
      <c r="T5" s="63">
        <f t="shared" si="0"/>
        <v>0</v>
      </c>
      <c r="U5" s="63">
        <f t="shared" si="0"/>
        <v>0</v>
      </c>
      <c r="V5" s="63">
        <f t="shared" si="0"/>
        <v>0</v>
      </c>
      <c r="W5" s="63">
        <f t="shared" si="0"/>
        <v>0</v>
      </c>
      <c r="X5" s="63">
        <f t="shared" si="0"/>
        <v>0</v>
      </c>
      <c r="Y5" s="63">
        <f t="shared" si="0"/>
        <v>0</v>
      </c>
      <c r="Z5" s="63">
        <f t="shared" si="0"/>
        <v>0</v>
      </c>
      <c r="AA5" s="63">
        <f t="shared" si="0"/>
        <v>0</v>
      </c>
      <c r="AB5" s="63">
        <f t="shared" si="0"/>
        <v>0</v>
      </c>
      <c r="AC5" s="63"/>
      <c r="AE5" s="65">
        <v>4</v>
      </c>
      <c r="AF5" s="63">
        <f t="shared" si="3"/>
        <v>0</v>
      </c>
      <c r="AG5" s="63">
        <f t="shared" si="1"/>
        <v>0</v>
      </c>
      <c r="AH5" s="63">
        <f t="shared" si="1"/>
        <v>0</v>
      </c>
      <c r="AI5" s="63">
        <f t="shared" si="1"/>
        <v>-1</v>
      </c>
      <c r="AJ5" s="63">
        <f t="shared" si="1"/>
        <v>0</v>
      </c>
      <c r="AK5" s="63">
        <f t="shared" si="1"/>
        <v>-1</v>
      </c>
      <c r="AL5" s="63">
        <f t="shared" si="1"/>
        <v>0</v>
      </c>
      <c r="AM5" s="63">
        <f t="shared" si="1"/>
        <v>0</v>
      </c>
      <c r="AN5" s="63">
        <f t="shared" si="1"/>
        <v>-1</v>
      </c>
      <c r="AO5" s="63">
        <f t="shared" si="1"/>
        <v>0</v>
      </c>
      <c r="AP5" s="63">
        <f t="shared" si="1"/>
        <v>-1</v>
      </c>
      <c r="AQ5" s="63">
        <f t="shared" si="1"/>
        <v>-1</v>
      </c>
      <c r="AR5" s="63">
        <f t="shared" si="1"/>
        <v>-1</v>
      </c>
    </row>
    <row r="6" spans="1:44" x14ac:dyDescent="0.3">
      <c r="A6" s="65">
        <v>5</v>
      </c>
      <c r="B6" s="63">
        <f>COUNTIF(handsmth!B$2:B$28,$A6)</f>
        <v>2</v>
      </c>
      <c r="C6" s="63">
        <f>COUNTIF(handsmth!C$2:C$28,$A6)</f>
        <v>2</v>
      </c>
      <c r="D6" s="63">
        <f>COUNTIF(handsmth!D$2:D$28,$A6)</f>
        <v>2</v>
      </c>
      <c r="E6" s="63">
        <f>COUNTIF(handsmth!E$2:E$28,$A6)</f>
        <v>1</v>
      </c>
      <c r="F6" s="63">
        <f>COUNTIF(handsmth!F$2:F$28,$A6)</f>
        <v>2</v>
      </c>
      <c r="G6" s="63">
        <f>COUNTIF(handsmth!G$2:G$28,$A6)</f>
        <v>1</v>
      </c>
      <c r="H6" s="63">
        <f>COUNTIF(handsmth!H$2:H$28,$A6)</f>
        <v>2</v>
      </c>
      <c r="I6" s="63">
        <f>COUNTIF(handsmth!I$2:I$28,$A6)</f>
        <v>2</v>
      </c>
      <c r="J6" s="63">
        <f>COUNTIF(handsmth!J$2:J$28,$A6)</f>
        <v>1</v>
      </c>
      <c r="K6" s="63">
        <f>COUNTIF(handsmth!K$2:K$28,$A6)</f>
        <v>2</v>
      </c>
      <c r="L6" s="63">
        <f>COUNTIF(handsmth!L$2:L$28,$A6)</f>
        <v>1</v>
      </c>
      <c r="M6" s="63">
        <f>COUNTIF(handsmth!M$2:M$28,$A6)</f>
        <v>1</v>
      </c>
      <c r="N6" s="63">
        <f>COUNTIF(handsmth!N$2:N$28,$A6)</f>
        <v>1</v>
      </c>
      <c r="P6" s="65">
        <v>5</v>
      </c>
      <c r="Q6" s="63">
        <f t="shared" si="2"/>
        <v>0</v>
      </c>
      <c r="R6" s="63">
        <f t="shared" si="0"/>
        <v>0</v>
      </c>
      <c r="S6" s="63">
        <f t="shared" si="0"/>
        <v>1</v>
      </c>
      <c r="T6" s="63">
        <f t="shared" si="0"/>
        <v>-1</v>
      </c>
      <c r="U6" s="63">
        <f t="shared" si="0"/>
        <v>1</v>
      </c>
      <c r="V6" s="63">
        <f t="shared" si="0"/>
        <v>-1</v>
      </c>
      <c r="W6" s="63">
        <f t="shared" si="0"/>
        <v>0</v>
      </c>
      <c r="X6" s="63">
        <f t="shared" si="0"/>
        <v>1</v>
      </c>
      <c r="Y6" s="63">
        <f t="shared" si="0"/>
        <v>-1</v>
      </c>
      <c r="Z6" s="63">
        <f t="shared" si="0"/>
        <v>1</v>
      </c>
      <c r="AA6" s="63">
        <f t="shared" si="0"/>
        <v>0</v>
      </c>
      <c r="AB6" s="63">
        <f t="shared" si="0"/>
        <v>0</v>
      </c>
      <c r="AC6" s="63"/>
      <c r="AE6" s="65">
        <v>5</v>
      </c>
      <c r="AF6" s="63">
        <f t="shared" si="3"/>
        <v>-1</v>
      </c>
      <c r="AG6" s="63">
        <f t="shared" si="1"/>
        <v>-1</v>
      </c>
      <c r="AH6" s="63">
        <f t="shared" si="1"/>
        <v>-1</v>
      </c>
      <c r="AI6" s="63">
        <f t="shared" si="1"/>
        <v>1</v>
      </c>
      <c r="AJ6" s="63">
        <f t="shared" si="1"/>
        <v>-1</v>
      </c>
      <c r="AK6" s="63">
        <f t="shared" si="1"/>
        <v>0</v>
      </c>
      <c r="AL6" s="63">
        <f t="shared" si="1"/>
        <v>-1</v>
      </c>
      <c r="AM6" s="63">
        <f t="shared" si="1"/>
        <v>-1</v>
      </c>
      <c r="AN6" s="63">
        <f t="shared" si="1"/>
        <v>0</v>
      </c>
      <c r="AO6" s="63">
        <f t="shared" si="1"/>
        <v>-1</v>
      </c>
      <c r="AP6" s="63">
        <f t="shared" si="1"/>
        <v>0</v>
      </c>
      <c r="AQ6" s="63">
        <f t="shared" si="1"/>
        <v>0</v>
      </c>
      <c r="AR6" s="63">
        <f t="shared" si="1"/>
        <v>0</v>
      </c>
    </row>
    <row r="7" spans="1:44" x14ac:dyDescent="0.3">
      <c r="A7" s="65">
        <v>6</v>
      </c>
      <c r="B7" s="63">
        <f>COUNTIF(handsmth!B$2:B$28,$A7)</f>
        <v>1</v>
      </c>
      <c r="C7" s="63">
        <f>COUNTIF(handsmth!C$2:C$28,$A7)</f>
        <v>1</v>
      </c>
      <c r="D7" s="63">
        <f>COUNTIF(handsmth!D$2:D$28,$A7)</f>
        <v>1</v>
      </c>
      <c r="E7" s="63">
        <f>COUNTIF(handsmth!E$2:E$28,$A7)</f>
        <v>2</v>
      </c>
      <c r="F7" s="63">
        <f>COUNTIF(handsmth!F$2:F$28,$A7)</f>
        <v>1</v>
      </c>
      <c r="G7" s="63">
        <f>COUNTIF(handsmth!G$2:G$28,$A7)</f>
        <v>1</v>
      </c>
      <c r="H7" s="63">
        <f>COUNTIF(handsmth!H$2:H$28,$A7)</f>
        <v>1</v>
      </c>
      <c r="I7" s="63">
        <f>COUNTIF(handsmth!I$2:I$28,$A7)</f>
        <v>1</v>
      </c>
      <c r="J7" s="63">
        <f>COUNTIF(handsmth!J$2:J$28,$A7)</f>
        <v>1</v>
      </c>
      <c r="K7" s="63">
        <f>COUNTIF(handsmth!K$2:K$28,$A7)</f>
        <v>1</v>
      </c>
      <c r="L7" s="63">
        <f>COUNTIF(handsmth!L$2:L$28,$A7)</f>
        <v>1</v>
      </c>
      <c r="M7" s="63">
        <f>COUNTIF(handsmth!M$2:M$28,$A7)</f>
        <v>1</v>
      </c>
      <c r="N7" s="63">
        <f>COUNTIF(handsmth!N$2:N$28,$A7)</f>
        <v>1</v>
      </c>
      <c r="P7" s="65">
        <v>6</v>
      </c>
      <c r="Q7" s="63">
        <f t="shared" si="2"/>
        <v>0</v>
      </c>
      <c r="R7" s="63">
        <f t="shared" si="0"/>
        <v>0</v>
      </c>
      <c r="S7" s="63">
        <f t="shared" si="0"/>
        <v>-1</v>
      </c>
      <c r="T7" s="63">
        <f t="shared" si="0"/>
        <v>1</v>
      </c>
      <c r="U7" s="63">
        <f t="shared" si="0"/>
        <v>0</v>
      </c>
      <c r="V7" s="63">
        <f t="shared" si="0"/>
        <v>0</v>
      </c>
      <c r="W7" s="63">
        <f t="shared" si="0"/>
        <v>0</v>
      </c>
      <c r="X7" s="63">
        <f t="shared" si="0"/>
        <v>0</v>
      </c>
      <c r="Y7" s="63">
        <f t="shared" si="0"/>
        <v>0</v>
      </c>
      <c r="Z7" s="63">
        <f t="shared" si="0"/>
        <v>0</v>
      </c>
      <c r="AA7" s="63">
        <f t="shared" si="0"/>
        <v>0</v>
      </c>
      <c r="AB7" s="63">
        <f t="shared" si="0"/>
        <v>0</v>
      </c>
      <c r="AC7" s="63"/>
      <c r="AE7" s="65">
        <v>6</v>
      </c>
      <c r="AF7" s="63">
        <f t="shared" si="3"/>
        <v>1</v>
      </c>
      <c r="AG7" s="63">
        <f t="shared" si="1"/>
        <v>1</v>
      </c>
      <c r="AH7" s="63">
        <f t="shared" si="1"/>
        <v>1</v>
      </c>
      <c r="AI7" s="63">
        <f t="shared" si="1"/>
        <v>0</v>
      </c>
      <c r="AJ7" s="63">
        <f t="shared" si="1"/>
        <v>1</v>
      </c>
      <c r="AK7" s="63">
        <f t="shared" si="1"/>
        <v>1</v>
      </c>
      <c r="AL7" s="63">
        <f t="shared" si="1"/>
        <v>1</v>
      </c>
      <c r="AM7" s="63">
        <f t="shared" si="1"/>
        <v>1</v>
      </c>
      <c r="AN7" s="63">
        <f t="shared" si="1"/>
        <v>1</v>
      </c>
      <c r="AO7" s="63">
        <f>K8-K7</f>
        <v>0</v>
      </c>
      <c r="AP7" s="63">
        <f t="shared" si="1"/>
        <v>1</v>
      </c>
      <c r="AQ7" s="63">
        <f t="shared" si="1"/>
        <v>0</v>
      </c>
      <c r="AR7" s="63">
        <f t="shared" si="1"/>
        <v>0</v>
      </c>
    </row>
    <row r="8" spans="1:44" x14ac:dyDescent="0.3">
      <c r="A8" s="65">
        <v>7</v>
      </c>
      <c r="B8" s="63">
        <f>COUNTIF(handsmth!B$2:B$28,$A8)</f>
        <v>2</v>
      </c>
      <c r="C8" s="63">
        <f>COUNTIF(handsmth!C$2:C$28,$A8)</f>
        <v>2</v>
      </c>
      <c r="D8" s="63">
        <f>COUNTIF(handsmth!D$2:D$28,$A8)</f>
        <v>2</v>
      </c>
      <c r="E8" s="63">
        <f>COUNTIF(handsmth!E$2:E$28,$A8)</f>
        <v>2</v>
      </c>
      <c r="F8" s="63">
        <f>COUNTIF(handsmth!F$2:F$28,$A8)</f>
        <v>2</v>
      </c>
      <c r="G8" s="63">
        <f>COUNTIF(handsmth!G$2:G$28,$A8)</f>
        <v>2</v>
      </c>
      <c r="H8" s="63">
        <f>COUNTIF(handsmth!H$2:H$28,$A8)</f>
        <v>2</v>
      </c>
      <c r="I8" s="63">
        <f>COUNTIF(handsmth!I$2:I$28,$A8)</f>
        <v>2</v>
      </c>
      <c r="J8" s="63">
        <f>COUNTIF(handsmth!J$2:J$28,$A8)</f>
        <v>2</v>
      </c>
      <c r="K8" s="63">
        <f>COUNTIF(handsmth!K$2:K$28,$A8)</f>
        <v>1</v>
      </c>
      <c r="L8" s="63">
        <f>COUNTIF(handsmth!L$2:L$28,$A8)</f>
        <v>2</v>
      </c>
      <c r="M8" s="63">
        <f>COUNTIF(handsmth!M$2:M$28,$A8)</f>
        <v>1</v>
      </c>
      <c r="N8" s="63">
        <f>COUNTIF(handsmth!N$2:N$28,$A8)</f>
        <v>1</v>
      </c>
      <c r="P8" s="65">
        <v>7</v>
      </c>
      <c r="Q8" s="63">
        <f t="shared" si="2"/>
        <v>0</v>
      </c>
      <c r="R8" s="63">
        <f t="shared" si="0"/>
        <v>0</v>
      </c>
      <c r="S8" s="63">
        <f t="shared" si="0"/>
        <v>0</v>
      </c>
      <c r="T8" s="63">
        <f t="shared" si="0"/>
        <v>0</v>
      </c>
      <c r="U8" s="63">
        <f t="shared" si="0"/>
        <v>0</v>
      </c>
      <c r="V8" s="63">
        <f t="shared" si="0"/>
        <v>0</v>
      </c>
      <c r="W8" s="63">
        <f t="shared" si="0"/>
        <v>0</v>
      </c>
      <c r="X8" s="63">
        <f t="shared" si="0"/>
        <v>0</v>
      </c>
      <c r="Y8" s="63">
        <f t="shared" si="0"/>
        <v>1</v>
      </c>
      <c r="Z8" s="63">
        <f t="shared" si="0"/>
        <v>-1</v>
      </c>
      <c r="AA8" s="63">
        <f t="shared" si="0"/>
        <v>1</v>
      </c>
      <c r="AB8" s="63">
        <f t="shared" si="0"/>
        <v>0</v>
      </c>
      <c r="AC8" s="63"/>
      <c r="AE8" s="65">
        <v>7</v>
      </c>
      <c r="AF8" s="63">
        <f t="shared" si="3"/>
        <v>-1</v>
      </c>
      <c r="AG8" s="63">
        <f t="shared" si="1"/>
        <v>-1</v>
      </c>
      <c r="AH8" s="63">
        <f t="shared" si="1"/>
        <v>-1</v>
      </c>
      <c r="AI8" s="63">
        <f t="shared" si="1"/>
        <v>-1</v>
      </c>
      <c r="AJ8" s="63">
        <f t="shared" si="1"/>
        <v>0</v>
      </c>
      <c r="AK8" s="63">
        <f t="shared" si="1"/>
        <v>0</v>
      </c>
      <c r="AL8" s="63">
        <f t="shared" si="1"/>
        <v>-1</v>
      </c>
      <c r="AM8" s="63">
        <f t="shared" si="1"/>
        <v>-1</v>
      </c>
      <c r="AN8" s="63">
        <f t="shared" si="1"/>
        <v>0</v>
      </c>
      <c r="AO8" s="63">
        <f t="shared" si="1"/>
        <v>1</v>
      </c>
      <c r="AP8" s="63">
        <f t="shared" si="1"/>
        <v>-1</v>
      </c>
      <c r="AQ8" s="63">
        <f t="shared" si="1"/>
        <v>0</v>
      </c>
      <c r="AR8" s="63">
        <f t="shared" si="1"/>
        <v>0</v>
      </c>
    </row>
    <row r="9" spans="1:44" x14ac:dyDescent="0.3">
      <c r="A9" s="65">
        <v>8</v>
      </c>
      <c r="B9" s="63">
        <f>COUNTIF(handsmth!B$2:B$28,$A9)</f>
        <v>1</v>
      </c>
      <c r="C9" s="63">
        <f>COUNTIF(handsmth!C$2:C$28,$A9)</f>
        <v>1</v>
      </c>
      <c r="D9" s="63">
        <f>COUNTIF(handsmth!D$2:D$28,$A9)</f>
        <v>1</v>
      </c>
      <c r="E9" s="63">
        <f>COUNTIF(handsmth!E$2:E$28,$A9)</f>
        <v>1</v>
      </c>
      <c r="F9" s="63">
        <f>COUNTIF(handsmth!F$2:F$28,$A9)</f>
        <v>2</v>
      </c>
      <c r="G9" s="63">
        <f>COUNTIF(handsmth!G$2:G$28,$A9)</f>
        <v>2</v>
      </c>
      <c r="H9" s="63">
        <f>COUNTIF(handsmth!H$2:H$28,$A9)</f>
        <v>1</v>
      </c>
      <c r="I9" s="63">
        <f>COUNTIF(handsmth!I$2:I$28,$A9)</f>
        <v>1</v>
      </c>
      <c r="J9" s="63">
        <f>COUNTIF(handsmth!J$2:J$28,$A9)</f>
        <v>2</v>
      </c>
      <c r="K9" s="63">
        <f>COUNTIF(handsmth!K$2:K$28,$A9)</f>
        <v>2</v>
      </c>
      <c r="L9" s="63">
        <f>COUNTIF(handsmth!L$2:L$28,$A9)</f>
        <v>1</v>
      </c>
      <c r="M9" s="63">
        <f>COUNTIF(handsmth!M$2:M$28,$A9)</f>
        <v>1</v>
      </c>
      <c r="N9" s="63">
        <f>COUNTIF(handsmth!N$2:N$28,$A9)</f>
        <v>1</v>
      </c>
      <c r="P9" s="65">
        <v>8</v>
      </c>
      <c r="Q9" s="63">
        <f t="shared" si="2"/>
        <v>0</v>
      </c>
      <c r="R9" s="63">
        <f t="shared" si="0"/>
        <v>0</v>
      </c>
      <c r="S9" s="63">
        <f t="shared" si="0"/>
        <v>0</v>
      </c>
      <c r="T9" s="63">
        <f t="shared" si="0"/>
        <v>-1</v>
      </c>
      <c r="U9" s="63">
        <f t="shared" si="0"/>
        <v>0</v>
      </c>
      <c r="V9" s="63">
        <f t="shared" si="0"/>
        <v>1</v>
      </c>
      <c r="W9" s="63">
        <f t="shared" si="0"/>
        <v>0</v>
      </c>
      <c r="X9" s="63">
        <f t="shared" si="0"/>
        <v>-1</v>
      </c>
      <c r="Y9" s="63">
        <f t="shared" si="0"/>
        <v>0</v>
      </c>
      <c r="Z9" s="63">
        <f t="shared" si="0"/>
        <v>1</v>
      </c>
      <c r="AA9" s="63">
        <f t="shared" si="0"/>
        <v>0</v>
      </c>
      <c r="AB9" s="63">
        <f t="shared" si="0"/>
        <v>0</v>
      </c>
      <c r="AC9" s="63"/>
      <c r="AE9" s="65">
        <v>8</v>
      </c>
      <c r="AF9" s="63">
        <f t="shared" si="3"/>
        <v>0</v>
      </c>
      <c r="AG9" s="63">
        <f t="shared" si="1"/>
        <v>0</v>
      </c>
      <c r="AH9" s="63">
        <f t="shared" si="1"/>
        <v>0</v>
      </c>
      <c r="AI9" s="63">
        <f t="shared" si="1"/>
        <v>0</v>
      </c>
      <c r="AJ9" s="63">
        <f t="shared" si="1"/>
        <v>-1</v>
      </c>
      <c r="AK9" s="63">
        <f t="shared" si="1"/>
        <v>-1</v>
      </c>
      <c r="AL9" s="63">
        <f t="shared" si="1"/>
        <v>1</v>
      </c>
      <c r="AM9" s="63">
        <f t="shared" si="1"/>
        <v>1</v>
      </c>
      <c r="AN9" s="63">
        <f t="shared" si="1"/>
        <v>-1</v>
      </c>
      <c r="AO9" s="63">
        <f t="shared" si="1"/>
        <v>-1</v>
      </c>
      <c r="AP9" s="63">
        <f t="shared" si="1"/>
        <v>0</v>
      </c>
      <c r="AQ9" s="63">
        <f t="shared" si="1"/>
        <v>0</v>
      </c>
      <c r="AR9" s="63">
        <f t="shared" si="1"/>
        <v>0</v>
      </c>
    </row>
    <row r="10" spans="1:44" x14ac:dyDescent="0.3">
      <c r="A10" s="65">
        <v>9</v>
      </c>
      <c r="B10" s="63">
        <f>COUNTIF(handsmth!B$2:B$28,$A10)</f>
        <v>1</v>
      </c>
      <c r="C10" s="63">
        <f>COUNTIF(handsmth!C$2:C$28,$A10)</f>
        <v>1</v>
      </c>
      <c r="D10" s="63">
        <f>COUNTIF(handsmth!D$2:D$28,$A10)</f>
        <v>1</v>
      </c>
      <c r="E10" s="63">
        <f>COUNTIF(handsmth!E$2:E$28,$A10)</f>
        <v>1</v>
      </c>
      <c r="F10" s="63">
        <f>COUNTIF(handsmth!F$2:F$28,$A10)</f>
        <v>1</v>
      </c>
      <c r="G10" s="63">
        <f>COUNTIF(handsmth!G$2:G$28,$A10)</f>
        <v>1</v>
      </c>
      <c r="H10" s="63">
        <f>COUNTIF(handsmth!H$2:H$28,$A10)</f>
        <v>2</v>
      </c>
      <c r="I10" s="63">
        <f>COUNTIF(handsmth!I$2:I$28,$A10)</f>
        <v>2</v>
      </c>
      <c r="J10" s="63">
        <f>COUNTIF(handsmth!J$2:J$28,$A10)</f>
        <v>1</v>
      </c>
      <c r="K10" s="63">
        <f>COUNTIF(handsmth!K$2:K$28,$A10)</f>
        <v>1</v>
      </c>
      <c r="L10" s="63">
        <f>COUNTIF(handsmth!L$2:L$28,$A10)</f>
        <v>1</v>
      </c>
      <c r="M10" s="63">
        <f>COUNTIF(handsmth!M$2:M$28,$A10)</f>
        <v>1</v>
      </c>
      <c r="N10" s="63">
        <f>COUNTIF(handsmth!N$2:N$28,$A10)</f>
        <v>1</v>
      </c>
      <c r="P10" s="65">
        <v>9</v>
      </c>
      <c r="Q10" s="63">
        <f t="shared" si="2"/>
        <v>0</v>
      </c>
      <c r="R10" s="63">
        <f t="shared" si="0"/>
        <v>0</v>
      </c>
      <c r="S10" s="63">
        <f t="shared" si="0"/>
        <v>0</v>
      </c>
      <c r="T10" s="63">
        <f t="shared" si="0"/>
        <v>0</v>
      </c>
      <c r="U10" s="63">
        <f t="shared" si="0"/>
        <v>0</v>
      </c>
      <c r="V10" s="63">
        <f t="shared" si="0"/>
        <v>-1</v>
      </c>
      <c r="W10" s="63">
        <f>H10-I10</f>
        <v>0</v>
      </c>
      <c r="X10" s="63">
        <f t="shared" si="0"/>
        <v>1</v>
      </c>
      <c r="Y10" s="63">
        <f t="shared" si="0"/>
        <v>0</v>
      </c>
      <c r="Z10" s="63">
        <f t="shared" si="0"/>
        <v>0</v>
      </c>
      <c r="AA10" s="63">
        <f t="shared" si="0"/>
        <v>0</v>
      </c>
      <c r="AB10" s="63">
        <f t="shared" si="0"/>
        <v>0</v>
      </c>
      <c r="AC10" s="63"/>
      <c r="AE10" s="65">
        <v>9</v>
      </c>
      <c r="AF10" s="63">
        <f t="shared" si="3"/>
        <v>1</v>
      </c>
      <c r="AG10" s="63">
        <f t="shared" si="1"/>
        <v>1</v>
      </c>
      <c r="AH10" s="63">
        <f t="shared" si="1"/>
        <v>1</v>
      </c>
      <c r="AI10" s="63">
        <f t="shared" si="1"/>
        <v>1</v>
      </c>
      <c r="AJ10" s="63">
        <f t="shared" si="1"/>
        <v>1</v>
      </c>
      <c r="AK10" s="63">
        <f t="shared" si="1"/>
        <v>1</v>
      </c>
      <c r="AL10" s="63">
        <f>H11-H10</f>
        <v>-1</v>
      </c>
      <c r="AM10" s="63">
        <f t="shared" si="1"/>
        <v>-1</v>
      </c>
      <c r="AN10" s="63">
        <f t="shared" si="1"/>
        <v>1</v>
      </c>
      <c r="AO10" s="63">
        <f t="shared" si="1"/>
        <v>1</v>
      </c>
      <c r="AP10" s="63">
        <f t="shared" si="1"/>
        <v>1</v>
      </c>
      <c r="AQ10" s="63">
        <f t="shared" si="1"/>
        <v>1</v>
      </c>
      <c r="AR10" s="63">
        <f t="shared" si="1"/>
        <v>1</v>
      </c>
    </row>
    <row r="11" spans="1:44" x14ac:dyDescent="0.3">
      <c r="A11" s="65">
        <v>10</v>
      </c>
      <c r="B11" s="63">
        <f>COUNTIF(handsmth!B$2:B$28,$A11)</f>
        <v>2</v>
      </c>
      <c r="C11" s="63">
        <f>COUNTIF(handsmth!C$2:C$28,$A11)</f>
        <v>2</v>
      </c>
      <c r="D11" s="63">
        <f>COUNTIF(handsmth!D$2:D$28,$A11)</f>
        <v>2</v>
      </c>
      <c r="E11" s="63">
        <f>COUNTIF(handsmth!E$2:E$28,$A11)</f>
        <v>2</v>
      </c>
      <c r="F11" s="63">
        <f>COUNTIF(handsmth!F$2:F$28,$A11)</f>
        <v>2</v>
      </c>
      <c r="G11" s="63">
        <f>COUNTIF(handsmth!G$2:G$28,$A11)</f>
        <v>2</v>
      </c>
      <c r="H11" s="63">
        <f>COUNTIF(handsmth!H$2:H$28,$A11)</f>
        <v>1</v>
      </c>
      <c r="I11" s="63">
        <f>COUNTIF(handsmth!I$2:I$28,$A11)</f>
        <v>1</v>
      </c>
      <c r="J11" s="63">
        <f>COUNTIF(handsmth!J$2:J$28,$A11)</f>
        <v>2</v>
      </c>
      <c r="K11" s="63">
        <f>COUNTIF(handsmth!K$2:K$28,$A11)</f>
        <v>2</v>
      </c>
      <c r="L11" s="63">
        <f>COUNTIF(handsmth!L$2:L$28,$A11)</f>
        <v>2</v>
      </c>
      <c r="M11" s="63">
        <f>COUNTIF(handsmth!M$2:M$28,$A11)</f>
        <v>2</v>
      </c>
      <c r="N11" s="63">
        <f>COUNTIF(handsmth!N$2:N$28,$A11)</f>
        <v>2</v>
      </c>
      <c r="P11" s="65">
        <v>10</v>
      </c>
      <c r="Q11" s="63">
        <f t="shared" si="2"/>
        <v>0</v>
      </c>
      <c r="R11" s="63">
        <f t="shared" si="0"/>
        <v>0</v>
      </c>
      <c r="S11" s="63">
        <f t="shared" si="0"/>
        <v>0</v>
      </c>
      <c r="T11" s="63">
        <f t="shared" si="0"/>
        <v>0</v>
      </c>
      <c r="U11" s="63">
        <f t="shared" si="0"/>
        <v>0</v>
      </c>
      <c r="V11" s="63">
        <f t="shared" si="0"/>
        <v>1</v>
      </c>
      <c r="W11" s="63">
        <f t="shared" si="0"/>
        <v>0</v>
      </c>
      <c r="X11" s="63">
        <f t="shared" si="0"/>
        <v>-1</v>
      </c>
      <c r="Y11" s="63">
        <f t="shared" si="0"/>
        <v>0</v>
      </c>
      <c r="Z11" s="63">
        <f t="shared" si="0"/>
        <v>0</v>
      </c>
      <c r="AA11" s="63">
        <f t="shared" si="0"/>
        <v>0</v>
      </c>
      <c r="AB11" s="63">
        <f t="shared" si="0"/>
        <v>0</v>
      </c>
      <c r="AC11" s="63"/>
      <c r="AE11" s="65">
        <v>10</v>
      </c>
      <c r="AF11" s="63">
        <f t="shared" si="3"/>
        <v>-1</v>
      </c>
      <c r="AG11" s="63">
        <f t="shared" si="1"/>
        <v>-1</v>
      </c>
      <c r="AH11" s="63">
        <f t="shared" si="1"/>
        <v>-1</v>
      </c>
      <c r="AI11" s="63">
        <f t="shared" si="1"/>
        <v>-1</v>
      </c>
      <c r="AJ11" s="63">
        <f t="shared" si="1"/>
        <v>-1</v>
      </c>
      <c r="AK11" s="63">
        <f t="shared" si="1"/>
        <v>-1</v>
      </c>
      <c r="AL11" s="63">
        <f t="shared" si="1"/>
        <v>0</v>
      </c>
      <c r="AM11" s="63">
        <f t="shared" si="1"/>
        <v>0</v>
      </c>
      <c r="AN11" s="63">
        <f t="shared" si="1"/>
        <v>-1</v>
      </c>
      <c r="AO11" s="63">
        <f t="shared" si="1"/>
        <v>-1</v>
      </c>
      <c r="AP11" s="63">
        <f t="shared" si="1"/>
        <v>-1</v>
      </c>
      <c r="AQ11" s="63">
        <f t="shared" si="1"/>
        <v>-1</v>
      </c>
      <c r="AR11" s="63">
        <f t="shared" si="1"/>
        <v>-1</v>
      </c>
    </row>
    <row r="12" spans="1:44" x14ac:dyDescent="0.3">
      <c r="A12" s="65">
        <v>11</v>
      </c>
      <c r="B12" s="63">
        <f>COUNTIF(handsmth!B$2:B$28,$A12)</f>
        <v>1</v>
      </c>
      <c r="C12" s="63">
        <f>COUNTIF(handsmth!C$2:C$28,$A12)</f>
        <v>1</v>
      </c>
      <c r="D12" s="63">
        <f>COUNTIF(handsmth!D$2:D$28,$A12)</f>
        <v>1</v>
      </c>
      <c r="E12" s="63">
        <f>COUNTIF(handsmth!E$2:E$28,$A12)</f>
        <v>1</v>
      </c>
      <c r="F12" s="63">
        <f>COUNTIF(handsmth!F$2:F$28,$A12)</f>
        <v>1</v>
      </c>
      <c r="G12" s="63">
        <f>COUNTIF(handsmth!G$2:G$28,$A12)</f>
        <v>1</v>
      </c>
      <c r="H12" s="63">
        <f>COUNTIF(handsmth!H$2:H$28,$A12)</f>
        <v>1</v>
      </c>
      <c r="I12" s="63">
        <f>COUNTIF(handsmth!I$2:I$28,$A12)</f>
        <v>1</v>
      </c>
      <c r="J12" s="63">
        <f>COUNTIF(handsmth!J$2:J$28,$A12)</f>
        <v>1</v>
      </c>
      <c r="K12" s="63">
        <f>COUNTIF(handsmth!K$2:K$28,$A12)</f>
        <v>1</v>
      </c>
      <c r="L12" s="63">
        <f>COUNTIF(handsmth!L$2:L$28,$A12)</f>
        <v>1</v>
      </c>
      <c r="M12" s="63">
        <f>COUNTIF(handsmth!M$2:M$28,$A12)</f>
        <v>1</v>
      </c>
      <c r="N12" s="63">
        <f>COUNTIF(handsmth!N$2:N$28,$A12)</f>
        <v>1</v>
      </c>
      <c r="P12" s="65">
        <v>11</v>
      </c>
      <c r="Q12" s="63">
        <f t="shared" si="2"/>
        <v>0</v>
      </c>
      <c r="R12" s="63">
        <f t="shared" si="0"/>
        <v>0</v>
      </c>
      <c r="S12" s="63">
        <f t="shared" si="0"/>
        <v>0</v>
      </c>
      <c r="T12" s="63">
        <f t="shared" si="0"/>
        <v>0</v>
      </c>
      <c r="U12" s="63">
        <f t="shared" si="0"/>
        <v>0</v>
      </c>
      <c r="V12" s="63">
        <f t="shared" si="0"/>
        <v>0</v>
      </c>
      <c r="W12" s="63">
        <f>H12-I12</f>
        <v>0</v>
      </c>
      <c r="X12" s="63">
        <f t="shared" si="0"/>
        <v>0</v>
      </c>
      <c r="Y12" s="63">
        <f t="shared" si="0"/>
        <v>0</v>
      </c>
      <c r="Z12" s="63">
        <f t="shared" si="0"/>
        <v>0</v>
      </c>
      <c r="AA12" s="63">
        <f t="shared" si="0"/>
        <v>0</v>
      </c>
      <c r="AB12" s="63">
        <f t="shared" si="0"/>
        <v>0</v>
      </c>
      <c r="AC12" s="63"/>
      <c r="AE12" s="65">
        <v>11</v>
      </c>
      <c r="AF12" s="63">
        <f t="shared" si="3"/>
        <v>0</v>
      </c>
      <c r="AG12" s="63">
        <f t="shared" si="1"/>
        <v>0</v>
      </c>
      <c r="AH12" s="63">
        <f t="shared" si="1"/>
        <v>0</v>
      </c>
      <c r="AI12" s="63">
        <f t="shared" si="1"/>
        <v>0</v>
      </c>
      <c r="AJ12" s="63">
        <f t="shared" si="1"/>
        <v>0</v>
      </c>
      <c r="AK12" s="63">
        <f t="shared" si="1"/>
        <v>0</v>
      </c>
      <c r="AL12" s="63">
        <f t="shared" si="1"/>
        <v>0</v>
      </c>
      <c r="AM12" s="63">
        <f t="shared" si="1"/>
        <v>0</v>
      </c>
      <c r="AN12" s="63">
        <f t="shared" si="1"/>
        <v>0</v>
      </c>
      <c r="AO12" s="63">
        <f t="shared" si="1"/>
        <v>0</v>
      </c>
      <c r="AP12" s="63">
        <f t="shared" si="1"/>
        <v>1</v>
      </c>
      <c r="AQ12" s="63">
        <f t="shared" si="1"/>
        <v>0</v>
      </c>
      <c r="AR12" s="63">
        <f t="shared" si="1"/>
        <v>0</v>
      </c>
    </row>
    <row r="13" spans="1:44" x14ac:dyDescent="0.3">
      <c r="A13" s="65">
        <v>12</v>
      </c>
      <c r="B13" s="63">
        <f>COUNTIF(handsmth!B$2:B$28,$A13)</f>
        <v>1</v>
      </c>
      <c r="C13" s="63">
        <f>COUNTIF(handsmth!C$2:C$28,$A13)</f>
        <v>1</v>
      </c>
      <c r="D13" s="63">
        <f>COUNTIF(handsmth!D$2:D$28,$A13)</f>
        <v>1</v>
      </c>
      <c r="E13" s="63">
        <f>COUNTIF(handsmth!E$2:E$28,$A13)</f>
        <v>1</v>
      </c>
      <c r="F13" s="63">
        <f>COUNTIF(handsmth!F$2:F$28,$A13)</f>
        <v>1</v>
      </c>
      <c r="G13" s="63">
        <f>COUNTIF(handsmth!G$2:G$28,$A13)</f>
        <v>1</v>
      </c>
      <c r="H13" s="63">
        <f>COUNTIF(handsmth!H$2:H$28,$A13)</f>
        <v>1</v>
      </c>
      <c r="I13" s="63">
        <f>COUNTIF(handsmth!I$2:I$28,$A13)</f>
        <v>1</v>
      </c>
      <c r="J13" s="63">
        <f>COUNTIF(handsmth!J$2:J$28,$A13)</f>
        <v>1</v>
      </c>
      <c r="K13" s="63">
        <f>COUNTIF(handsmth!K$2:K$28,$A13)</f>
        <v>1</v>
      </c>
      <c r="L13" s="63">
        <f>COUNTIF(handsmth!L$2:L$28,$A13)</f>
        <v>2</v>
      </c>
      <c r="M13" s="63">
        <f>COUNTIF(handsmth!M$2:M$28,$A13)</f>
        <v>1</v>
      </c>
      <c r="N13" s="63">
        <f>COUNTIF(handsmth!N$2:N$28,$A13)</f>
        <v>1</v>
      </c>
      <c r="P13" s="65">
        <v>12</v>
      </c>
      <c r="Q13" s="63">
        <f t="shared" si="2"/>
        <v>0</v>
      </c>
      <c r="R13" s="63">
        <f t="shared" si="0"/>
        <v>0</v>
      </c>
      <c r="S13" s="63">
        <f t="shared" si="0"/>
        <v>0</v>
      </c>
      <c r="T13" s="63">
        <f t="shared" si="0"/>
        <v>0</v>
      </c>
      <c r="U13" s="63">
        <f t="shared" si="0"/>
        <v>0</v>
      </c>
      <c r="V13" s="63">
        <f t="shared" si="0"/>
        <v>0</v>
      </c>
      <c r="W13" s="63">
        <f t="shared" si="0"/>
        <v>0</v>
      </c>
      <c r="X13" s="63">
        <f t="shared" si="0"/>
        <v>0</v>
      </c>
      <c r="Y13" s="63">
        <f t="shared" si="0"/>
        <v>0</v>
      </c>
      <c r="Z13" s="63">
        <f t="shared" si="0"/>
        <v>-1</v>
      </c>
      <c r="AA13" s="63">
        <f t="shared" si="0"/>
        <v>1</v>
      </c>
      <c r="AB13" s="63">
        <f t="shared" si="0"/>
        <v>0</v>
      </c>
      <c r="AC13" s="63"/>
      <c r="AE13" s="65">
        <v>12</v>
      </c>
      <c r="AF13" s="63">
        <f t="shared" si="3"/>
        <v>0</v>
      </c>
      <c r="AG13" s="63">
        <f t="shared" si="1"/>
        <v>0</v>
      </c>
      <c r="AH13" s="63">
        <f t="shared" si="1"/>
        <v>0</v>
      </c>
      <c r="AI13" s="63">
        <f t="shared" si="1"/>
        <v>0</v>
      </c>
      <c r="AJ13" s="63">
        <f t="shared" si="1"/>
        <v>0</v>
      </c>
      <c r="AK13" s="63">
        <f t="shared" si="1"/>
        <v>0</v>
      </c>
      <c r="AL13" s="63">
        <f t="shared" si="1"/>
        <v>1</v>
      </c>
      <c r="AM13" s="63">
        <f t="shared" si="1"/>
        <v>1</v>
      </c>
      <c r="AN13" s="63">
        <f t="shared" si="1"/>
        <v>1</v>
      </c>
      <c r="AO13" s="63">
        <f t="shared" si="1"/>
        <v>1</v>
      </c>
      <c r="AP13" s="63">
        <f t="shared" si="1"/>
        <v>-1</v>
      </c>
      <c r="AQ13" s="63">
        <f t="shared" si="1"/>
        <v>1</v>
      </c>
      <c r="AR13" s="63">
        <f t="shared" si="1"/>
        <v>1</v>
      </c>
    </row>
    <row r="14" spans="1:44" x14ac:dyDescent="0.3">
      <c r="A14" s="65">
        <v>13</v>
      </c>
      <c r="B14" s="63">
        <f>COUNTIF(handsmth!B$2:B$28,$A14)</f>
        <v>1</v>
      </c>
      <c r="C14" s="63">
        <f>COUNTIF(handsmth!C$2:C$28,$A14)</f>
        <v>1</v>
      </c>
      <c r="D14" s="63">
        <f>COUNTIF(handsmth!D$2:D$28,$A14)</f>
        <v>1</v>
      </c>
      <c r="E14" s="63">
        <f>COUNTIF(handsmth!E$2:E$28,$A14)</f>
        <v>1</v>
      </c>
      <c r="F14" s="63">
        <f>COUNTIF(handsmth!F$2:F$28,$A14)</f>
        <v>1</v>
      </c>
      <c r="G14" s="63">
        <f>COUNTIF(handsmth!G$2:G$28,$A14)</f>
        <v>1</v>
      </c>
      <c r="H14" s="63">
        <f>COUNTIF(handsmth!H$2:H$28,$A14)</f>
        <v>2</v>
      </c>
      <c r="I14" s="63">
        <f>COUNTIF(handsmth!I$2:I$28,$A14)</f>
        <v>2</v>
      </c>
      <c r="J14" s="63">
        <f>COUNTIF(handsmth!J$2:J$28,$A14)</f>
        <v>2</v>
      </c>
      <c r="K14" s="63">
        <f>COUNTIF(handsmth!K$2:K$28,$A14)</f>
        <v>2</v>
      </c>
      <c r="L14" s="63">
        <f>COUNTIF(handsmth!L$2:L$28,$A14)</f>
        <v>1</v>
      </c>
      <c r="M14" s="63">
        <f>COUNTIF(handsmth!M$2:M$28,$A14)</f>
        <v>2</v>
      </c>
      <c r="N14" s="63">
        <f>COUNTIF(handsmth!N$2:N$28,$A14)</f>
        <v>2</v>
      </c>
      <c r="P14" s="65">
        <v>13</v>
      </c>
      <c r="Q14" s="63">
        <f t="shared" si="2"/>
        <v>0</v>
      </c>
      <c r="R14" s="63">
        <f t="shared" si="0"/>
        <v>0</v>
      </c>
      <c r="S14" s="63">
        <f t="shared" si="0"/>
        <v>0</v>
      </c>
      <c r="T14" s="63">
        <f t="shared" si="0"/>
        <v>0</v>
      </c>
      <c r="U14" s="63">
        <f t="shared" si="0"/>
        <v>0</v>
      </c>
      <c r="V14" s="63">
        <f t="shared" si="0"/>
        <v>-1</v>
      </c>
      <c r="W14" s="63">
        <f t="shared" si="0"/>
        <v>0</v>
      </c>
      <c r="X14" s="63">
        <f t="shared" si="0"/>
        <v>0</v>
      </c>
      <c r="Y14" s="63">
        <f t="shared" si="0"/>
        <v>0</v>
      </c>
      <c r="Z14" s="63">
        <f t="shared" si="0"/>
        <v>1</v>
      </c>
      <c r="AA14" s="63">
        <f t="shared" si="0"/>
        <v>-1</v>
      </c>
      <c r="AB14" s="63">
        <f t="shared" si="0"/>
        <v>0</v>
      </c>
      <c r="AC14" s="63"/>
      <c r="AE14" s="65">
        <v>13</v>
      </c>
      <c r="AF14" s="63">
        <f t="shared" si="3"/>
        <v>0</v>
      </c>
      <c r="AG14" s="63">
        <f t="shared" si="1"/>
        <v>0</v>
      </c>
      <c r="AH14" s="63">
        <f t="shared" si="1"/>
        <v>0</v>
      </c>
      <c r="AI14" s="63">
        <f t="shared" si="1"/>
        <v>0</v>
      </c>
      <c r="AJ14" s="63">
        <f t="shared" si="1"/>
        <v>0</v>
      </c>
      <c r="AK14" s="63">
        <f t="shared" si="1"/>
        <v>0</v>
      </c>
      <c r="AL14" s="63">
        <f t="shared" si="1"/>
        <v>-1</v>
      </c>
      <c r="AM14" s="63">
        <f t="shared" si="1"/>
        <v>-1</v>
      </c>
      <c r="AN14" s="63">
        <f t="shared" si="1"/>
        <v>-1</v>
      </c>
      <c r="AO14" s="63">
        <f t="shared" si="1"/>
        <v>-1</v>
      </c>
      <c r="AP14" s="63">
        <f t="shared" si="1"/>
        <v>0</v>
      </c>
      <c r="AQ14" s="63">
        <f t="shared" si="1"/>
        <v>-1</v>
      </c>
      <c r="AR14" s="63">
        <f t="shared" si="1"/>
        <v>-1</v>
      </c>
    </row>
    <row r="15" spans="1:44" x14ac:dyDescent="0.3">
      <c r="A15" s="65">
        <v>14</v>
      </c>
      <c r="B15" s="63">
        <f>COUNTIF(handsmth!B$2:B$28,$A15)</f>
        <v>1</v>
      </c>
      <c r="C15" s="63">
        <f>COUNTIF(handsmth!C$2:C$28,$A15)</f>
        <v>1</v>
      </c>
      <c r="D15" s="63">
        <f>COUNTIF(handsmth!D$2:D$28,$A15)</f>
        <v>1</v>
      </c>
      <c r="E15" s="63">
        <f>COUNTIF(handsmth!E$2:E$28,$A15)</f>
        <v>1</v>
      </c>
      <c r="F15" s="63">
        <f>COUNTIF(handsmth!F$2:F$28,$A15)</f>
        <v>1</v>
      </c>
      <c r="G15" s="63">
        <f>COUNTIF(handsmth!G$2:G$28,$A15)</f>
        <v>1</v>
      </c>
      <c r="H15" s="63">
        <f>COUNTIF(handsmth!H$2:H$28,$A15)</f>
        <v>1</v>
      </c>
      <c r="I15" s="63">
        <f>COUNTIF(handsmth!I$2:I$28,$A15)</f>
        <v>1</v>
      </c>
      <c r="J15" s="63">
        <f>COUNTIF(handsmth!J$2:J$28,$A15)</f>
        <v>1</v>
      </c>
      <c r="K15" s="63">
        <f>COUNTIF(handsmth!K$2:K$28,$A15)</f>
        <v>1</v>
      </c>
      <c r="L15" s="63">
        <f>COUNTIF(handsmth!L$2:L$28,$A15)</f>
        <v>1</v>
      </c>
      <c r="M15" s="63">
        <f>COUNTIF(handsmth!M$2:M$28,$A15)</f>
        <v>1</v>
      </c>
      <c r="N15" s="63">
        <f>COUNTIF(handsmth!N$2:N$28,$A15)</f>
        <v>1</v>
      </c>
      <c r="P15" s="65">
        <v>14</v>
      </c>
      <c r="Q15" s="63">
        <f t="shared" si="2"/>
        <v>0</v>
      </c>
      <c r="R15" s="63">
        <f t="shared" si="0"/>
        <v>0</v>
      </c>
      <c r="S15" s="63">
        <f t="shared" si="0"/>
        <v>0</v>
      </c>
      <c r="T15" s="63">
        <f t="shared" si="0"/>
        <v>0</v>
      </c>
      <c r="U15" s="63">
        <f t="shared" si="0"/>
        <v>0</v>
      </c>
      <c r="V15" s="63">
        <f t="shared" si="0"/>
        <v>0</v>
      </c>
      <c r="W15" s="63">
        <f t="shared" si="0"/>
        <v>0</v>
      </c>
      <c r="X15" s="63">
        <f t="shared" si="0"/>
        <v>0</v>
      </c>
      <c r="Y15" s="63">
        <f t="shared" si="0"/>
        <v>0</v>
      </c>
      <c r="Z15" s="63">
        <f t="shared" si="0"/>
        <v>0</v>
      </c>
      <c r="AA15" s="63">
        <f t="shared" si="0"/>
        <v>0</v>
      </c>
      <c r="AB15" s="63">
        <f t="shared" si="0"/>
        <v>0</v>
      </c>
      <c r="AC15" s="63"/>
      <c r="AE15" s="65">
        <v>14</v>
      </c>
      <c r="AF15" s="63">
        <f t="shared" si="3"/>
        <v>0</v>
      </c>
      <c r="AG15" s="63">
        <f t="shared" si="1"/>
        <v>0</v>
      </c>
      <c r="AH15" s="63">
        <f t="shared" si="1"/>
        <v>0</v>
      </c>
      <c r="AI15" s="63">
        <f t="shared" si="1"/>
        <v>0</v>
      </c>
      <c r="AJ15" s="63">
        <f t="shared" si="1"/>
        <v>0</v>
      </c>
      <c r="AK15" s="63">
        <f t="shared" si="1"/>
        <v>0</v>
      </c>
      <c r="AL15" s="63">
        <f t="shared" si="1"/>
        <v>0</v>
      </c>
      <c r="AM15" s="63">
        <f t="shared" si="1"/>
        <v>0</v>
      </c>
      <c r="AN15" s="63">
        <f t="shared" si="1"/>
        <v>0</v>
      </c>
      <c r="AO15" s="63">
        <f t="shared" si="1"/>
        <v>0</v>
      </c>
      <c r="AP15" s="63">
        <f t="shared" si="1"/>
        <v>1</v>
      </c>
      <c r="AQ15" s="63">
        <f t="shared" si="1"/>
        <v>0</v>
      </c>
      <c r="AR15" s="63">
        <f t="shared" si="1"/>
        <v>0</v>
      </c>
    </row>
    <row r="16" spans="1:44" x14ac:dyDescent="0.3">
      <c r="A16" s="65">
        <v>15</v>
      </c>
      <c r="B16" s="63">
        <f>COUNTIF(handsmth!B$2:B$28,$A16)</f>
        <v>1</v>
      </c>
      <c r="C16" s="63">
        <f>COUNTIF(handsmth!C$2:C$28,$A16)</f>
        <v>1</v>
      </c>
      <c r="D16" s="63">
        <f>COUNTIF(handsmth!D$2:D$28,$A16)</f>
        <v>1</v>
      </c>
      <c r="E16" s="63">
        <f>COUNTIF(handsmth!E$2:E$28,$A16)</f>
        <v>1</v>
      </c>
      <c r="F16" s="63">
        <f>COUNTIF(handsmth!F$2:F$28,$A16)</f>
        <v>1</v>
      </c>
      <c r="G16" s="63">
        <f>COUNTIF(handsmth!G$2:G$28,$A16)</f>
        <v>1</v>
      </c>
      <c r="H16" s="63">
        <f>COUNTIF(handsmth!H$2:H$28,$A16)</f>
        <v>1</v>
      </c>
      <c r="I16" s="63">
        <f>COUNTIF(handsmth!I$2:I$28,$A16)</f>
        <v>1</v>
      </c>
      <c r="J16" s="63">
        <f>COUNTIF(handsmth!J$2:J$28,$A16)</f>
        <v>1</v>
      </c>
      <c r="K16" s="63">
        <f>COUNTIF(handsmth!K$2:K$28,$A16)</f>
        <v>1</v>
      </c>
      <c r="L16" s="63">
        <f>COUNTIF(handsmth!L$2:L$28,$A16)</f>
        <v>2</v>
      </c>
      <c r="M16" s="63">
        <f>COUNTIF(handsmth!M$2:M$28,$A16)</f>
        <v>1</v>
      </c>
      <c r="N16" s="63">
        <f>COUNTIF(handsmth!N$2:N$28,$A16)</f>
        <v>1</v>
      </c>
      <c r="P16" s="65">
        <v>15</v>
      </c>
      <c r="Q16" s="63">
        <f t="shared" si="2"/>
        <v>0</v>
      </c>
      <c r="R16" s="63">
        <f t="shared" si="0"/>
        <v>0</v>
      </c>
      <c r="S16" s="63">
        <f t="shared" si="0"/>
        <v>0</v>
      </c>
      <c r="T16" s="63">
        <f t="shared" si="0"/>
        <v>0</v>
      </c>
      <c r="U16" s="63">
        <f t="shared" si="0"/>
        <v>0</v>
      </c>
      <c r="V16" s="63">
        <f t="shared" si="0"/>
        <v>0</v>
      </c>
      <c r="W16" s="63">
        <f t="shared" si="0"/>
        <v>0</v>
      </c>
      <c r="X16" s="63">
        <f t="shared" si="0"/>
        <v>0</v>
      </c>
      <c r="Y16" s="63">
        <f t="shared" si="0"/>
        <v>0</v>
      </c>
      <c r="Z16" s="63">
        <f t="shared" si="0"/>
        <v>-1</v>
      </c>
      <c r="AA16" s="63">
        <f t="shared" si="0"/>
        <v>1</v>
      </c>
      <c r="AB16" s="63">
        <f t="shared" si="0"/>
        <v>0</v>
      </c>
      <c r="AC16" s="63"/>
      <c r="AE16" s="65">
        <v>15</v>
      </c>
      <c r="AF16" s="63">
        <f>B17-B16</f>
        <v>0</v>
      </c>
      <c r="AG16" s="63">
        <f t="shared" si="1"/>
        <v>0</v>
      </c>
      <c r="AH16" s="63">
        <f t="shared" si="1"/>
        <v>0</v>
      </c>
      <c r="AI16" s="63">
        <f t="shared" si="1"/>
        <v>0</v>
      </c>
      <c r="AJ16" s="63">
        <f t="shared" si="1"/>
        <v>-1</v>
      </c>
      <c r="AK16" s="63">
        <f t="shared" si="1"/>
        <v>0</v>
      </c>
      <c r="AL16" s="63">
        <f t="shared" si="1"/>
        <v>0</v>
      </c>
      <c r="AM16" s="63">
        <f t="shared" si="1"/>
        <v>1</v>
      </c>
      <c r="AN16" s="63">
        <f t="shared" si="1"/>
        <v>0</v>
      </c>
      <c r="AO16" s="63">
        <f t="shared" si="1"/>
        <v>0</v>
      </c>
      <c r="AP16" s="63">
        <f t="shared" si="1"/>
        <v>-1</v>
      </c>
      <c r="AQ16" s="63">
        <f t="shared" si="1"/>
        <v>1</v>
      </c>
      <c r="AR16" s="63">
        <f t="shared" si="1"/>
        <v>1</v>
      </c>
    </row>
    <row r="17" spans="1:44" x14ac:dyDescent="0.3">
      <c r="A17" s="65">
        <v>16</v>
      </c>
      <c r="B17" s="63">
        <f>COUNTIF(handsmth!B$2:B$28,$A17)</f>
        <v>1</v>
      </c>
      <c r="C17" s="63">
        <f>COUNTIF(handsmth!C$2:C$28,$A17)</f>
        <v>1</v>
      </c>
      <c r="D17" s="63">
        <f>COUNTIF(handsmth!D$2:D$28,$A17)</f>
        <v>1</v>
      </c>
      <c r="E17" s="63">
        <f>COUNTIF(handsmth!E$2:E$28,$A17)</f>
        <v>1</v>
      </c>
      <c r="F17" s="63">
        <f>COUNTIF(handsmth!F$2:F$28,$A17)</f>
        <v>0</v>
      </c>
      <c r="G17" s="63">
        <f>COUNTIF(handsmth!G$2:G$28,$A17)</f>
        <v>1</v>
      </c>
      <c r="H17" s="63">
        <f>COUNTIF(handsmth!H$2:H$28,$A17)</f>
        <v>1</v>
      </c>
      <c r="I17" s="63">
        <f>COUNTIF(handsmth!I$2:I$28,$A17)</f>
        <v>2</v>
      </c>
      <c r="J17" s="63">
        <f>COUNTIF(handsmth!J$2:J$28,$A17)</f>
        <v>1</v>
      </c>
      <c r="K17" s="63">
        <f>COUNTIF(handsmth!K$2:K$28,$A17)</f>
        <v>1</v>
      </c>
      <c r="L17" s="63">
        <f>COUNTIF(handsmth!L$2:L$28,$A17)</f>
        <v>1</v>
      </c>
      <c r="M17" s="63">
        <f>COUNTIF(handsmth!M$2:M$28,$A17)</f>
        <v>2</v>
      </c>
      <c r="N17" s="63">
        <f>COUNTIF(handsmth!N$2:N$28,$A17)</f>
        <v>2</v>
      </c>
      <c r="P17" s="65">
        <v>16</v>
      </c>
      <c r="Q17" s="63">
        <f t="shared" si="2"/>
        <v>0</v>
      </c>
      <c r="R17" s="63">
        <f t="shared" si="0"/>
        <v>0</v>
      </c>
      <c r="S17" s="63">
        <f t="shared" si="0"/>
        <v>0</v>
      </c>
      <c r="T17" s="63">
        <f t="shared" si="0"/>
        <v>1</v>
      </c>
      <c r="U17" s="63">
        <f t="shared" si="0"/>
        <v>-1</v>
      </c>
      <c r="V17" s="63">
        <f t="shared" si="0"/>
        <v>0</v>
      </c>
      <c r="W17" s="63">
        <f t="shared" si="0"/>
        <v>-1</v>
      </c>
      <c r="X17" s="63">
        <f t="shared" si="0"/>
        <v>1</v>
      </c>
      <c r="Y17" s="63">
        <f t="shared" si="0"/>
        <v>0</v>
      </c>
      <c r="Z17" s="63">
        <f t="shared" si="0"/>
        <v>0</v>
      </c>
      <c r="AA17" s="63">
        <f t="shared" si="0"/>
        <v>-1</v>
      </c>
      <c r="AB17" s="63">
        <f t="shared" si="0"/>
        <v>0</v>
      </c>
      <c r="AC17" s="63"/>
      <c r="AE17" s="65">
        <v>16</v>
      </c>
      <c r="AF17" s="63">
        <f t="shared" si="3"/>
        <v>0</v>
      </c>
      <c r="AG17" s="63">
        <f t="shared" si="1"/>
        <v>0</v>
      </c>
      <c r="AH17" s="63">
        <f t="shared" si="1"/>
        <v>0</v>
      </c>
      <c r="AI17" s="63">
        <f t="shared" si="1"/>
        <v>0</v>
      </c>
      <c r="AJ17" s="63">
        <f t="shared" si="1"/>
        <v>1</v>
      </c>
      <c r="AK17" s="63">
        <f t="shared" si="1"/>
        <v>0</v>
      </c>
      <c r="AL17" s="63">
        <f t="shared" si="1"/>
        <v>0</v>
      </c>
      <c r="AM17" s="63">
        <f t="shared" si="1"/>
        <v>-1</v>
      </c>
      <c r="AN17" s="63">
        <f t="shared" si="1"/>
        <v>0</v>
      </c>
      <c r="AO17" s="63">
        <f t="shared" si="1"/>
        <v>1</v>
      </c>
      <c r="AP17" s="63">
        <f t="shared" si="1"/>
        <v>0</v>
      </c>
      <c r="AQ17" s="63">
        <f t="shared" si="1"/>
        <v>-1</v>
      </c>
      <c r="AR17" s="63">
        <f t="shared" si="1"/>
        <v>0</v>
      </c>
    </row>
    <row r="18" spans="1:44" x14ac:dyDescent="0.3">
      <c r="A18" s="65">
        <v>17</v>
      </c>
      <c r="B18" s="63">
        <f>COUNTIF(handsmth!B$2:B$28,$A18)</f>
        <v>1</v>
      </c>
      <c r="C18" s="63">
        <f>COUNTIF(handsmth!C$2:C$28,$A18)</f>
        <v>1</v>
      </c>
      <c r="D18" s="63">
        <f>COUNTIF(handsmth!D$2:D$28,$A18)</f>
        <v>1</v>
      </c>
      <c r="E18" s="63">
        <f>COUNTIF(handsmth!E$2:E$28,$A18)</f>
        <v>1</v>
      </c>
      <c r="F18" s="63">
        <f>COUNTIF(handsmth!F$2:F$28,$A18)</f>
        <v>1</v>
      </c>
      <c r="G18" s="63">
        <f>COUNTIF(handsmth!G$2:G$28,$A18)</f>
        <v>1</v>
      </c>
      <c r="H18" s="63">
        <f>COUNTIF(handsmth!H$2:H$28,$A18)</f>
        <v>1</v>
      </c>
      <c r="I18" s="63">
        <f>COUNTIF(handsmth!I$2:I$28,$A18)</f>
        <v>1</v>
      </c>
      <c r="J18" s="63">
        <f>COUNTIF(handsmth!J$2:J$28,$A18)</f>
        <v>1</v>
      </c>
      <c r="K18" s="63">
        <f>COUNTIF(handsmth!K$2:K$28,$A18)</f>
        <v>2</v>
      </c>
      <c r="L18" s="63">
        <f>COUNTIF(handsmth!L$2:L$28,$A18)</f>
        <v>1</v>
      </c>
      <c r="M18" s="63">
        <f>COUNTIF(handsmth!M$2:M$28,$A18)</f>
        <v>1</v>
      </c>
      <c r="N18" s="63">
        <f>COUNTIF(handsmth!N$2:N$28,$A18)</f>
        <v>2</v>
      </c>
      <c r="P18" s="65">
        <v>17</v>
      </c>
      <c r="Q18" s="63">
        <f t="shared" si="2"/>
        <v>0</v>
      </c>
      <c r="R18" s="63">
        <f t="shared" si="2"/>
        <v>0</v>
      </c>
      <c r="S18" s="63">
        <f t="shared" si="2"/>
        <v>0</v>
      </c>
      <c r="T18" s="63">
        <f t="shared" si="2"/>
        <v>0</v>
      </c>
      <c r="U18" s="63">
        <f t="shared" si="2"/>
        <v>0</v>
      </c>
      <c r="V18" s="63">
        <f t="shared" si="2"/>
        <v>0</v>
      </c>
      <c r="W18" s="63">
        <f t="shared" si="2"/>
        <v>0</v>
      </c>
      <c r="X18" s="63">
        <f t="shared" si="2"/>
        <v>0</v>
      </c>
      <c r="Y18" s="63">
        <f t="shared" si="2"/>
        <v>-1</v>
      </c>
      <c r="Z18" s="63">
        <f t="shared" si="2"/>
        <v>1</v>
      </c>
      <c r="AA18" s="63">
        <f t="shared" si="2"/>
        <v>0</v>
      </c>
      <c r="AB18" s="63">
        <f t="shared" si="2"/>
        <v>-1</v>
      </c>
      <c r="AC18" s="63"/>
      <c r="AE18" s="65">
        <v>17</v>
      </c>
      <c r="AF18" s="63">
        <f t="shared" si="3"/>
        <v>-1</v>
      </c>
      <c r="AG18" s="63">
        <f t="shared" si="3"/>
        <v>-1</v>
      </c>
      <c r="AH18" s="63">
        <f t="shared" si="3"/>
        <v>-1</v>
      </c>
      <c r="AI18" s="63">
        <f t="shared" si="3"/>
        <v>-1</v>
      </c>
      <c r="AJ18" s="63">
        <f t="shared" si="3"/>
        <v>0</v>
      </c>
      <c r="AK18" s="63">
        <f t="shared" si="3"/>
        <v>0</v>
      </c>
      <c r="AL18" s="63">
        <f t="shared" si="3"/>
        <v>0</v>
      </c>
      <c r="AM18" s="63">
        <f t="shared" si="3"/>
        <v>0</v>
      </c>
      <c r="AN18" s="63">
        <f t="shared" si="3"/>
        <v>1</v>
      </c>
      <c r="AO18" s="63">
        <f t="shared" si="3"/>
        <v>-1</v>
      </c>
      <c r="AP18" s="63">
        <f t="shared" si="3"/>
        <v>1</v>
      </c>
      <c r="AQ18" s="63">
        <f t="shared" si="3"/>
        <v>1</v>
      </c>
      <c r="AR18" s="63">
        <f t="shared" si="3"/>
        <v>0</v>
      </c>
    </row>
    <row r="19" spans="1:44" x14ac:dyDescent="0.3">
      <c r="A19" s="65">
        <v>18</v>
      </c>
      <c r="B19" s="63">
        <f>COUNTIF(handsmth!B$2:B$28,$A19)</f>
        <v>0</v>
      </c>
      <c r="C19" s="63">
        <f>COUNTIF(handsmth!C$2:C$28,$A19)</f>
        <v>0</v>
      </c>
      <c r="D19" s="63">
        <f>COUNTIF(handsmth!D$2:D$28,$A19)</f>
        <v>0</v>
      </c>
      <c r="E19" s="63">
        <f>COUNTIF(handsmth!E$2:E$28,$A19)</f>
        <v>0</v>
      </c>
      <c r="F19" s="63">
        <f>COUNTIF(handsmth!F$2:F$28,$A19)</f>
        <v>1</v>
      </c>
      <c r="G19" s="63">
        <f>COUNTIF(handsmth!G$2:G$28,$A19)</f>
        <v>1</v>
      </c>
      <c r="H19" s="63">
        <f>COUNTIF(handsmth!H$2:H$28,$A19)</f>
        <v>1</v>
      </c>
      <c r="I19" s="63">
        <f>COUNTIF(handsmth!I$2:I$28,$A19)</f>
        <v>1</v>
      </c>
      <c r="J19" s="63">
        <f>COUNTIF(handsmth!J$2:J$28,$A19)</f>
        <v>2</v>
      </c>
      <c r="K19" s="63">
        <f>COUNTIF(handsmth!K$2:K$28,$A19)</f>
        <v>1</v>
      </c>
      <c r="L19" s="63">
        <f>COUNTIF(handsmth!L$2:L$28,$A19)</f>
        <v>2</v>
      </c>
      <c r="M19" s="63">
        <f>COUNTIF(handsmth!M$2:M$28,$A19)</f>
        <v>2</v>
      </c>
      <c r="N19" s="63">
        <f>COUNTIF(handsmth!N$2:N$28,$A19)</f>
        <v>2</v>
      </c>
      <c r="P19" s="65">
        <v>18</v>
      </c>
      <c r="Q19" s="63">
        <f t="shared" si="2"/>
        <v>0</v>
      </c>
      <c r="R19" s="63">
        <f t="shared" si="2"/>
        <v>0</v>
      </c>
      <c r="S19" s="63">
        <f t="shared" si="2"/>
        <v>0</v>
      </c>
      <c r="T19" s="63">
        <f t="shared" si="2"/>
        <v>-1</v>
      </c>
      <c r="U19" s="63">
        <f t="shared" si="2"/>
        <v>0</v>
      </c>
      <c r="V19" s="63">
        <f t="shared" si="2"/>
        <v>0</v>
      </c>
      <c r="W19" s="63">
        <f t="shared" si="2"/>
        <v>0</v>
      </c>
      <c r="X19" s="63">
        <f t="shared" si="2"/>
        <v>-1</v>
      </c>
      <c r="Y19" s="63">
        <f t="shared" si="2"/>
        <v>1</v>
      </c>
      <c r="Z19" s="63">
        <f t="shared" si="2"/>
        <v>-1</v>
      </c>
      <c r="AA19" s="63">
        <f t="shared" si="2"/>
        <v>0</v>
      </c>
      <c r="AB19" s="63">
        <f t="shared" si="2"/>
        <v>0</v>
      </c>
      <c r="AC19" s="63"/>
      <c r="AE19" s="65">
        <v>18</v>
      </c>
      <c r="AF19" s="63">
        <f t="shared" si="3"/>
        <v>1</v>
      </c>
      <c r="AG19" s="63">
        <f t="shared" si="3"/>
        <v>1</v>
      </c>
      <c r="AH19" s="63">
        <f t="shared" si="3"/>
        <v>1</v>
      </c>
      <c r="AI19" s="63">
        <f t="shared" si="3"/>
        <v>1</v>
      </c>
      <c r="AJ19" s="63">
        <f t="shared" si="3"/>
        <v>0</v>
      </c>
      <c r="AK19" s="63">
        <f t="shared" si="3"/>
        <v>0</v>
      </c>
      <c r="AL19" s="63">
        <f>H20-H19</f>
        <v>0</v>
      </c>
      <c r="AM19" s="63">
        <f t="shared" si="3"/>
        <v>0</v>
      </c>
      <c r="AN19" s="63">
        <f t="shared" si="3"/>
        <v>-1</v>
      </c>
      <c r="AO19" s="63">
        <f t="shared" si="3"/>
        <v>1</v>
      </c>
      <c r="AP19" s="63">
        <f t="shared" si="3"/>
        <v>0</v>
      </c>
      <c r="AQ19" s="63">
        <f t="shared" si="3"/>
        <v>1</v>
      </c>
      <c r="AR19" s="63">
        <f t="shared" si="3"/>
        <v>1</v>
      </c>
    </row>
    <row r="20" spans="1:44" x14ac:dyDescent="0.3">
      <c r="A20" s="65">
        <v>19</v>
      </c>
      <c r="B20" s="63">
        <f>COUNTIF(handsmth!B$2:B$28,$A20)</f>
        <v>1</v>
      </c>
      <c r="C20" s="63">
        <f>COUNTIF(handsmth!C$2:C$28,$A20)</f>
        <v>1</v>
      </c>
      <c r="D20" s="63">
        <f>COUNTIF(handsmth!D$2:D$28,$A20)</f>
        <v>1</v>
      </c>
      <c r="E20" s="63">
        <f>COUNTIF(handsmth!E$2:E$28,$A20)</f>
        <v>1</v>
      </c>
      <c r="F20" s="63">
        <f>COUNTIF(handsmth!F$2:F$28,$A20)</f>
        <v>1</v>
      </c>
      <c r="G20" s="63">
        <f>COUNTIF(handsmth!G$2:G$28,$A20)</f>
        <v>1</v>
      </c>
      <c r="H20" s="63">
        <f>COUNTIF(handsmth!H$2:H$28,$A20)</f>
        <v>1</v>
      </c>
      <c r="I20" s="63">
        <f>COUNTIF(handsmth!I$2:I$28,$A20)</f>
        <v>1</v>
      </c>
      <c r="J20" s="63">
        <f>COUNTIF(handsmth!J$2:J$28,$A20)</f>
        <v>1</v>
      </c>
      <c r="K20" s="63">
        <f>COUNTIF(handsmth!K$2:K$28,$A20)</f>
        <v>2</v>
      </c>
      <c r="L20" s="63">
        <f>COUNTIF(handsmth!L$2:L$28,$A20)</f>
        <v>2</v>
      </c>
      <c r="M20" s="63">
        <f>COUNTIF(handsmth!M$2:M$28,$A20)</f>
        <v>3</v>
      </c>
      <c r="N20" s="63">
        <f>COUNTIF(handsmth!N$2:N$28,$A20)</f>
        <v>3</v>
      </c>
      <c r="P20" s="65">
        <v>19</v>
      </c>
      <c r="Q20" s="63">
        <f t="shared" si="2"/>
        <v>0</v>
      </c>
      <c r="R20" s="63">
        <f t="shared" si="2"/>
        <v>0</v>
      </c>
      <c r="S20" s="63">
        <f t="shared" si="2"/>
        <v>0</v>
      </c>
      <c r="T20" s="63">
        <f t="shared" si="2"/>
        <v>0</v>
      </c>
      <c r="U20" s="63">
        <f t="shared" si="2"/>
        <v>0</v>
      </c>
      <c r="V20" s="63">
        <f t="shared" si="2"/>
        <v>0</v>
      </c>
      <c r="W20" s="63">
        <f>H20-I20</f>
        <v>0</v>
      </c>
      <c r="X20" s="63">
        <f t="shared" si="2"/>
        <v>0</v>
      </c>
      <c r="Y20" s="63">
        <f t="shared" si="2"/>
        <v>-1</v>
      </c>
      <c r="Z20" s="63">
        <f t="shared" si="2"/>
        <v>0</v>
      </c>
      <c r="AA20" s="63">
        <f t="shared" si="2"/>
        <v>-1</v>
      </c>
      <c r="AB20" s="63">
        <f t="shared" si="2"/>
        <v>0</v>
      </c>
      <c r="AC20" s="63"/>
      <c r="AE20" s="65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</row>
  </sheetData>
  <conditionalFormatting sqref="B2:N20">
    <cfRule type="cellIs" dxfId="2" priority="3" operator="equal">
      <formula>0</formula>
    </cfRule>
  </conditionalFormatting>
  <conditionalFormatting sqref="Q2:AB20">
    <cfRule type="cellIs" dxfId="1" priority="2" operator="notBetween">
      <formula>-1</formula>
      <formula>1</formula>
    </cfRule>
  </conditionalFormatting>
  <conditionalFormatting sqref="AF2:AR19">
    <cfRule type="cellIs" dxfId="0" priority="1" operator="notBetween">
      <formula>-1</formula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7EFB-1225-49BC-8AC5-BD3E86F53109}">
  <dimension ref="A1:N28"/>
  <sheetViews>
    <sheetView workbookViewId="0">
      <selection activeCell="R11" sqref="R11"/>
    </sheetView>
  </sheetViews>
  <sheetFormatPr defaultRowHeight="12" x14ac:dyDescent="0.25"/>
  <cols>
    <col min="1" max="1" width="13.85546875" bestFit="1" customWidth="1"/>
    <col min="2" max="14" width="6" customWidth="1"/>
  </cols>
  <sheetData>
    <row r="1" spans="1:14" x14ac:dyDescent="0.25">
      <c r="A1" s="15" t="str">
        <f>handsmth!A1</f>
        <v>wais5_mr_raw</v>
      </c>
      <c r="B1" s="15" t="str">
        <f>handsmth!B1</f>
        <v>ss1</v>
      </c>
      <c r="C1" s="15" t="str">
        <f>handsmth!C1</f>
        <v>ss2</v>
      </c>
      <c r="D1" s="15" t="str">
        <f>handsmth!D1</f>
        <v>ss3</v>
      </c>
      <c r="E1" s="15" t="str">
        <f>handsmth!E1</f>
        <v>ss4</v>
      </c>
      <c r="F1" s="15" t="str">
        <f>handsmth!F1</f>
        <v>ss5</v>
      </c>
      <c r="G1" s="15" t="str">
        <f>handsmth!G1</f>
        <v>ss6</v>
      </c>
      <c r="H1" s="15" t="str">
        <f>handsmth!H1</f>
        <v>ss7</v>
      </c>
      <c r="I1" s="15" t="str">
        <f>handsmth!I1</f>
        <v>ss8</v>
      </c>
      <c r="J1" s="15" t="str">
        <f>handsmth!J1</f>
        <v>ss9</v>
      </c>
      <c r="K1" s="15" t="str">
        <f>handsmth!K1</f>
        <v>ss10</v>
      </c>
      <c r="L1" s="15" t="str">
        <f>handsmth!L1</f>
        <v>ss11</v>
      </c>
      <c r="M1" s="15" t="str">
        <f>handsmth!M1</f>
        <v>ss12</v>
      </c>
      <c r="N1" s="15" t="str">
        <f>handsmth!N1</f>
        <v>ss13</v>
      </c>
    </row>
    <row r="2" spans="1:14" x14ac:dyDescent="0.25">
      <c r="A2" s="15">
        <f>handsmth!A2</f>
        <v>0</v>
      </c>
      <c r="B2" s="15">
        <f>handsmth!B2</f>
        <v>1</v>
      </c>
      <c r="C2" s="15">
        <f>handsmth!C2</f>
        <v>1</v>
      </c>
      <c r="D2" s="15">
        <f>handsmth!D2</f>
        <v>1</v>
      </c>
      <c r="E2" s="15">
        <f>handsmth!E2</f>
        <v>1</v>
      </c>
      <c r="F2" s="15">
        <f>handsmth!F2</f>
        <v>1</v>
      </c>
      <c r="G2" s="15">
        <f>handsmth!G2</f>
        <v>1</v>
      </c>
      <c r="H2" s="15">
        <f>handsmth!H2</f>
        <v>1</v>
      </c>
      <c r="I2" s="15">
        <f>handsmth!I2</f>
        <v>1</v>
      </c>
      <c r="J2" s="15">
        <f>handsmth!J2</f>
        <v>1</v>
      </c>
      <c r="K2" s="15">
        <f>handsmth!K2</f>
        <v>1</v>
      </c>
      <c r="L2" s="15">
        <f>handsmth!L2</f>
        <v>1</v>
      </c>
      <c r="M2" s="15">
        <f>handsmth!M2</f>
        <v>1</v>
      </c>
      <c r="N2" s="15">
        <f>handsmth!N2</f>
        <v>1</v>
      </c>
    </row>
    <row r="3" spans="1:14" x14ac:dyDescent="0.25">
      <c r="A3" s="15">
        <f>handsmth!A3</f>
        <v>1</v>
      </c>
      <c r="B3" s="15">
        <f>handsmth!B3</f>
        <v>1</v>
      </c>
      <c r="C3" s="15">
        <f>handsmth!C3</f>
        <v>1</v>
      </c>
      <c r="D3" s="15">
        <f>handsmth!D3</f>
        <v>1</v>
      </c>
      <c r="E3" s="15">
        <f>handsmth!E3</f>
        <v>1</v>
      </c>
      <c r="F3" s="15">
        <f>handsmth!F3</f>
        <v>1</v>
      </c>
      <c r="G3" s="15">
        <f>handsmth!G3</f>
        <v>1</v>
      </c>
      <c r="H3" s="15">
        <f>handsmth!H3</f>
        <v>1</v>
      </c>
      <c r="I3" s="15">
        <f>handsmth!I3</f>
        <v>2</v>
      </c>
      <c r="J3" s="15">
        <f>handsmth!J3</f>
        <v>2</v>
      </c>
      <c r="K3" s="15">
        <f>handsmth!K3</f>
        <v>2</v>
      </c>
      <c r="L3" s="15">
        <f>handsmth!L3</f>
        <v>2</v>
      </c>
      <c r="M3" s="15">
        <f>handsmth!M3</f>
        <v>2</v>
      </c>
      <c r="N3" s="15">
        <f>handsmth!N3</f>
        <v>2</v>
      </c>
    </row>
    <row r="4" spans="1:14" x14ac:dyDescent="0.25">
      <c r="A4" s="15">
        <f>handsmth!A4</f>
        <v>2</v>
      </c>
      <c r="B4" s="15">
        <f>handsmth!B4</f>
        <v>1</v>
      </c>
      <c r="C4" s="15">
        <f>handsmth!C4</f>
        <v>1</v>
      </c>
      <c r="D4" s="15">
        <f>handsmth!D4</f>
        <v>1</v>
      </c>
      <c r="E4" s="15">
        <f>handsmth!E4</f>
        <v>1</v>
      </c>
      <c r="F4" s="15">
        <f>handsmth!F4</f>
        <v>1</v>
      </c>
      <c r="G4" s="15">
        <f>handsmth!G4</f>
        <v>1</v>
      </c>
      <c r="H4" s="15">
        <f>handsmth!H4</f>
        <v>2</v>
      </c>
      <c r="I4" s="15">
        <f>handsmth!I4</f>
        <v>2</v>
      </c>
      <c r="J4" s="15">
        <f>handsmth!J4</f>
        <v>2</v>
      </c>
      <c r="K4" s="15">
        <f>handsmth!K4</f>
        <v>2</v>
      </c>
      <c r="L4" s="15">
        <f>handsmth!L4</f>
        <v>2</v>
      </c>
      <c r="M4" s="15">
        <f>handsmth!M4</f>
        <v>2</v>
      </c>
      <c r="N4" s="15">
        <f>handsmth!N4</f>
        <v>3</v>
      </c>
    </row>
    <row r="5" spans="1:14" x14ac:dyDescent="0.25">
      <c r="A5" s="15">
        <f>handsmth!A5</f>
        <v>3</v>
      </c>
      <c r="B5" s="15">
        <f>handsmth!B5</f>
        <v>2</v>
      </c>
      <c r="C5" s="15">
        <f>handsmth!C5</f>
        <v>2</v>
      </c>
      <c r="D5" s="15">
        <f>handsmth!D5</f>
        <v>2</v>
      </c>
      <c r="E5" s="15">
        <f>handsmth!E5</f>
        <v>2</v>
      </c>
      <c r="F5" s="15">
        <f>handsmth!F5</f>
        <v>2</v>
      </c>
      <c r="G5" s="15">
        <f>handsmth!G5</f>
        <v>2</v>
      </c>
      <c r="H5" s="15">
        <f>handsmth!H5</f>
        <v>2</v>
      </c>
      <c r="I5" s="15">
        <f>handsmth!I5</f>
        <v>3</v>
      </c>
      <c r="J5" s="15">
        <f>handsmth!J5</f>
        <v>3</v>
      </c>
      <c r="K5" s="15">
        <f>handsmth!K5</f>
        <v>3</v>
      </c>
      <c r="L5" s="15">
        <f>handsmth!L5</f>
        <v>3</v>
      </c>
      <c r="M5" s="15">
        <f>handsmth!M5</f>
        <v>3</v>
      </c>
      <c r="N5" s="15">
        <f>handsmth!N5</f>
        <v>4</v>
      </c>
    </row>
    <row r="6" spans="1:14" x14ac:dyDescent="0.25">
      <c r="A6" s="15">
        <f>handsmth!A6</f>
        <v>4</v>
      </c>
      <c r="B6" s="15">
        <f>handsmth!B6</f>
        <v>2</v>
      </c>
      <c r="C6" s="15">
        <f>handsmth!C6</f>
        <v>2</v>
      </c>
      <c r="D6" s="15">
        <f>handsmth!D6</f>
        <v>2</v>
      </c>
      <c r="E6" s="15">
        <f>handsmth!E6</f>
        <v>2</v>
      </c>
      <c r="F6" s="15">
        <f>handsmth!F6</f>
        <v>2</v>
      </c>
      <c r="G6" s="15">
        <f>handsmth!G6</f>
        <v>2</v>
      </c>
      <c r="H6" s="15">
        <f>handsmth!H6</f>
        <v>3</v>
      </c>
      <c r="I6" s="15">
        <f>handsmth!I6</f>
        <v>3</v>
      </c>
      <c r="J6" s="15">
        <f>handsmth!J6</f>
        <v>3</v>
      </c>
      <c r="K6" s="15">
        <f>handsmth!K6</f>
        <v>4</v>
      </c>
      <c r="L6" s="15">
        <f>handsmth!L6</f>
        <v>4</v>
      </c>
      <c r="M6" s="15">
        <f>handsmth!M6</f>
        <v>4</v>
      </c>
      <c r="N6" s="15">
        <f>handsmth!N6</f>
        <v>4</v>
      </c>
    </row>
    <row r="7" spans="1:14" x14ac:dyDescent="0.25">
      <c r="A7" s="15">
        <f>handsmth!A7</f>
        <v>5</v>
      </c>
      <c r="B7" s="15">
        <f>handsmth!B7</f>
        <v>2</v>
      </c>
      <c r="C7" s="15">
        <f>handsmth!C7</f>
        <v>2</v>
      </c>
      <c r="D7" s="15">
        <f>handsmth!D7</f>
        <v>2</v>
      </c>
      <c r="E7" s="15">
        <f>handsmth!E7</f>
        <v>2</v>
      </c>
      <c r="F7" s="15">
        <f>handsmth!F7</f>
        <v>3</v>
      </c>
      <c r="G7" s="15">
        <f>handsmth!G7</f>
        <v>3</v>
      </c>
      <c r="H7" s="15">
        <f>handsmth!H7</f>
        <v>3</v>
      </c>
      <c r="I7" s="15">
        <f>handsmth!I7</f>
        <v>4</v>
      </c>
      <c r="J7" s="15">
        <f>handsmth!J7</f>
        <v>4</v>
      </c>
      <c r="K7" s="15">
        <f>handsmth!K7</f>
        <v>4</v>
      </c>
      <c r="L7" s="15">
        <f>handsmth!L7</f>
        <v>4</v>
      </c>
      <c r="M7" s="15">
        <f>handsmth!M7</f>
        <v>4</v>
      </c>
      <c r="N7" s="15">
        <f>handsmth!N7</f>
        <v>5</v>
      </c>
    </row>
    <row r="8" spans="1:14" x14ac:dyDescent="0.25">
      <c r="A8" s="15">
        <f>handsmth!A8</f>
        <v>6</v>
      </c>
      <c r="B8" s="15">
        <f>handsmth!B8</f>
        <v>3</v>
      </c>
      <c r="C8" s="15">
        <f>handsmth!C8</f>
        <v>3</v>
      </c>
      <c r="D8" s="15">
        <f>handsmth!D8</f>
        <v>3</v>
      </c>
      <c r="E8" s="15">
        <f>handsmth!E8</f>
        <v>3</v>
      </c>
      <c r="F8" s="15">
        <f>handsmth!F8</f>
        <v>3</v>
      </c>
      <c r="G8" s="15">
        <f>handsmth!G8</f>
        <v>3</v>
      </c>
      <c r="H8" s="15">
        <f>handsmth!H8</f>
        <v>4</v>
      </c>
      <c r="I8" s="15">
        <f>handsmth!I8</f>
        <v>4</v>
      </c>
      <c r="J8" s="15">
        <f>handsmth!J8</f>
        <v>4</v>
      </c>
      <c r="K8" s="15">
        <f>handsmth!K8</f>
        <v>5</v>
      </c>
      <c r="L8" s="15">
        <f>handsmth!L8</f>
        <v>5</v>
      </c>
      <c r="M8" s="15">
        <f>handsmth!M8</f>
        <v>5</v>
      </c>
      <c r="N8" s="15">
        <f>handsmth!N8</f>
        <v>6</v>
      </c>
    </row>
    <row r="9" spans="1:14" x14ac:dyDescent="0.25">
      <c r="A9" s="15">
        <f>handsmth!A9</f>
        <v>7</v>
      </c>
      <c r="B9" s="15">
        <f>handsmth!B9</f>
        <v>3</v>
      </c>
      <c r="C9" s="15">
        <f>handsmth!C9</f>
        <v>3</v>
      </c>
      <c r="D9" s="15">
        <f>handsmth!D9</f>
        <v>3</v>
      </c>
      <c r="E9" s="15">
        <f>handsmth!E9</f>
        <v>3</v>
      </c>
      <c r="F9" s="15">
        <f>handsmth!F9</f>
        <v>4</v>
      </c>
      <c r="G9" s="15">
        <f>handsmth!G9</f>
        <v>4</v>
      </c>
      <c r="H9" s="15">
        <f>handsmth!H9</f>
        <v>4</v>
      </c>
      <c r="I9" s="15">
        <f>handsmth!I9</f>
        <v>5</v>
      </c>
      <c r="J9" s="15">
        <f>handsmth!J9</f>
        <v>5</v>
      </c>
      <c r="K9" s="15">
        <f>handsmth!K9</f>
        <v>5</v>
      </c>
      <c r="L9" s="15">
        <f>handsmth!L9</f>
        <v>6</v>
      </c>
      <c r="M9" s="15">
        <f>handsmth!M9</f>
        <v>6</v>
      </c>
      <c r="N9" s="15">
        <f>handsmth!N9</f>
        <v>7</v>
      </c>
    </row>
    <row r="10" spans="1:14" x14ac:dyDescent="0.25">
      <c r="A10" s="15">
        <f>handsmth!A10</f>
        <v>8</v>
      </c>
      <c r="B10" s="15">
        <f>handsmth!B10</f>
        <v>4</v>
      </c>
      <c r="C10" s="15">
        <f>handsmth!C10</f>
        <v>4</v>
      </c>
      <c r="D10" s="15">
        <f>handsmth!D10</f>
        <v>4</v>
      </c>
      <c r="E10" s="15">
        <f>handsmth!E10</f>
        <v>4</v>
      </c>
      <c r="F10" s="15">
        <f>handsmth!F10</f>
        <v>4</v>
      </c>
      <c r="G10" s="15">
        <f>handsmth!G10</f>
        <v>4</v>
      </c>
      <c r="H10" s="15">
        <f>handsmth!H10</f>
        <v>5</v>
      </c>
      <c r="I10" s="15">
        <f>handsmth!I10</f>
        <v>5</v>
      </c>
      <c r="J10" s="15">
        <f>handsmth!J10</f>
        <v>6</v>
      </c>
      <c r="K10" s="15">
        <f>handsmth!K10</f>
        <v>6</v>
      </c>
      <c r="L10" s="15">
        <f>handsmth!L10</f>
        <v>7</v>
      </c>
      <c r="M10" s="15">
        <f>handsmth!M10</f>
        <v>7</v>
      </c>
      <c r="N10" s="15">
        <f>handsmth!N10</f>
        <v>8</v>
      </c>
    </row>
    <row r="11" spans="1:14" x14ac:dyDescent="0.25">
      <c r="A11" s="15">
        <f>handsmth!A11</f>
        <v>9</v>
      </c>
      <c r="B11" s="15">
        <f>handsmth!B11</f>
        <v>4</v>
      </c>
      <c r="C11" s="15">
        <f>handsmth!C11</f>
        <v>4</v>
      </c>
      <c r="D11" s="15">
        <f>handsmth!D11</f>
        <v>4</v>
      </c>
      <c r="E11" s="15">
        <f>handsmth!E11</f>
        <v>4</v>
      </c>
      <c r="F11" s="15">
        <f>handsmth!F11</f>
        <v>5</v>
      </c>
      <c r="G11" s="15">
        <f>handsmth!G11</f>
        <v>5</v>
      </c>
      <c r="H11" s="15">
        <f>handsmth!H11</f>
        <v>5</v>
      </c>
      <c r="I11" s="15">
        <f>handsmth!I11</f>
        <v>6</v>
      </c>
      <c r="J11" s="15">
        <f>handsmth!J11</f>
        <v>7</v>
      </c>
      <c r="K11" s="15">
        <f>handsmth!K11</f>
        <v>7</v>
      </c>
      <c r="L11" s="15">
        <f>handsmth!L11</f>
        <v>7</v>
      </c>
      <c r="M11" s="15">
        <f>handsmth!M11</f>
        <v>8</v>
      </c>
      <c r="N11" s="15">
        <f>handsmth!N11</f>
        <v>9</v>
      </c>
    </row>
    <row r="12" spans="1:14" x14ac:dyDescent="0.25">
      <c r="A12" s="15">
        <f>handsmth!A12</f>
        <v>10</v>
      </c>
      <c r="B12" s="15">
        <f>handsmth!B12</f>
        <v>5</v>
      </c>
      <c r="C12" s="15">
        <f>handsmth!C12</f>
        <v>5</v>
      </c>
      <c r="D12" s="15">
        <f>handsmth!D12</f>
        <v>5</v>
      </c>
      <c r="E12" s="15">
        <f>handsmth!E12</f>
        <v>5</v>
      </c>
      <c r="F12" s="15">
        <f>handsmth!F12</f>
        <v>5</v>
      </c>
      <c r="G12" s="15">
        <f>handsmth!G12</f>
        <v>6</v>
      </c>
      <c r="H12" s="15">
        <f>handsmth!H12</f>
        <v>6</v>
      </c>
      <c r="I12" s="15">
        <f>handsmth!I12</f>
        <v>7</v>
      </c>
      <c r="J12" s="15">
        <f>handsmth!J12</f>
        <v>7</v>
      </c>
      <c r="K12" s="15">
        <f>handsmth!K12</f>
        <v>8</v>
      </c>
      <c r="L12" s="15">
        <f>handsmth!L12</f>
        <v>8</v>
      </c>
      <c r="M12" s="15">
        <f>handsmth!M12</f>
        <v>9</v>
      </c>
      <c r="N12" s="15">
        <f>handsmth!N12</f>
        <v>10</v>
      </c>
    </row>
    <row r="13" spans="1:14" x14ac:dyDescent="0.25">
      <c r="A13" s="15">
        <f>handsmth!A13</f>
        <v>11</v>
      </c>
      <c r="B13" s="15">
        <f>handsmth!B13</f>
        <v>5</v>
      </c>
      <c r="C13" s="15">
        <f>handsmth!C13</f>
        <v>5</v>
      </c>
      <c r="D13" s="15">
        <f>handsmth!D13</f>
        <v>5</v>
      </c>
      <c r="E13" s="15">
        <f>handsmth!E13</f>
        <v>6</v>
      </c>
      <c r="F13" s="15">
        <f>handsmth!F13</f>
        <v>6</v>
      </c>
      <c r="G13" s="15">
        <f>handsmth!G13</f>
        <v>7</v>
      </c>
      <c r="H13" s="15">
        <f>handsmth!H13</f>
        <v>7</v>
      </c>
      <c r="I13" s="15">
        <f>handsmth!I13</f>
        <v>7</v>
      </c>
      <c r="J13" s="15">
        <f>handsmth!J13</f>
        <v>8</v>
      </c>
      <c r="K13" s="15">
        <f>handsmth!K13</f>
        <v>8</v>
      </c>
      <c r="L13" s="15">
        <f>handsmth!L13</f>
        <v>9</v>
      </c>
      <c r="M13" s="15">
        <f>handsmth!M13</f>
        <v>10</v>
      </c>
      <c r="N13" s="15">
        <f>handsmth!N13</f>
        <v>10</v>
      </c>
    </row>
    <row r="14" spans="1:14" x14ac:dyDescent="0.25">
      <c r="A14" s="15">
        <f>handsmth!A14</f>
        <v>12</v>
      </c>
      <c r="B14" s="15">
        <f>handsmth!B14</f>
        <v>6</v>
      </c>
      <c r="C14" s="15">
        <f>handsmth!C14</f>
        <v>6</v>
      </c>
      <c r="D14" s="15">
        <f>handsmth!D14</f>
        <v>6</v>
      </c>
      <c r="E14" s="15">
        <f>handsmth!E14</f>
        <v>6</v>
      </c>
      <c r="F14" s="15">
        <f>handsmth!F14</f>
        <v>7</v>
      </c>
      <c r="G14" s="15">
        <f>handsmth!G14</f>
        <v>7</v>
      </c>
      <c r="H14" s="15">
        <f>handsmth!H14</f>
        <v>7</v>
      </c>
      <c r="I14" s="15">
        <f>handsmth!I14</f>
        <v>8</v>
      </c>
      <c r="J14" s="15">
        <f>handsmth!J14</f>
        <v>8</v>
      </c>
      <c r="K14" s="15">
        <f>handsmth!K14</f>
        <v>9</v>
      </c>
      <c r="L14" s="15">
        <f>handsmth!L14</f>
        <v>10</v>
      </c>
      <c r="M14" s="15">
        <f>handsmth!M14</f>
        <v>10</v>
      </c>
      <c r="N14" s="15">
        <f>handsmth!N14</f>
        <v>11</v>
      </c>
    </row>
    <row r="15" spans="1:14" x14ac:dyDescent="0.25">
      <c r="A15" s="15">
        <f>handsmth!A15</f>
        <v>13</v>
      </c>
      <c r="B15" s="15">
        <f>handsmth!B15</f>
        <v>7</v>
      </c>
      <c r="C15" s="15">
        <f>handsmth!C15</f>
        <v>7</v>
      </c>
      <c r="D15" s="15">
        <f>handsmth!D15</f>
        <v>7</v>
      </c>
      <c r="E15" s="15">
        <f>handsmth!E15</f>
        <v>7</v>
      </c>
      <c r="F15" s="15">
        <f>handsmth!F15</f>
        <v>7</v>
      </c>
      <c r="G15" s="15">
        <f>handsmth!G15</f>
        <v>8</v>
      </c>
      <c r="H15" s="15">
        <f>handsmth!H15</f>
        <v>8</v>
      </c>
      <c r="I15" s="15">
        <f>handsmth!I15</f>
        <v>9</v>
      </c>
      <c r="J15" s="15">
        <f>handsmth!J15</f>
        <v>9</v>
      </c>
      <c r="K15" s="15">
        <f>handsmth!K15</f>
        <v>10</v>
      </c>
      <c r="L15" s="15">
        <f>handsmth!L15</f>
        <v>10</v>
      </c>
      <c r="M15" s="15">
        <f>handsmth!M15</f>
        <v>11</v>
      </c>
      <c r="N15" s="15">
        <f>handsmth!N15</f>
        <v>12</v>
      </c>
    </row>
    <row r="16" spans="1:14" x14ac:dyDescent="0.25">
      <c r="A16" s="15">
        <f>handsmth!A16</f>
        <v>14</v>
      </c>
      <c r="B16" s="15">
        <f>handsmth!B16</f>
        <v>7</v>
      </c>
      <c r="C16" s="15">
        <f>handsmth!C16</f>
        <v>7</v>
      </c>
      <c r="D16" s="15">
        <f>handsmth!D16</f>
        <v>7</v>
      </c>
      <c r="E16" s="15">
        <f>handsmth!E16</f>
        <v>7</v>
      </c>
      <c r="F16" s="15">
        <f>handsmth!F16</f>
        <v>8</v>
      </c>
      <c r="G16" s="15">
        <f>handsmth!G16</f>
        <v>8</v>
      </c>
      <c r="H16" s="15">
        <f>handsmth!H16</f>
        <v>9</v>
      </c>
      <c r="I16" s="15">
        <f>handsmth!I16</f>
        <v>9</v>
      </c>
      <c r="J16" s="15">
        <f>handsmth!J16</f>
        <v>10</v>
      </c>
      <c r="K16" s="15">
        <f>handsmth!K16</f>
        <v>10</v>
      </c>
      <c r="L16" s="15">
        <f>handsmth!L16</f>
        <v>11</v>
      </c>
      <c r="M16" s="15">
        <f>handsmth!M16</f>
        <v>12</v>
      </c>
      <c r="N16" s="15">
        <f>handsmth!N16</f>
        <v>13</v>
      </c>
    </row>
    <row r="17" spans="1:14" x14ac:dyDescent="0.25">
      <c r="A17" s="15">
        <f>handsmth!A17</f>
        <v>15</v>
      </c>
      <c r="B17" s="15">
        <f>handsmth!B17</f>
        <v>8</v>
      </c>
      <c r="C17" s="15">
        <f>handsmth!C17</f>
        <v>8</v>
      </c>
      <c r="D17" s="15">
        <f>handsmth!D17</f>
        <v>8</v>
      </c>
      <c r="E17" s="15">
        <f>handsmth!E17</f>
        <v>8</v>
      </c>
      <c r="F17" s="15">
        <f>handsmth!F17</f>
        <v>8</v>
      </c>
      <c r="G17" s="15">
        <f>handsmth!G17</f>
        <v>9</v>
      </c>
      <c r="H17" s="15">
        <f>handsmth!H17</f>
        <v>9</v>
      </c>
      <c r="I17" s="15">
        <f>handsmth!I17</f>
        <v>10</v>
      </c>
      <c r="J17" s="15">
        <f>handsmth!J17</f>
        <v>10</v>
      </c>
      <c r="K17" s="15">
        <f>handsmth!K17</f>
        <v>11</v>
      </c>
      <c r="L17" s="15">
        <f>handsmth!L17</f>
        <v>12</v>
      </c>
      <c r="M17" s="15">
        <f>handsmth!M17</f>
        <v>13</v>
      </c>
      <c r="N17" s="15">
        <f>handsmth!N17</f>
        <v>13</v>
      </c>
    </row>
    <row r="18" spans="1:14" x14ac:dyDescent="0.25">
      <c r="A18" s="15">
        <f>handsmth!A18</f>
        <v>16</v>
      </c>
      <c r="B18" s="15">
        <f>handsmth!B18</f>
        <v>9</v>
      </c>
      <c r="C18" s="15">
        <f>handsmth!C18</f>
        <v>9</v>
      </c>
      <c r="D18" s="15">
        <f>handsmth!D18</f>
        <v>9</v>
      </c>
      <c r="E18" s="15">
        <f>handsmth!E18</f>
        <v>9</v>
      </c>
      <c r="F18" s="15">
        <f>handsmth!F18</f>
        <v>9</v>
      </c>
      <c r="G18" s="15">
        <f>handsmth!G18</f>
        <v>10</v>
      </c>
      <c r="H18" s="15">
        <f>handsmth!H18</f>
        <v>10</v>
      </c>
      <c r="I18" s="15">
        <f>handsmth!I18</f>
        <v>11</v>
      </c>
      <c r="J18" s="15">
        <f>handsmth!J18</f>
        <v>11</v>
      </c>
      <c r="K18" s="15">
        <f>handsmth!K18</f>
        <v>12</v>
      </c>
      <c r="L18" s="15">
        <f>handsmth!L18</f>
        <v>12</v>
      </c>
      <c r="M18" s="15">
        <f>handsmth!M18</f>
        <v>13</v>
      </c>
      <c r="N18" s="15">
        <f>handsmth!N18</f>
        <v>14</v>
      </c>
    </row>
    <row r="19" spans="1:14" x14ac:dyDescent="0.25">
      <c r="A19" s="15">
        <f>handsmth!A19</f>
        <v>17</v>
      </c>
      <c r="B19" s="15">
        <f>handsmth!B19</f>
        <v>10</v>
      </c>
      <c r="C19" s="15">
        <f>handsmth!C19</f>
        <v>10</v>
      </c>
      <c r="D19" s="15">
        <f>handsmth!D19</f>
        <v>10</v>
      </c>
      <c r="E19" s="15">
        <f>handsmth!E19</f>
        <v>10</v>
      </c>
      <c r="F19" s="15">
        <f>handsmth!F19</f>
        <v>10</v>
      </c>
      <c r="G19" s="15">
        <f>handsmth!G19</f>
        <v>10</v>
      </c>
      <c r="H19" s="15">
        <f>handsmth!H19</f>
        <v>11</v>
      </c>
      <c r="I19" s="15">
        <f>handsmth!I19</f>
        <v>12</v>
      </c>
      <c r="J19" s="15">
        <f>handsmth!J19</f>
        <v>12</v>
      </c>
      <c r="K19" s="15">
        <f>handsmth!K19</f>
        <v>13</v>
      </c>
      <c r="L19" s="15">
        <f>handsmth!L19</f>
        <v>13</v>
      </c>
      <c r="M19" s="15">
        <f>handsmth!M19</f>
        <v>14</v>
      </c>
      <c r="N19" s="15">
        <f>handsmth!N19</f>
        <v>15</v>
      </c>
    </row>
    <row r="20" spans="1:14" x14ac:dyDescent="0.25">
      <c r="A20" s="15">
        <f>handsmth!A20</f>
        <v>18</v>
      </c>
      <c r="B20" s="15">
        <f>handsmth!B20</f>
        <v>10</v>
      </c>
      <c r="C20" s="15">
        <f>handsmth!C20</f>
        <v>10</v>
      </c>
      <c r="D20" s="15">
        <f>handsmth!D20</f>
        <v>10</v>
      </c>
      <c r="E20" s="15">
        <f>handsmth!E20</f>
        <v>10</v>
      </c>
      <c r="F20" s="15">
        <f>handsmth!F20</f>
        <v>10</v>
      </c>
      <c r="G20" s="15">
        <f>handsmth!G20</f>
        <v>11</v>
      </c>
      <c r="H20" s="15">
        <f>handsmth!H20</f>
        <v>12</v>
      </c>
      <c r="I20" s="15">
        <f>handsmth!I20</f>
        <v>13</v>
      </c>
      <c r="J20" s="15">
        <f>handsmth!J20</f>
        <v>13</v>
      </c>
      <c r="K20" s="15">
        <f>handsmth!K20</f>
        <v>13</v>
      </c>
      <c r="L20" s="15">
        <f>handsmth!L20</f>
        <v>14</v>
      </c>
      <c r="M20" s="15">
        <f>handsmth!M20</f>
        <v>15</v>
      </c>
      <c r="N20" s="15">
        <f>handsmth!N20</f>
        <v>16</v>
      </c>
    </row>
    <row r="21" spans="1:14" x14ac:dyDescent="0.25">
      <c r="A21" s="15">
        <f>handsmth!A21</f>
        <v>19</v>
      </c>
      <c r="B21" s="15">
        <f>handsmth!B21</f>
        <v>11</v>
      </c>
      <c r="C21" s="15">
        <f>handsmth!C21</f>
        <v>11</v>
      </c>
      <c r="D21" s="15">
        <f>handsmth!D21</f>
        <v>11</v>
      </c>
      <c r="E21" s="15">
        <f>handsmth!E21</f>
        <v>11</v>
      </c>
      <c r="F21" s="15">
        <f>handsmth!F21</f>
        <v>11</v>
      </c>
      <c r="G21" s="15">
        <f>handsmth!G21</f>
        <v>12</v>
      </c>
      <c r="H21" s="15">
        <f>handsmth!H21</f>
        <v>13</v>
      </c>
      <c r="I21" s="15">
        <f>handsmth!I21</f>
        <v>13</v>
      </c>
      <c r="J21" s="15">
        <f>handsmth!J21</f>
        <v>13</v>
      </c>
      <c r="K21" s="15">
        <f>handsmth!K21</f>
        <v>14</v>
      </c>
      <c r="L21" s="15">
        <f>handsmth!L21</f>
        <v>15</v>
      </c>
      <c r="M21" s="15">
        <f>handsmth!M21</f>
        <v>16</v>
      </c>
      <c r="N21" s="15">
        <f>handsmth!N21</f>
        <v>16</v>
      </c>
    </row>
    <row r="22" spans="1:14" x14ac:dyDescent="0.25">
      <c r="A22" s="15">
        <f>handsmth!A22</f>
        <v>20</v>
      </c>
      <c r="B22" s="15">
        <f>handsmth!B22</f>
        <v>12</v>
      </c>
      <c r="C22" s="15">
        <f>handsmth!C22</f>
        <v>12</v>
      </c>
      <c r="D22" s="15">
        <f>handsmth!D22</f>
        <v>12</v>
      </c>
      <c r="E22" s="15">
        <f>handsmth!E22</f>
        <v>12</v>
      </c>
      <c r="F22" s="15">
        <f>handsmth!F22</f>
        <v>12</v>
      </c>
      <c r="G22" s="15">
        <f>handsmth!G22</f>
        <v>13</v>
      </c>
      <c r="H22" s="15">
        <f>handsmth!H22</f>
        <v>13</v>
      </c>
      <c r="I22" s="15">
        <f>handsmth!I22</f>
        <v>14</v>
      </c>
      <c r="J22" s="15">
        <f>handsmth!J22</f>
        <v>14</v>
      </c>
      <c r="K22" s="15">
        <f>handsmth!K22</f>
        <v>15</v>
      </c>
      <c r="L22" s="15">
        <f>handsmth!L22</f>
        <v>15</v>
      </c>
      <c r="M22" s="15">
        <f>handsmth!M22</f>
        <v>16</v>
      </c>
      <c r="N22" s="15">
        <f>handsmth!N22</f>
        <v>17</v>
      </c>
    </row>
    <row r="23" spans="1:14" x14ac:dyDescent="0.25">
      <c r="A23" s="15">
        <f>handsmth!A23</f>
        <v>21</v>
      </c>
      <c r="B23" s="15">
        <f>handsmth!B23</f>
        <v>13</v>
      </c>
      <c r="C23" s="15">
        <f>handsmth!C23</f>
        <v>13</v>
      </c>
      <c r="D23" s="15">
        <f>handsmth!D23</f>
        <v>13</v>
      </c>
      <c r="E23" s="15">
        <f>handsmth!E23</f>
        <v>13</v>
      </c>
      <c r="F23" s="15">
        <f>handsmth!F23</f>
        <v>13</v>
      </c>
      <c r="G23" s="15">
        <f>handsmth!G23</f>
        <v>14</v>
      </c>
      <c r="H23" s="15">
        <f>handsmth!H23</f>
        <v>14</v>
      </c>
      <c r="I23" s="15">
        <f>handsmth!I23</f>
        <v>15</v>
      </c>
      <c r="J23" s="15">
        <f>handsmth!J23</f>
        <v>15</v>
      </c>
      <c r="K23" s="15">
        <f>handsmth!K23</f>
        <v>16</v>
      </c>
      <c r="L23" s="15">
        <f>handsmth!L23</f>
        <v>16</v>
      </c>
      <c r="M23" s="15">
        <f>handsmth!M23</f>
        <v>17</v>
      </c>
      <c r="N23" s="15">
        <f>handsmth!N23</f>
        <v>17</v>
      </c>
    </row>
    <row r="24" spans="1:14" x14ac:dyDescent="0.25">
      <c r="A24" s="15">
        <f>handsmth!A24</f>
        <v>22</v>
      </c>
      <c r="B24" s="15">
        <f>handsmth!B24</f>
        <v>14</v>
      </c>
      <c r="C24" s="15">
        <f>handsmth!C24</f>
        <v>14</v>
      </c>
      <c r="D24" s="15">
        <f>handsmth!D24</f>
        <v>14</v>
      </c>
      <c r="E24" s="15">
        <f>handsmth!E24</f>
        <v>14</v>
      </c>
      <c r="F24" s="15">
        <f>handsmth!F24</f>
        <v>14</v>
      </c>
      <c r="G24" s="15">
        <f>handsmth!G24</f>
        <v>15</v>
      </c>
      <c r="H24" s="15">
        <f>handsmth!H24</f>
        <v>15</v>
      </c>
      <c r="I24" s="15">
        <f>handsmth!I24</f>
        <v>16</v>
      </c>
      <c r="J24" s="15">
        <f>handsmth!J24</f>
        <v>16</v>
      </c>
      <c r="K24" s="15">
        <f>handsmth!K24</f>
        <v>17</v>
      </c>
      <c r="L24" s="15">
        <f>handsmth!L24</f>
        <v>17</v>
      </c>
      <c r="M24" s="15">
        <f>handsmth!M24</f>
        <v>18</v>
      </c>
      <c r="N24" s="15">
        <f>handsmth!N24</f>
        <v>18</v>
      </c>
    </row>
    <row r="25" spans="1:14" x14ac:dyDescent="0.25">
      <c r="A25" s="15">
        <f>handsmth!A25</f>
        <v>23</v>
      </c>
      <c r="B25" s="15">
        <f>handsmth!B25</f>
        <v>15</v>
      </c>
      <c r="C25" s="15">
        <f>handsmth!C25</f>
        <v>15</v>
      </c>
      <c r="D25" s="15">
        <f>handsmth!D25</f>
        <v>15</v>
      </c>
      <c r="E25" s="15">
        <f>handsmth!E25</f>
        <v>15</v>
      </c>
      <c r="F25" s="15">
        <f>handsmth!F25</f>
        <v>15</v>
      </c>
      <c r="G25" s="15">
        <f>handsmth!G25</f>
        <v>16</v>
      </c>
      <c r="H25" s="15">
        <f>handsmth!H25</f>
        <v>16</v>
      </c>
      <c r="I25" s="15">
        <f>handsmth!I25</f>
        <v>16</v>
      </c>
      <c r="J25" s="15">
        <f>handsmth!J25</f>
        <v>17</v>
      </c>
      <c r="K25" s="15">
        <f>handsmth!K25</f>
        <v>17</v>
      </c>
      <c r="L25" s="15">
        <f>handsmth!L25</f>
        <v>18</v>
      </c>
      <c r="M25" s="15">
        <f>handsmth!M25</f>
        <v>18</v>
      </c>
      <c r="N25" s="15">
        <f>handsmth!N25</f>
        <v>18</v>
      </c>
    </row>
    <row r="26" spans="1:14" x14ac:dyDescent="0.25">
      <c r="A26" s="15">
        <f>handsmth!A26</f>
        <v>24</v>
      </c>
      <c r="B26" s="15">
        <f>handsmth!B26</f>
        <v>16</v>
      </c>
      <c r="C26" s="15">
        <f>handsmth!C26</f>
        <v>16</v>
      </c>
      <c r="D26" s="15">
        <f>handsmth!D26</f>
        <v>16</v>
      </c>
      <c r="E26" s="15">
        <f>handsmth!E26</f>
        <v>16</v>
      </c>
      <c r="F26" s="15">
        <f>handsmth!F26</f>
        <v>17</v>
      </c>
      <c r="G26" s="15">
        <f>handsmth!G26</f>
        <v>17</v>
      </c>
      <c r="H26" s="15">
        <f>handsmth!H26</f>
        <v>17</v>
      </c>
      <c r="I26" s="15">
        <f>handsmth!I26</f>
        <v>17</v>
      </c>
      <c r="J26" s="15">
        <f>handsmth!J26</f>
        <v>18</v>
      </c>
      <c r="K26" s="15">
        <f>handsmth!K26</f>
        <v>18</v>
      </c>
      <c r="L26" s="15">
        <f>handsmth!L26</f>
        <v>18</v>
      </c>
      <c r="M26" s="15">
        <f>handsmth!M26</f>
        <v>19</v>
      </c>
      <c r="N26" s="15">
        <f>handsmth!N26</f>
        <v>19</v>
      </c>
    </row>
    <row r="27" spans="1:14" x14ac:dyDescent="0.25">
      <c r="A27" s="15">
        <f>handsmth!A27</f>
        <v>25</v>
      </c>
      <c r="B27" s="15">
        <f>handsmth!B27</f>
        <v>17</v>
      </c>
      <c r="C27" s="15">
        <f>handsmth!C27</f>
        <v>17</v>
      </c>
      <c r="D27" s="15">
        <f>handsmth!D27</f>
        <v>17</v>
      </c>
      <c r="E27" s="15">
        <f>handsmth!E27</f>
        <v>17</v>
      </c>
      <c r="F27" s="15">
        <f>handsmth!F27</f>
        <v>18</v>
      </c>
      <c r="G27" s="15">
        <f>handsmth!G27</f>
        <v>18</v>
      </c>
      <c r="H27" s="15">
        <f>handsmth!H27</f>
        <v>18</v>
      </c>
      <c r="I27" s="15">
        <f>handsmth!I27</f>
        <v>18</v>
      </c>
      <c r="J27" s="15">
        <f>handsmth!J27</f>
        <v>18</v>
      </c>
      <c r="K27" s="15">
        <f>handsmth!K27</f>
        <v>19</v>
      </c>
      <c r="L27" s="15">
        <f>handsmth!L27</f>
        <v>19</v>
      </c>
      <c r="M27" s="15">
        <f>handsmth!M27</f>
        <v>19</v>
      </c>
      <c r="N27" s="15">
        <f>handsmth!N27</f>
        <v>19</v>
      </c>
    </row>
    <row r="28" spans="1:14" x14ac:dyDescent="0.25">
      <c r="A28" s="15">
        <f>handsmth!A28</f>
        <v>26</v>
      </c>
      <c r="B28" s="15">
        <f>handsmth!B28</f>
        <v>19</v>
      </c>
      <c r="C28" s="15">
        <f>handsmth!C28</f>
        <v>19</v>
      </c>
      <c r="D28" s="15">
        <f>handsmth!D28</f>
        <v>19</v>
      </c>
      <c r="E28" s="15">
        <f>handsmth!E28</f>
        <v>19</v>
      </c>
      <c r="F28" s="15">
        <f>handsmth!F28</f>
        <v>19</v>
      </c>
      <c r="G28" s="15">
        <f>handsmth!G28</f>
        <v>19</v>
      </c>
      <c r="H28" s="15">
        <f>handsmth!H28</f>
        <v>19</v>
      </c>
      <c r="I28" s="15">
        <f>handsmth!I28</f>
        <v>19</v>
      </c>
      <c r="J28" s="15">
        <f>handsmth!J28</f>
        <v>19</v>
      </c>
      <c r="K28" s="15">
        <f>handsmth!K28</f>
        <v>19</v>
      </c>
      <c r="L28" s="15">
        <f>handsmth!L28</f>
        <v>19</v>
      </c>
      <c r="M28" s="15">
        <f>handsmth!M28</f>
        <v>19</v>
      </c>
      <c r="N28" s="15">
        <f>handsmth!N28</f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BBED-F85F-4037-BD02-B6C2E0131358}">
  <dimension ref="A1:N30"/>
  <sheetViews>
    <sheetView zoomScale="85" zoomScaleNormal="85" workbookViewId="0">
      <selection activeCell="V13" sqref="V13"/>
    </sheetView>
  </sheetViews>
  <sheetFormatPr defaultRowHeight="12" x14ac:dyDescent="0.25"/>
  <cols>
    <col min="1" max="1" width="6.85546875" style="15" bestFit="1" customWidth="1"/>
    <col min="2" max="10" width="4" style="15" bestFit="1" customWidth="1"/>
    <col min="11" max="14" width="5" style="15" bestFit="1" customWidth="1"/>
  </cols>
  <sheetData>
    <row r="1" spans="1:14" x14ac:dyDescent="0.25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  <c r="G1" s="15" t="s">
        <v>106</v>
      </c>
      <c r="H1" s="15" t="s">
        <v>107</v>
      </c>
      <c r="I1" s="15" t="s">
        <v>108</v>
      </c>
      <c r="J1" s="15" t="s">
        <v>109</v>
      </c>
      <c r="K1" s="15" t="s">
        <v>110</v>
      </c>
      <c r="L1" s="15" t="s">
        <v>111</v>
      </c>
      <c r="M1" s="15" t="s">
        <v>112</v>
      </c>
      <c r="N1" s="15" t="s">
        <v>113</v>
      </c>
    </row>
    <row r="2" spans="1:14" x14ac:dyDescent="0.25">
      <c r="A2" s="15">
        <v>0</v>
      </c>
      <c r="B2"/>
      <c r="C2"/>
      <c r="D2"/>
      <c r="E2"/>
      <c r="F2"/>
      <c r="G2"/>
      <c r="H2"/>
      <c r="I2"/>
      <c r="J2"/>
      <c r="K2"/>
      <c r="L2"/>
      <c r="M2"/>
      <c r="N2"/>
    </row>
    <row r="3" spans="1:14" x14ac:dyDescent="0.25">
      <c r="A3" s="15">
        <v>1</v>
      </c>
      <c r="B3"/>
      <c r="C3"/>
      <c r="D3" s="18">
        <v>1</v>
      </c>
      <c r="E3"/>
      <c r="F3" s="18">
        <v>1</v>
      </c>
      <c r="G3"/>
      <c r="H3"/>
      <c r="I3" s="18">
        <v>2</v>
      </c>
      <c r="J3"/>
      <c r="K3"/>
      <c r="L3"/>
      <c r="M3"/>
      <c r="N3"/>
    </row>
    <row r="4" spans="1:14" x14ac:dyDescent="0.25">
      <c r="A4" s="15">
        <v>2</v>
      </c>
      <c r="B4"/>
      <c r="C4"/>
      <c r="D4"/>
      <c r="E4"/>
      <c r="F4"/>
      <c r="G4" s="18">
        <v>1</v>
      </c>
      <c r="H4"/>
      <c r="I4" s="18">
        <v>1</v>
      </c>
      <c r="J4"/>
      <c r="K4"/>
      <c r="L4"/>
      <c r="M4"/>
      <c r="N4" s="18">
        <v>1</v>
      </c>
    </row>
    <row r="5" spans="1:14" x14ac:dyDescent="0.25">
      <c r="A5" s="15">
        <v>3</v>
      </c>
      <c r="B5"/>
      <c r="C5"/>
      <c r="D5"/>
      <c r="E5"/>
      <c r="F5"/>
      <c r="G5"/>
      <c r="H5"/>
      <c r="I5" s="18">
        <v>1</v>
      </c>
      <c r="J5"/>
      <c r="K5"/>
      <c r="L5" s="18">
        <v>1</v>
      </c>
      <c r="M5"/>
      <c r="N5"/>
    </row>
    <row r="6" spans="1:14" x14ac:dyDescent="0.25">
      <c r="A6" s="15">
        <v>4</v>
      </c>
      <c r="B6"/>
      <c r="C6"/>
      <c r="D6"/>
      <c r="E6"/>
      <c r="F6"/>
      <c r="G6"/>
      <c r="H6" s="18">
        <v>1</v>
      </c>
      <c r="I6" s="18">
        <v>1</v>
      </c>
      <c r="J6" s="18">
        <v>3</v>
      </c>
      <c r="K6" s="18">
        <v>1</v>
      </c>
      <c r="L6" s="18">
        <v>1</v>
      </c>
      <c r="M6"/>
      <c r="N6" s="18">
        <v>1</v>
      </c>
    </row>
    <row r="7" spans="1:14" x14ac:dyDescent="0.25">
      <c r="A7" s="15">
        <v>5</v>
      </c>
      <c r="B7"/>
      <c r="C7"/>
      <c r="D7" s="18">
        <v>1</v>
      </c>
      <c r="E7"/>
      <c r="F7" s="18">
        <v>1</v>
      </c>
      <c r="G7" s="18">
        <v>1</v>
      </c>
      <c r="H7" s="18">
        <v>1</v>
      </c>
      <c r="I7"/>
      <c r="J7"/>
      <c r="K7" s="18">
        <v>3</v>
      </c>
      <c r="L7"/>
      <c r="M7" s="18">
        <v>2</v>
      </c>
      <c r="N7"/>
    </row>
    <row r="8" spans="1:14" x14ac:dyDescent="0.25">
      <c r="A8" s="15">
        <v>6</v>
      </c>
      <c r="B8" s="18">
        <v>1</v>
      </c>
      <c r="D8" s="18">
        <v>1</v>
      </c>
      <c r="E8"/>
      <c r="F8" s="18">
        <v>4</v>
      </c>
      <c r="G8" s="18">
        <v>2</v>
      </c>
      <c r="H8" s="18">
        <v>1</v>
      </c>
      <c r="I8" s="18">
        <v>1</v>
      </c>
      <c r="J8" s="18">
        <v>4</v>
      </c>
      <c r="K8" s="18">
        <v>1</v>
      </c>
      <c r="L8" s="18">
        <v>3</v>
      </c>
      <c r="M8" s="18">
        <v>8</v>
      </c>
      <c r="N8" s="18">
        <v>10</v>
      </c>
    </row>
    <row r="9" spans="1:14" x14ac:dyDescent="0.25">
      <c r="A9" s="15">
        <v>7</v>
      </c>
      <c r="B9" s="18">
        <v>2</v>
      </c>
      <c r="C9" s="18">
        <v>1</v>
      </c>
      <c r="D9"/>
      <c r="E9" s="18">
        <v>2</v>
      </c>
      <c r="F9"/>
      <c r="G9" s="18">
        <v>4</v>
      </c>
      <c r="H9" s="18">
        <v>2</v>
      </c>
      <c r="I9" s="18">
        <v>9</v>
      </c>
      <c r="J9" s="18">
        <v>6</v>
      </c>
      <c r="K9" s="18">
        <v>3</v>
      </c>
      <c r="L9" s="18">
        <v>11</v>
      </c>
      <c r="M9" s="18">
        <v>10</v>
      </c>
      <c r="N9" s="18">
        <v>12</v>
      </c>
    </row>
    <row r="10" spans="1:14" x14ac:dyDescent="0.25">
      <c r="A10" s="15">
        <v>8</v>
      </c>
      <c r="B10" s="18">
        <v>3</v>
      </c>
      <c r="C10"/>
      <c r="D10" s="18">
        <v>2</v>
      </c>
      <c r="E10"/>
      <c r="F10" s="18">
        <v>2</v>
      </c>
      <c r="G10" s="18">
        <v>3</v>
      </c>
      <c r="H10" s="18">
        <v>2</v>
      </c>
      <c r="I10" s="18">
        <v>6</v>
      </c>
      <c r="J10" s="18">
        <v>6</v>
      </c>
      <c r="K10" s="18">
        <v>6</v>
      </c>
      <c r="L10" s="18">
        <v>7</v>
      </c>
      <c r="M10" s="18">
        <v>13</v>
      </c>
      <c r="N10" s="18">
        <v>9</v>
      </c>
    </row>
    <row r="11" spans="1:14" x14ac:dyDescent="0.25">
      <c r="A11" s="15">
        <v>9</v>
      </c>
      <c r="B11" s="18">
        <v>2</v>
      </c>
      <c r="C11" s="18">
        <v>3</v>
      </c>
      <c r="D11" s="18">
        <v>1</v>
      </c>
      <c r="E11" s="18">
        <v>2</v>
      </c>
      <c r="F11" s="18">
        <v>1</v>
      </c>
      <c r="G11" s="18">
        <v>3</v>
      </c>
      <c r="H11" s="18">
        <v>8</v>
      </c>
      <c r="I11" s="18">
        <v>8</v>
      </c>
      <c r="J11" s="18">
        <v>9</v>
      </c>
      <c r="K11" s="18">
        <v>6</v>
      </c>
      <c r="L11" s="18">
        <v>7</v>
      </c>
      <c r="M11" s="18">
        <v>8</v>
      </c>
      <c r="N11" s="18">
        <v>8</v>
      </c>
    </row>
    <row r="12" spans="1:14" x14ac:dyDescent="0.25">
      <c r="A12" s="15">
        <v>10</v>
      </c>
      <c r="B12" s="18">
        <v>1</v>
      </c>
      <c r="C12" s="18">
        <v>8</v>
      </c>
      <c r="D12" s="18"/>
      <c r="E12" s="18">
        <v>4</v>
      </c>
      <c r="F12" s="18">
        <v>3</v>
      </c>
      <c r="G12" s="18">
        <v>7</v>
      </c>
      <c r="H12" s="18">
        <v>8</v>
      </c>
      <c r="I12" s="18">
        <v>11</v>
      </c>
      <c r="J12" s="18">
        <v>11</v>
      </c>
      <c r="K12" s="18">
        <v>7</v>
      </c>
      <c r="L12" s="18">
        <v>5</v>
      </c>
      <c r="M12" s="18">
        <v>9</v>
      </c>
      <c r="N12" s="18">
        <v>8</v>
      </c>
    </row>
    <row r="13" spans="1:14" x14ac:dyDescent="0.25">
      <c r="A13" s="15">
        <v>11</v>
      </c>
      <c r="B13" s="18">
        <v>10</v>
      </c>
      <c r="C13" s="18">
        <v>7</v>
      </c>
      <c r="D13" s="18">
        <v>4</v>
      </c>
      <c r="E13" s="18">
        <v>6</v>
      </c>
      <c r="F13" s="18">
        <v>3</v>
      </c>
      <c r="G13" s="18">
        <v>9</v>
      </c>
      <c r="H13" s="18">
        <v>2</v>
      </c>
      <c r="I13" s="18">
        <v>12</v>
      </c>
      <c r="J13" s="18">
        <v>13</v>
      </c>
      <c r="K13" s="18">
        <v>6</v>
      </c>
      <c r="L13" s="18">
        <v>7</v>
      </c>
      <c r="M13" s="18">
        <v>5</v>
      </c>
      <c r="N13" s="18">
        <v>4</v>
      </c>
    </row>
    <row r="14" spans="1:14" x14ac:dyDescent="0.25">
      <c r="A14" s="15">
        <v>12</v>
      </c>
      <c r="B14" s="18">
        <v>4</v>
      </c>
      <c r="C14" s="18">
        <v>2</v>
      </c>
      <c r="D14" s="18">
        <v>8</v>
      </c>
      <c r="E14" s="18">
        <v>2</v>
      </c>
      <c r="F14" s="18">
        <v>4</v>
      </c>
      <c r="G14" s="18">
        <v>6</v>
      </c>
      <c r="H14" s="18">
        <v>10</v>
      </c>
      <c r="I14" s="18">
        <v>11</v>
      </c>
      <c r="J14" s="18">
        <v>8</v>
      </c>
      <c r="K14" s="18">
        <v>10</v>
      </c>
      <c r="L14" s="18">
        <v>5</v>
      </c>
      <c r="M14" s="18">
        <v>4</v>
      </c>
      <c r="N14" s="18">
        <v>11</v>
      </c>
    </row>
    <row r="15" spans="1:14" x14ac:dyDescent="0.25">
      <c r="A15" s="15">
        <v>13</v>
      </c>
      <c r="B15" s="18">
        <v>4</v>
      </c>
      <c r="C15" s="18">
        <v>6</v>
      </c>
      <c r="D15" s="18">
        <v>7</v>
      </c>
      <c r="E15" s="18">
        <v>8</v>
      </c>
      <c r="F15" s="18">
        <v>7</v>
      </c>
      <c r="G15" s="18">
        <v>6</v>
      </c>
      <c r="H15" s="18">
        <v>9</v>
      </c>
      <c r="I15" s="18">
        <v>11</v>
      </c>
      <c r="J15" s="18">
        <v>14</v>
      </c>
      <c r="K15" s="18">
        <v>9</v>
      </c>
      <c r="L15" s="18">
        <v>5</v>
      </c>
      <c r="M15" s="18">
        <v>5</v>
      </c>
      <c r="N15" s="18">
        <v>5</v>
      </c>
    </row>
    <row r="16" spans="1:14" x14ac:dyDescent="0.25">
      <c r="A16" s="15">
        <v>14</v>
      </c>
      <c r="B16" s="18">
        <v>17</v>
      </c>
      <c r="C16" s="18">
        <v>10</v>
      </c>
      <c r="D16" s="18">
        <v>16</v>
      </c>
      <c r="E16" s="18">
        <v>7</v>
      </c>
      <c r="F16" s="18">
        <v>9</v>
      </c>
      <c r="G16" s="18">
        <v>9</v>
      </c>
      <c r="H16" s="18">
        <v>13</v>
      </c>
      <c r="I16" s="18">
        <v>8</v>
      </c>
      <c r="J16" s="18">
        <v>10</v>
      </c>
      <c r="K16" s="18">
        <v>6</v>
      </c>
      <c r="L16" s="18">
        <v>5</v>
      </c>
      <c r="M16" s="18">
        <v>6</v>
      </c>
      <c r="N16" s="18">
        <v>9</v>
      </c>
    </row>
    <row r="17" spans="1:14" x14ac:dyDescent="0.25">
      <c r="A17" s="15">
        <v>15</v>
      </c>
      <c r="B17" s="18">
        <v>13</v>
      </c>
      <c r="C17" s="18">
        <v>11</v>
      </c>
      <c r="D17" s="18">
        <v>16</v>
      </c>
      <c r="E17" s="18">
        <v>14</v>
      </c>
      <c r="F17" s="18">
        <v>11</v>
      </c>
      <c r="G17" s="18">
        <v>10</v>
      </c>
      <c r="H17" s="18">
        <v>20</v>
      </c>
      <c r="I17" s="18">
        <v>17</v>
      </c>
      <c r="J17" s="18">
        <v>15</v>
      </c>
      <c r="K17" s="18">
        <v>7</v>
      </c>
      <c r="L17" s="18">
        <v>9</v>
      </c>
      <c r="M17" s="18">
        <v>6</v>
      </c>
      <c r="N17" s="18">
        <v>2</v>
      </c>
    </row>
    <row r="18" spans="1:14" x14ac:dyDescent="0.25">
      <c r="A18" s="15">
        <v>16</v>
      </c>
      <c r="B18" s="18">
        <v>17</v>
      </c>
      <c r="C18" s="18">
        <v>17</v>
      </c>
      <c r="D18" s="18">
        <v>12</v>
      </c>
      <c r="E18" s="18">
        <v>8</v>
      </c>
      <c r="F18" s="18">
        <v>15</v>
      </c>
      <c r="G18" s="18">
        <v>10</v>
      </c>
      <c r="H18" s="18">
        <v>18</v>
      </c>
      <c r="I18" s="18">
        <v>13</v>
      </c>
      <c r="J18" s="18">
        <v>19</v>
      </c>
      <c r="K18" s="18">
        <v>6</v>
      </c>
      <c r="L18" s="18">
        <v>9</v>
      </c>
      <c r="M18" s="18">
        <v>10</v>
      </c>
      <c r="N18" s="18">
        <v>5</v>
      </c>
    </row>
    <row r="19" spans="1:14" x14ac:dyDescent="0.25">
      <c r="A19" s="15">
        <v>17</v>
      </c>
      <c r="B19" s="18">
        <v>22</v>
      </c>
      <c r="C19" s="18">
        <v>19</v>
      </c>
      <c r="D19" s="18">
        <v>21</v>
      </c>
      <c r="E19" s="18">
        <v>23</v>
      </c>
      <c r="F19" s="18">
        <v>15</v>
      </c>
      <c r="G19" s="18">
        <v>18</v>
      </c>
      <c r="H19" s="18">
        <v>15</v>
      </c>
      <c r="I19" s="18">
        <v>18</v>
      </c>
      <c r="J19" s="18">
        <v>13</v>
      </c>
      <c r="K19" s="18">
        <v>6</v>
      </c>
      <c r="L19" s="18">
        <v>5</v>
      </c>
      <c r="M19" s="18">
        <v>3</v>
      </c>
      <c r="N19" s="18">
        <v>7</v>
      </c>
    </row>
    <row r="20" spans="1:14" x14ac:dyDescent="0.25">
      <c r="A20" s="15">
        <v>18</v>
      </c>
      <c r="B20" s="18">
        <v>20</v>
      </c>
      <c r="C20" s="18">
        <v>11</v>
      </c>
      <c r="D20" s="18">
        <v>21</v>
      </c>
      <c r="E20" s="18">
        <v>24</v>
      </c>
      <c r="F20" s="18">
        <v>22</v>
      </c>
      <c r="G20" s="18">
        <v>20</v>
      </c>
      <c r="H20" s="18">
        <v>12</v>
      </c>
      <c r="I20" s="18">
        <v>16</v>
      </c>
      <c r="J20" s="18">
        <v>22</v>
      </c>
      <c r="K20" s="18">
        <v>8</v>
      </c>
      <c r="L20" s="18">
        <v>7</v>
      </c>
      <c r="M20" s="18">
        <v>4</v>
      </c>
      <c r="N20"/>
    </row>
    <row r="21" spans="1:14" x14ac:dyDescent="0.25">
      <c r="A21" s="15">
        <v>19</v>
      </c>
      <c r="B21" s="18">
        <v>17</v>
      </c>
      <c r="C21" s="18">
        <v>28</v>
      </c>
      <c r="D21" s="18">
        <v>20</v>
      </c>
      <c r="E21" s="18">
        <v>27</v>
      </c>
      <c r="F21" s="18">
        <v>21</v>
      </c>
      <c r="G21" s="18">
        <v>24</v>
      </c>
      <c r="H21" s="18">
        <v>23</v>
      </c>
      <c r="I21" s="18">
        <v>13</v>
      </c>
      <c r="J21" s="18">
        <v>10</v>
      </c>
      <c r="K21" s="18">
        <v>7</v>
      </c>
      <c r="L21" s="18">
        <v>5</v>
      </c>
      <c r="M21" s="18">
        <v>2</v>
      </c>
      <c r="N21" s="18">
        <v>1</v>
      </c>
    </row>
    <row r="22" spans="1:14" x14ac:dyDescent="0.25">
      <c r="A22" s="15">
        <v>20</v>
      </c>
      <c r="B22" s="18">
        <v>21</v>
      </c>
      <c r="C22" s="18">
        <v>24</v>
      </c>
      <c r="D22" s="18">
        <v>21</v>
      </c>
      <c r="E22" s="18">
        <v>20</v>
      </c>
      <c r="F22" s="18">
        <v>28</v>
      </c>
      <c r="G22" s="18">
        <v>30</v>
      </c>
      <c r="H22" s="18">
        <v>11</v>
      </c>
      <c r="I22" s="18">
        <v>11</v>
      </c>
      <c r="J22" s="18">
        <v>7</v>
      </c>
      <c r="K22" s="18">
        <v>5</v>
      </c>
      <c r="L22" s="18">
        <v>5</v>
      </c>
      <c r="M22" s="18">
        <v>3</v>
      </c>
      <c r="N22" s="18">
        <v>3</v>
      </c>
    </row>
    <row r="23" spans="1:14" x14ac:dyDescent="0.25">
      <c r="A23" s="15">
        <v>21</v>
      </c>
      <c r="B23" s="18">
        <v>18</v>
      </c>
      <c r="C23" s="18">
        <v>14</v>
      </c>
      <c r="D23" s="18">
        <v>13</v>
      </c>
      <c r="E23" s="18">
        <v>15</v>
      </c>
      <c r="F23" s="18">
        <v>14</v>
      </c>
      <c r="G23" s="18">
        <v>7</v>
      </c>
      <c r="H23" s="18">
        <v>12</v>
      </c>
      <c r="I23" s="18">
        <v>6</v>
      </c>
      <c r="J23" s="18">
        <v>5</v>
      </c>
      <c r="K23" s="18">
        <v>3</v>
      </c>
      <c r="L23" s="18">
        <v>1</v>
      </c>
      <c r="M23" s="18">
        <v>1</v>
      </c>
      <c r="N23"/>
    </row>
    <row r="24" spans="1:14" x14ac:dyDescent="0.25">
      <c r="A24" s="15">
        <v>22</v>
      </c>
      <c r="B24" s="18">
        <v>6</v>
      </c>
      <c r="C24" s="18">
        <v>6</v>
      </c>
      <c r="D24" s="18">
        <v>8</v>
      </c>
      <c r="E24" s="18">
        <v>15</v>
      </c>
      <c r="F24" s="18">
        <v>11</v>
      </c>
      <c r="G24" s="18">
        <v>5</v>
      </c>
      <c r="H24" s="18">
        <v>9</v>
      </c>
      <c r="I24" s="18">
        <v>3</v>
      </c>
      <c r="J24" s="18">
        <v>3</v>
      </c>
      <c r="K24"/>
      <c r="L24" s="18">
        <v>2</v>
      </c>
      <c r="M24"/>
      <c r="N24"/>
    </row>
    <row r="25" spans="1:14" x14ac:dyDescent="0.25">
      <c r="A25" s="15">
        <v>23</v>
      </c>
      <c r="B25"/>
      <c r="C25" s="18">
        <v>7</v>
      </c>
      <c r="D25" s="18">
        <v>4</v>
      </c>
      <c r="E25"/>
      <c r="F25" s="18">
        <v>2</v>
      </c>
      <c r="G25" s="18">
        <v>3</v>
      </c>
      <c r="H25" s="18">
        <v>2</v>
      </c>
      <c r="I25"/>
      <c r="J25" s="18">
        <v>1</v>
      </c>
      <c r="K25"/>
      <c r="L25"/>
      <c r="M25"/>
      <c r="N25"/>
    </row>
    <row r="26" spans="1:14" x14ac:dyDescent="0.25">
      <c r="A26" s="15">
        <v>24</v>
      </c>
      <c r="B26" s="18">
        <v>2</v>
      </c>
      <c r="C26" s="18">
        <v>5</v>
      </c>
      <c r="D26" s="18">
        <v>3</v>
      </c>
      <c r="E26" s="18">
        <v>1</v>
      </c>
      <c r="F26" s="18">
        <v>2</v>
      </c>
      <c r="G26" s="18">
        <v>2</v>
      </c>
      <c r="H26"/>
      <c r="I26"/>
      <c r="J26" s="18">
        <v>1</v>
      </c>
      <c r="K26"/>
      <c r="L26"/>
      <c r="M26"/>
      <c r="N26"/>
    </row>
    <row r="27" spans="1:14" x14ac:dyDescent="0.25">
      <c r="A27" s="15">
        <v>25</v>
      </c>
      <c r="B27"/>
      <c r="C27"/>
      <c r="D27"/>
      <c r="E27"/>
      <c r="F27" s="18">
        <v>2</v>
      </c>
      <c r="G27"/>
      <c r="H27" s="18">
        <v>1</v>
      </c>
      <c r="I27"/>
      <c r="J27"/>
      <c r="K27"/>
      <c r="L27"/>
      <c r="M27"/>
      <c r="N27"/>
    </row>
    <row r="28" spans="1:14" x14ac:dyDescent="0.25">
      <c r="A28" s="15">
        <v>26</v>
      </c>
      <c r="B28"/>
      <c r="C28"/>
      <c r="D28"/>
      <c r="E28"/>
      <c r="F28" s="18">
        <v>1</v>
      </c>
      <c r="G28"/>
      <c r="H28"/>
      <c r="I28"/>
      <c r="J28"/>
      <c r="K28"/>
      <c r="M28"/>
      <c r="N28"/>
    </row>
    <row r="29" spans="1:14" x14ac:dyDescent="0.25">
      <c r="B29"/>
      <c r="C29"/>
      <c r="D29"/>
      <c r="E29"/>
      <c r="G29"/>
    </row>
    <row r="30" spans="1:14" x14ac:dyDescent="0.25">
      <c r="G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control</vt:lpstr>
      <vt:lpstr>handsmth</vt:lpstr>
      <vt:lpstr>QA</vt:lpstr>
      <vt:lpstr>checksmooth</vt:lpstr>
      <vt:lpstr>out</vt:lpstr>
      <vt:lpstr>freq</vt:lpstr>
      <vt:lpstr>chart1</vt:lpstr>
      <vt:lpstr>QA!IDX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Haijiang Kuang</dc:creator>
  <cp:lastModifiedBy>Haijiang Kuang</cp:lastModifiedBy>
  <dcterms:created xsi:type="dcterms:W3CDTF">2024-02-16T20:33:26Z</dcterms:created>
  <dcterms:modified xsi:type="dcterms:W3CDTF">2024-02-17T17:43:04Z</dcterms:modified>
</cp:coreProperties>
</file>